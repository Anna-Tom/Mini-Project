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tics\"/>
    </mc:Choice>
  </mc:AlternateContent>
  <xr:revisionPtr revIDLastSave="0" documentId="13_ncr:1_{2D9027C9-8F67-450B-B370-CB2C310A50C2}" xr6:coauthVersionLast="47" xr6:coauthVersionMax="47" xr10:uidLastSave="{00000000-0000-0000-0000-000000000000}"/>
  <bookViews>
    <workbookView xWindow="-110" yWindow="-110" windowWidth="19420" windowHeight="10420" activeTab="2" xr2:uid="{48585CC5-ADB5-4920-BC13-E92195248FC7}"/>
  </bookViews>
  <sheets>
    <sheet name="Sheet1" sheetId="1" r:id="rId1"/>
    <sheet name="Cleaned Data" sheetId="2" r:id="rId2"/>
    <sheet name="Pivot Table" sheetId="3" r:id="rId3"/>
  </sheets>
  <definedNames>
    <definedName name="_xlnm._FilterDatabase" localSheetId="1" hidden="1">'Cleaned Data'!$J$1:$J$18584</definedName>
    <definedName name="_xlnm._FilterDatabase" localSheetId="0" hidden="1">Sheet1!$Q$1:$Q$18584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3" i="2"/>
  <c r="J45" i="2"/>
  <c r="J46" i="2"/>
  <c r="J47" i="2"/>
  <c r="J48" i="2"/>
  <c r="J49" i="2"/>
  <c r="J50" i="2"/>
  <c r="J51" i="2"/>
  <c r="J52" i="2"/>
  <c r="J53" i="2"/>
  <c r="J54" i="2"/>
  <c r="J56" i="2"/>
  <c r="J57" i="2"/>
  <c r="J58" i="2"/>
  <c r="J59" i="2"/>
  <c r="J60" i="2"/>
  <c r="J61" i="2"/>
  <c r="J64" i="2"/>
  <c r="J65" i="2"/>
  <c r="J66" i="2"/>
  <c r="J67" i="2"/>
  <c r="J68" i="2"/>
  <c r="J70" i="2"/>
  <c r="J71" i="2"/>
  <c r="J72" i="2"/>
  <c r="J73" i="2"/>
  <c r="J74" i="2"/>
  <c r="J75" i="2"/>
  <c r="J76" i="2"/>
  <c r="J77" i="2"/>
  <c r="J78" i="2"/>
  <c r="J79" i="2"/>
  <c r="J81" i="2"/>
  <c r="J82" i="2"/>
  <c r="J83" i="2"/>
  <c r="J84" i="2"/>
  <c r="J85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2" i="2"/>
  <c r="J123" i="2"/>
  <c r="J124" i="2"/>
  <c r="J126" i="2"/>
  <c r="J127" i="2"/>
  <c r="J128" i="2"/>
  <c r="J129" i="2"/>
  <c r="J131" i="2"/>
  <c r="J132" i="2"/>
  <c r="J133" i="2"/>
  <c r="J134" i="2"/>
  <c r="J135" i="2"/>
  <c r="J136" i="2"/>
  <c r="J137" i="2"/>
  <c r="J138" i="2"/>
  <c r="J139" i="2"/>
  <c r="J141" i="2"/>
  <c r="J143" i="2"/>
  <c r="J144" i="2"/>
  <c r="J147" i="2"/>
  <c r="J148" i="2"/>
  <c r="J151" i="2"/>
  <c r="J153" i="2"/>
  <c r="J154" i="2"/>
  <c r="J155" i="2"/>
  <c r="J156" i="2"/>
  <c r="J157" i="2"/>
  <c r="J158" i="2"/>
  <c r="J159" i="2"/>
  <c r="J160" i="2"/>
  <c r="J161" i="2"/>
  <c r="J162" i="2"/>
  <c r="J163" i="2"/>
  <c r="J165" i="2"/>
  <c r="J166" i="2"/>
  <c r="J167" i="2"/>
  <c r="J168" i="2"/>
  <c r="J170" i="2"/>
  <c r="J171" i="2"/>
  <c r="J172" i="2"/>
  <c r="J173" i="2"/>
  <c r="J175" i="2"/>
  <c r="J176" i="2"/>
  <c r="J177" i="2"/>
  <c r="J178" i="2"/>
  <c r="J180" i="2"/>
  <c r="J181" i="2"/>
  <c r="J182" i="2"/>
  <c r="J183" i="2"/>
  <c r="J184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4" i="2"/>
  <c r="J216" i="2"/>
  <c r="J218" i="2"/>
  <c r="J220" i="2"/>
  <c r="J221" i="2"/>
  <c r="J222" i="2"/>
  <c r="J223" i="2"/>
  <c r="J224" i="2"/>
  <c r="J226" i="2"/>
  <c r="J227" i="2"/>
  <c r="J228" i="2"/>
  <c r="J230" i="2"/>
  <c r="J231" i="2"/>
  <c r="J289" i="2"/>
  <c r="J290" i="2"/>
  <c r="J291" i="2"/>
  <c r="J292" i="2"/>
  <c r="J293" i="2"/>
  <c r="J294" i="2"/>
  <c r="J295" i="2"/>
  <c r="J296" i="2"/>
  <c r="J297" i="2"/>
  <c r="J298" i="2"/>
  <c r="J299" i="2"/>
  <c r="J301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6" i="2"/>
  <c r="J327" i="2"/>
  <c r="J328" i="2"/>
  <c r="J329" i="2"/>
  <c r="J331" i="2"/>
  <c r="J332" i="2"/>
  <c r="J333" i="2"/>
  <c r="J334" i="2"/>
  <c r="J335" i="2"/>
  <c r="J336" i="2"/>
  <c r="J337" i="2"/>
  <c r="J338" i="2"/>
  <c r="J340" i="2"/>
  <c r="J342" i="2"/>
  <c r="J343" i="2"/>
  <c r="J344" i="2"/>
  <c r="J345" i="2"/>
  <c r="J346" i="2"/>
  <c r="J348" i="2"/>
  <c r="J349" i="2"/>
  <c r="J350" i="2"/>
  <c r="J351" i="2"/>
  <c r="J352" i="2"/>
  <c r="J353" i="2"/>
  <c r="J354" i="2"/>
  <c r="J355" i="2"/>
  <c r="J357" i="2"/>
  <c r="J358" i="2"/>
  <c r="J359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7" i="2"/>
  <c r="J398" i="2"/>
  <c r="J399" i="2"/>
  <c r="J400" i="2"/>
  <c r="J401" i="2"/>
  <c r="J402" i="2"/>
  <c r="J404" i="2"/>
  <c r="J406" i="2"/>
  <c r="J408" i="2"/>
  <c r="J410" i="2"/>
  <c r="J412" i="2"/>
  <c r="J413" i="2"/>
  <c r="J415" i="2"/>
  <c r="J416" i="2"/>
  <c r="J417" i="2"/>
  <c r="J419" i="2"/>
  <c r="J420" i="2"/>
  <c r="J422" i="2"/>
  <c r="J423" i="2"/>
  <c r="J425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6" i="2"/>
  <c r="J447" i="2"/>
  <c r="J448" i="2"/>
  <c r="J449" i="2"/>
  <c r="J450" i="2"/>
  <c r="J451" i="2"/>
  <c r="J453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8" i="2"/>
  <c r="J469" i="2"/>
  <c r="J470" i="2"/>
  <c r="J472" i="2"/>
  <c r="J473" i="2"/>
  <c r="J474" i="2"/>
  <c r="J475" i="2"/>
  <c r="J476" i="2"/>
  <c r="J477" i="2"/>
  <c r="J478" i="2"/>
  <c r="J481" i="2"/>
  <c r="J482" i="2"/>
  <c r="J483" i="2"/>
  <c r="J484" i="2"/>
  <c r="J485" i="2"/>
  <c r="J486" i="2"/>
  <c r="J487" i="2"/>
  <c r="J488" i="2"/>
  <c r="J489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6" i="2"/>
  <c r="J507" i="2"/>
  <c r="J508" i="2"/>
  <c r="J509" i="2"/>
  <c r="J510" i="2"/>
  <c r="J512" i="2"/>
  <c r="J513" i="2"/>
  <c r="J514" i="2"/>
  <c r="J515" i="2"/>
  <c r="J516" i="2"/>
  <c r="J519" i="2"/>
  <c r="J520" i="2"/>
  <c r="J521" i="2"/>
  <c r="J523" i="2"/>
  <c r="J524" i="2"/>
  <c r="J525" i="2"/>
  <c r="J526" i="2"/>
  <c r="J527" i="2"/>
  <c r="J528" i="2"/>
  <c r="J530" i="2"/>
  <c r="J531" i="2"/>
  <c r="J534" i="2"/>
  <c r="J535" i="2"/>
  <c r="J536" i="2"/>
  <c r="J538" i="2"/>
  <c r="J539" i="2"/>
  <c r="J540" i="2"/>
  <c r="J541" i="2"/>
  <c r="J542" i="2"/>
  <c r="J543" i="2"/>
  <c r="J546" i="2"/>
  <c r="J548" i="2"/>
  <c r="J549" i="2"/>
  <c r="J551" i="2"/>
  <c r="J552" i="2"/>
  <c r="J554" i="2"/>
  <c r="J555" i="2"/>
  <c r="J556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4" i="2"/>
  <c r="J595" i="2"/>
  <c r="J596" i="2"/>
  <c r="J598" i="2"/>
  <c r="J600" i="2"/>
  <c r="J601" i="2"/>
  <c r="J602" i="2"/>
  <c r="J603" i="2"/>
  <c r="J606" i="2"/>
  <c r="J607" i="2"/>
  <c r="J608" i="2"/>
  <c r="J609" i="2"/>
  <c r="J610" i="2"/>
  <c r="J611" i="2"/>
  <c r="J612" i="2"/>
  <c r="J613" i="2"/>
  <c r="J614" i="2"/>
  <c r="J617" i="2"/>
  <c r="J619" i="2"/>
  <c r="J620" i="2"/>
  <c r="J621" i="2"/>
  <c r="J622" i="2"/>
  <c r="J623" i="2"/>
  <c r="J624" i="2"/>
  <c r="J625" i="2"/>
  <c r="J626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5" i="2"/>
  <c r="J656" i="2"/>
  <c r="J657" i="2"/>
  <c r="J658" i="2"/>
  <c r="J659" i="2"/>
  <c r="J660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6" i="2"/>
  <c r="J687" i="2"/>
  <c r="J688" i="2"/>
  <c r="J689" i="2"/>
  <c r="J690" i="2"/>
  <c r="J691" i="2"/>
  <c r="J692" i="2"/>
  <c r="J693" i="2"/>
  <c r="J694" i="2"/>
  <c r="J695" i="2"/>
  <c r="J699" i="2"/>
  <c r="J700" i="2"/>
  <c r="J701" i="2"/>
  <c r="J702" i="2"/>
  <c r="J704" i="2"/>
  <c r="J705" i="2"/>
  <c r="J706" i="2"/>
  <c r="J707" i="2"/>
  <c r="J709" i="2"/>
  <c r="J711" i="2"/>
  <c r="J712" i="2"/>
  <c r="J713" i="2"/>
  <c r="J714" i="2"/>
  <c r="J715" i="2"/>
  <c r="J716" i="2"/>
  <c r="J717" i="2"/>
  <c r="J718" i="2"/>
  <c r="J719" i="2"/>
  <c r="J720" i="2"/>
  <c r="J722" i="2"/>
  <c r="J723" i="2"/>
  <c r="J724" i="2"/>
  <c r="J725" i="2"/>
  <c r="J726" i="2"/>
  <c r="J727" i="2"/>
  <c r="J728" i="2"/>
  <c r="J729" i="2"/>
  <c r="J730" i="2"/>
  <c r="J731" i="2"/>
  <c r="J732" i="2"/>
  <c r="J734" i="2"/>
  <c r="J735" i="2"/>
  <c r="J736" i="2"/>
  <c r="J737" i="2"/>
  <c r="J739" i="2"/>
  <c r="J741" i="2"/>
  <c r="J742" i="2"/>
  <c r="J743" i="2"/>
  <c r="J744" i="2"/>
  <c r="J745" i="2"/>
  <c r="J746" i="2"/>
  <c r="J748" i="2"/>
  <c r="J749" i="2"/>
  <c r="J750" i="2"/>
  <c r="J751" i="2"/>
  <c r="J752" i="2"/>
  <c r="J753" i="2"/>
  <c r="J754" i="2"/>
  <c r="J755" i="2"/>
  <c r="J756" i="2"/>
  <c r="J757" i="2"/>
  <c r="J759" i="2"/>
  <c r="J760" i="2"/>
  <c r="J761" i="2"/>
  <c r="J762" i="2"/>
  <c r="J763" i="2"/>
  <c r="J764" i="2"/>
  <c r="J765" i="2"/>
  <c r="J766" i="2"/>
  <c r="J767" i="2"/>
  <c r="J768" i="2"/>
  <c r="J769" i="2"/>
  <c r="J771" i="2"/>
  <c r="J772" i="2"/>
  <c r="J773" i="2"/>
  <c r="J774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2" i="2"/>
  <c r="J823" i="2"/>
  <c r="J824" i="2"/>
  <c r="J825" i="2"/>
  <c r="J826" i="2"/>
  <c r="J827" i="2"/>
  <c r="J828" i="2"/>
  <c r="J831" i="2"/>
  <c r="J832" i="2"/>
  <c r="J833" i="2"/>
  <c r="J834" i="2"/>
  <c r="J835" i="2"/>
  <c r="J836" i="2"/>
  <c r="J837" i="2"/>
  <c r="J838" i="2"/>
  <c r="J839" i="2"/>
  <c r="J841" i="2"/>
  <c r="J842" i="2"/>
  <c r="J843" i="2"/>
  <c r="J844" i="2"/>
  <c r="J845" i="2"/>
  <c r="J849" i="2"/>
  <c r="J850" i="2"/>
  <c r="J851" i="2"/>
  <c r="J852" i="2"/>
  <c r="J853" i="2"/>
  <c r="J854" i="2"/>
  <c r="J855" i="2"/>
  <c r="J857" i="2"/>
  <c r="J858" i="2"/>
  <c r="J859" i="2"/>
  <c r="J860" i="2"/>
  <c r="J861" i="2"/>
  <c r="J863" i="2"/>
  <c r="J864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9" i="2"/>
  <c r="J880" i="2"/>
  <c r="J881" i="2"/>
  <c r="J882" i="2"/>
  <c r="J883" i="2"/>
  <c r="J884" i="2"/>
  <c r="J885" i="2"/>
  <c r="J886" i="2"/>
  <c r="J887" i="2"/>
  <c r="J888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2" i="2"/>
  <c r="J923" i="2"/>
  <c r="J924" i="2"/>
  <c r="J925" i="2"/>
  <c r="J926" i="2"/>
  <c r="J927" i="2"/>
  <c r="J928" i="2"/>
  <c r="J929" i="2"/>
  <c r="J931" i="2"/>
  <c r="J932" i="2"/>
  <c r="J933" i="2"/>
  <c r="J934" i="2"/>
  <c r="J935" i="2"/>
  <c r="J936" i="2"/>
  <c r="J937" i="2"/>
  <c r="J940" i="2"/>
  <c r="J941" i="2"/>
  <c r="J942" i="2"/>
  <c r="J943" i="2"/>
  <c r="J944" i="2"/>
  <c r="J946" i="2"/>
  <c r="J947" i="2"/>
  <c r="J949" i="2"/>
  <c r="J950" i="2"/>
  <c r="J951" i="2"/>
  <c r="J952" i="2"/>
  <c r="J953" i="2"/>
  <c r="J954" i="2"/>
  <c r="J955" i="2"/>
  <c r="J956" i="2"/>
  <c r="J957" i="2"/>
  <c r="J959" i="2"/>
  <c r="J962" i="2"/>
  <c r="J964" i="2"/>
  <c r="J965" i="2"/>
  <c r="J966" i="2"/>
  <c r="J967" i="2"/>
  <c r="J968" i="2"/>
  <c r="J969" i="2"/>
  <c r="J970" i="2"/>
  <c r="J973" i="2"/>
  <c r="J974" i="2"/>
  <c r="J975" i="2"/>
  <c r="J976" i="2"/>
  <c r="J977" i="2"/>
  <c r="J978" i="2"/>
  <c r="J979" i="2"/>
  <c r="J980" i="2"/>
  <c r="J981" i="2"/>
  <c r="J982" i="2"/>
  <c r="J983" i="2"/>
  <c r="J985" i="2"/>
  <c r="J986" i="2"/>
  <c r="J987" i="2"/>
  <c r="J989" i="2"/>
  <c r="J990" i="2"/>
  <c r="J991" i="2"/>
  <c r="J992" i="2"/>
  <c r="J993" i="2"/>
  <c r="J994" i="2"/>
  <c r="J995" i="2"/>
  <c r="J996" i="2"/>
  <c r="J998" i="2"/>
  <c r="J999" i="2"/>
  <c r="J1000" i="2"/>
  <c r="J1001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  <c r="S26" i="1"/>
  <c r="L26" i="2" s="1"/>
  <c r="S35" i="1"/>
  <c r="L35" i="2" s="1"/>
  <c r="S67" i="1"/>
  <c r="L67" i="2" s="1"/>
  <c r="S75" i="1"/>
  <c r="L75" i="2" s="1"/>
  <c r="S78" i="1"/>
  <c r="L78" i="2" s="1"/>
  <c r="S83" i="1"/>
  <c r="L83" i="2" s="1"/>
  <c r="S99" i="1"/>
  <c r="L99" i="2" s="1"/>
  <c r="S103" i="1"/>
  <c r="L103" i="2" s="1"/>
  <c r="S111" i="1"/>
  <c r="L111" i="2" s="1"/>
  <c r="S123" i="1"/>
  <c r="L123" i="2" s="1"/>
  <c r="S132" i="1"/>
  <c r="L132" i="2" s="1"/>
  <c r="S139" i="1"/>
  <c r="L139" i="2" s="1"/>
  <c r="S146" i="1"/>
  <c r="L146" i="2" s="1"/>
  <c r="S157" i="1"/>
  <c r="L157" i="2" s="1"/>
  <c r="S170" i="1"/>
  <c r="L170" i="2" s="1"/>
  <c r="S202" i="1"/>
  <c r="L202" i="2" s="1"/>
  <c r="S206" i="1"/>
  <c r="L206" i="2" s="1"/>
  <c r="S210" i="1"/>
  <c r="L210" i="2" s="1"/>
  <c r="S212" i="1"/>
  <c r="L212" i="2" s="1"/>
  <c r="S231" i="1"/>
  <c r="L231" i="2" s="1"/>
  <c r="S247" i="1"/>
  <c r="L247" i="2" s="1"/>
  <c r="S248" i="1"/>
  <c r="L248" i="2" s="1"/>
  <c r="S253" i="1"/>
  <c r="L253" i="2" s="1"/>
  <c r="S260" i="1"/>
  <c r="L260" i="2" s="1"/>
  <c r="S261" i="1"/>
  <c r="L261" i="2" s="1"/>
  <c r="S271" i="1"/>
  <c r="L271" i="2" s="1"/>
  <c r="S280" i="1"/>
  <c r="L280" i="2" s="1"/>
  <c r="S291" i="1"/>
  <c r="L291" i="2" s="1"/>
  <c r="S313" i="1"/>
  <c r="L313" i="2" s="1"/>
  <c r="S328" i="1"/>
  <c r="L328" i="2" s="1"/>
  <c r="S337" i="1"/>
  <c r="L337" i="2" s="1"/>
  <c r="S349" i="1"/>
  <c r="L349" i="2" s="1"/>
  <c r="S351" i="1"/>
  <c r="L351" i="2" s="1"/>
  <c r="S357" i="1"/>
  <c r="L357" i="2" s="1"/>
  <c r="S365" i="1"/>
  <c r="L365" i="2" s="1"/>
  <c r="S368" i="1"/>
  <c r="L368" i="2" s="1"/>
  <c r="S378" i="1"/>
  <c r="L378" i="2" s="1"/>
  <c r="S381" i="1"/>
  <c r="L381" i="2" s="1"/>
  <c r="S397" i="1"/>
  <c r="L397" i="2" s="1"/>
  <c r="S406" i="1"/>
  <c r="L406" i="2" s="1"/>
  <c r="S419" i="1"/>
  <c r="L419" i="2" s="1"/>
  <c r="S444" i="1"/>
  <c r="L444" i="2" s="1"/>
  <c r="S445" i="1"/>
  <c r="L445" i="2" s="1"/>
  <c r="S448" i="1"/>
  <c r="L448" i="2" s="1"/>
  <c r="S467" i="1"/>
  <c r="L467" i="2" s="1"/>
  <c r="S468" i="1"/>
  <c r="L468" i="2" s="1"/>
  <c r="S471" i="1"/>
  <c r="L471" i="2" s="1"/>
  <c r="S477" i="1"/>
  <c r="L477" i="2" s="1"/>
  <c r="S482" i="1"/>
  <c r="L482" i="2" s="1"/>
  <c r="S515" i="1"/>
  <c r="L515" i="2" s="1"/>
  <c r="S518" i="1"/>
  <c r="L518" i="2" s="1"/>
  <c r="S532" i="1"/>
  <c r="L532" i="2" s="1"/>
  <c r="S539" i="1"/>
  <c r="L539" i="2" s="1"/>
  <c r="S547" i="1"/>
  <c r="L547" i="2" s="1"/>
  <c r="S552" i="1"/>
  <c r="L552" i="2" s="1"/>
  <c r="S581" i="1"/>
  <c r="L581" i="2" s="1"/>
  <c r="S595" i="1"/>
  <c r="L595" i="2" s="1"/>
  <c r="S596" i="1"/>
  <c r="L596" i="2" s="1"/>
  <c r="S603" i="1"/>
  <c r="L603" i="2" s="1"/>
  <c r="S605" i="1"/>
  <c r="L605" i="2" s="1"/>
  <c r="S627" i="1"/>
  <c r="L627" i="2" s="1"/>
  <c r="S628" i="1"/>
  <c r="L628" i="2" s="1"/>
  <c r="S631" i="1"/>
  <c r="L631" i="2" s="1"/>
  <c r="S635" i="1"/>
  <c r="L635" i="2" s="1"/>
  <c r="S651" i="1"/>
  <c r="L651" i="2" s="1"/>
  <c r="S652" i="1"/>
  <c r="L652" i="2" s="1"/>
  <c r="S655" i="1"/>
  <c r="L655" i="2" s="1"/>
  <c r="S662" i="1"/>
  <c r="L662" i="2" s="1"/>
  <c r="S670" i="1"/>
  <c r="L670" i="2" s="1"/>
  <c r="S675" i="1"/>
  <c r="L675" i="2" s="1"/>
  <c r="S684" i="1"/>
  <c r="L684" i="2" s="1"/>
  <c r="S686" i="1"/>
  <c r="L686" i="2" s="1"/>
  <c r="S703" i="1"/>
  <c r="L703" i="2" s="1"/>
  <c r="S704" i="1"/>
  <c r="L704" i="2" s="1"/>
  <c r="S710" i="1"/>
  <c r="L710" i="2" s="1"/>
  <c r="S726" i="1"/>
  <c r="L726" i="2" s="1"/>
  <c r="S727" i="1"/>
  <c r="L727" i="2" s="1"/>
  <c r="S730" i="1"/>
  <c r="L730" i="2" s="1"/>
  <c r="S747" i="1"/>
  <c r="L747" i="2" s="1"/>
  <c r="S749" i="1"/>
  <c r="L749" i="2" s="1"/>
  <c r="S750" i="1"/>
  <c r="L750" i="2" s="1"/>
  <c r="S751" i="1"/>
  <c r="L751" i="2" s="1"/>
  <c r="S784" i="1"/>
  <c r="L784" i="2" s="1"/>
  <c r="S786" i="1"/>
  <c r="L786" i="2" s="1"/>
  <c r="S790" i="1"/>
  <c r="L790" i="2" s="1"/>
  <c r="S798" i="1"/>
  <c r="L798" i="2" s="1"/>
  <c r="S803" i="1"/>
  <c r="L803" i="2" s="1"/>
  <c r="S804" i="1"/>
  <c r="L804" i="2" s="1"/>
  <c r="S825" i="1"/>
  <c r="L825" i="2" s="1"/>
  <c r="S830" i="1"/>
  <c r="L830" i="2" s="1"/>
  <c r="S835" i="1"/>
  <c r="L835" i="2" s="1"/>
  <c r="S839" i="1"/>
  <c r="L839" i="2" s="1"/>
  <c r="S852" i="1"/>
  <c r="L852" i="2" s="1"/>
  <c r="S860" i="1"/>
  <c r="L860" i="2" s="1"/>
  <c r="S892" i="1"/>
  <c r="L892" i="2" s="1"/>
  <c r="S893" i="1"/>
  <c r="L893" i="2" s="1"/>
  <c r="S896" i="1"/>
  <c r="L896" i="2" s="1"/>
  <c r="S901" i="1"/>
  <c r="L901" i="2" s="1"/>
  <c r="S907" i="1"/>
  <c r="L907" i="2" s="1"/>
  <c r="S908" i="1"/>
  <c r="L908" i="2" s="1"/>
  <c r="S928" i="1"/>
  <c r="L928" i="2" s="1"/>
  <c r="S936" i="1"/>
  <c r="L936" i="2" s="1"/>
  <c r="S940" i="1"/>
  <c r="L940" i="2" s="1"/>
  <c r="S955" i="1"/>
  <c r="L955" i="2" s="1"/>
  <c r="S956" i="1"/>
  <c r="L956" i="2" s="1"/>
  <c r="S962" i="1"/>
  <c r="L962" i="2" s="1"/>
  <c r="S985" i="1"/>
  <c r="L985" i="2" s="1"/>
  <c r="S988" i="1"/>
  <c r="L988" i="2" s="1"/>
  <c r="S990" i="1"/>
  <c r="L990" i="2" s="1"/>
  <c r="S992" i="1"/>
  <c r="L992" i="2" s="1"/>
  <c r="S995" i="1"/>
  <c r="L995" i="2" s="1"/>
  <c r="S998" i="1"/>
  <c r="L998" i="2" s="1"/>
  <c r="S1000" i="1"/>
  <c r="L1000" i="2" s="1"/>
  <c r="S1001" i="1"/>
  <c r="L1001" i="2" s="1"/>
  <c r="R999" i="1"/>
  <c r="S999" i="1" s="1"/>
  <c r="L999" i="2" s="1"/>
  <c r="R997" i="1"/>
  <c r="S997" i="1" s="1"/>
  <c r="L997" i="2" s="1"/>
  <c r="R996" i="1"/>
  <c r="S996" i="1" s="1"/>
  <c r="L996" i="2" s="1"/>
  <c r="R994" i="1"/>
  <c r="S994" i="1" s="1"/>
  <c r="L994" i="2" s="1"/>
  <c r="R993" i="1"/>
  <c r="S993" i="1" s="1"/>
  <c r="L993" i="2" s="1"/>
  <c r="R991" i="1"/>
  <c r="S991" i="1" s="1"/>
  <c r="L991" i="2" s="1"/>
  <c r="R989" i="1"/>
  <c r="S989" i="1" s="1"/>
  <c r="L989" i="2" s="1"/>
  <c r="R987" i="1"/>
  <c r="S987" i="1" s="1"/>
  <c r="L987" i="2" s="1"/>
  <c r="R986" i="1"/>
  <c r="S986" i="1" s="1"/>
  <c r="L986" i="2" s="1"/>
  <c r="R984" i="1"/>
  <c r="S984" i="1" s="1"/>
  <c r="L984" i="2" s="1"/>
  <c r="R983" i="1"/>
  <c r="S983" i="1" s="1"/>
  <c r="L983" i="2" s="1"/>
  <c r="R981" i="1"/>
  <c r="S981" i="1" s="1"/>
  <c r="L981" i="2" s="1"/>
  <c r="R980" i="1"/>
  <c r="S980" i="1" s="1"/>
  <c r="L980" i="2" s="1"/>
  <c r="R979" i="1"/>
  <c r="S979" i="1" s="1"/>
  <c r="L979" i="2" s="1"/>
  <c r="R977" i="1"/>
  <c r="S977" i="1" s="1"/>
  <c r="L977" i="2" s="1"/>
  <c r="R976" i="1"/>
  <c r="S976" i="1" s="1"/>
  <c r="L976" i="2" s="1"/>
  <c r="R975" i="1"/>
  <c r="S975" i="1" s="1"/>
  <c r="L975" i="2" s="1"/>
  <c r="R974" i="1"/>
  <c r="S974" i="1" s="1"/>
  <c r="L974" i="2" s="1"/>
  <c r="R973" i="1"/>
  <c r="S973" i="1" s="1"/>
  <c r="L973" i="2" s="1"/>
  <c r="R972" i="1"/>
  <c r="S972" i="1" s="1"/>
  <c r="L972" i="2" s="1"/>
  <c r="R971" i="1"/>
  <c r="S971" i="1" s="1"/>
  <c r="L971" i="2" s="1"/>
  <c r="R969" i="1"/>
  <c r="S969" i="1" s="1"/>
  <c r="L969" i="2" s="1"/>
  <c r="R968" i="1"/>
  <c r="S968" i="1" s="1"/>
  <c r="L968" i="2" s="1"/>
  <c r="R967" i="1"/>
  <c r="S967" i="1" s="1"/>
  <c r="L967" i="2" s="1"/>
  <c r="R965" i="1"/>
  <c r="S965" i="1" s="1"/>
  <c r="L965" i="2" s="1"/>
  <c r="R964" i="1"/>
  <c r="S964" i="1" s="1"/>
  <c r="L964" i="2" s="1"/>
  <c r="R963" i="1"/>
  <c r="S963" i="1" s="1"/>
  <c r="L963" i="2" s="1"/>
  <c r="R960" i="1"/>
  <c r="S960" i="1" s="1"/>
  <c r="L960" i="2" s="1"/>
  <c r="R959" i="1"/>
  <c r="S959" i="1" s="1"/>
  <c r="L959" i="2" s="1"/>
  <c r="R958" i="1"/>
  <c r="S958" i="1" s="1"/>
  <c r="L958" i="2" s="1"/>
  <c r="R957" i="1"/>
  <c r="S957" i="1" s="1"/>
  <c r="L957" i="2" s="1"/>
  <c r="R954" i="1"/>
  <c r="S954" i="1" s="1"/>
  <c r="L954" i="2" s="1"/>
  <c r="R953" i="1"/>
  <c r="S953" i="1" s="1"/>
  <c r="L953" i="2" s="1"/>
  <c r="R952" i="1"/>
  <c r="S952" i="1" s="1"/>
  <c r="L952" i="2" s="1"/>
  <c r="R951" i="1"/>
  <c r="S951" i="1" s="1"/>
  <c r="L951" i="2" s="1"/>
  <c r="R950" i="1"/>
  <c r="S950" i="1" s="1"/>
  <c r="L950" i="2" s="1"/>
  <c r="R949" i="1"/>
  <c r="S949" i="1" s="1"/>
  <c r="L949" i="2" s="1"/>
  <c r="R948" i="1"/>
  <c r="S948" i="1" s="1"/>
  <c r="L948" i="2" s="1"/>
  <c r="R947" i="1"/>
  <c r="S947" i="1" s="1"/>
  <c r="L947" i="2" s="1"/>
  <c r="R946" i="1"/>
  <c r="S946" i="1" s="1"/>
  <c r="L946" i="2" s="1"/>
  <c r="R945" i="1"/>
  <c r="S945" i="1" s="1"/>
  <c r="L945" i="2" s="1"/>
  <c r="R944" i="1"/>
  <c r="S944" i="1" s="1"/>
  <c r="L944" i="2" s="1"/>
  <c r="R943" i="1"/>
  <c r="S943" i="1" s="1"/>
  <c r="L943" i="2" s="1"/>
  <c r="R941" i="1"/>
  <c r="S941" i="1" s="1"/>
  <c r="L941" i="2" s="1"/>
  <c r="R939" i="1"/>
  <c r="S939" i="1" s="1"/>
  <c r="L939" i="2" s="1"/>
  <c r="R938" i="1"/>
  <c r="S938" i="1" s="1"/>
  <c r="L938" i="2" s="1"/>
  <c r="R937" i="1"/>
  <c r="S937" i="1" s="1"/>
  <c r="L937" i="2" s="1"/>
  <c r="R935" i="1"/>
  <c r="S935" i="1" s="1"/>
  <c r="L935" i="2" s="1"/>
  <c r="R934" i="1"/>
  <c r="S934" i="1" s="1"/>
  <c r="L934" i="2" s="1"/>
  <c r="R933" i="1"/>
  <c r="S933" i="1" s="1"/>
  <c r="L933" i="2" s="1"/>
  <c r="R932" i="1"/>
  <c r="S932" i="1" s="1"/>
  <c r="L932" i="2" s="1"/>
  <c r="R931" i="1"/>
  <c r="S931" i="1" s="1"/>
  <c r="L931" i="2" s="1"/>
  <c r="R930" i="1"/>
  <c r="S930" i="1" s="1"/>
  <c r="L930" i="2" s="1"/>
  <c r="R927" i="1"/>
  <c r="S927" i="1" s="1"/>
  <c r="L927" i="2" s="1"/>
  <c r="R926" i="1"/>
  <c r="S926" i="1" s="1"/>
  <c r="L926" i="2" s="1"/>
  <c r="R923" i="1"/>
  <c r="S923" i="1" s="1"/>
  <c r="L923" i="2" s="1"/>
  <c r="R922" i="1"/>
  <c r="S922" i="1" s="1"/>
  <c r="L922" i="2" s="1"/>
  <c r="R921" i="1"/>
  <c r="S921" i="1" s="1"/>
  <c r="L921" i="2" s="1"/>
  <c r="R919" i="1"/>
  <c r="S919" i="1" s="1"/>
  <c r="L919" i="2" s="1"/>
  <c r="R918" i="1"/>
  <c r="S918" i="1" s="1"/>
  <c r="L918" i="2" s="1"/>
  <c r="R917" i="1"/>
  <c r="S917" i="1" s="1"/>
  <c r="L917" i="2" s="1"/>
  <c r="R916" i="1"/>
  <c r="S916" i="1" s="1"/>
  <c r="L916" i="2" s="1"/>
  <c r="R915" i="1"/>
  <c r="S915" i="1" s="1"/>
  <c r="L915" i="2" s="1"/>
  <c r="R914" i="1"/>
  <c r="S914" i="1" s="1"/>
  <c r="L914" i="2" s="1"/>
  <c r="R911" i="1"/>
  <c r="S911" i="1" s="1"/>
  <c r="L911" i="2" s="1"/>
  <c r="R910" i="1"/>
  <c r="S910" i="1" s="1"/>
  <c r="L910" i="2" s="1"/>
  <c r="R909" i="1"/>
  <c r="S909" i="1" s="1"/>
  <c r="L909" i="2" s="1"/>
  <c r="R906" i="1"/>
  <c r="S906" i="1" s="1"/>
  <c r="L906" i="2" s="1"/>
  <c r="R903" i="1"/>
  <c r="S903" i="1" s="1"/>
  <c r="L903" i="2" s="1"/>
  <c r="R902" i="1"/>
  <c r="S902" i="1" s="1"/>
  <c r="L902" i="2" s="1"/>
  <c r="R898" i="1"/>
  <c r="S898" i="1" s="1"/>
  <c r="L898" i="2" s="1"/>
  <c r="R897" i="1"/>
  <c r="S897" i="1" s="1"/>
  <c r="L897" i="2" s="1"/>
  <c r="R895" i="1"/>
  <c r="S895" i="1" s="1"/>
  <c r="L895" i="2" s="1"/>
  <c r="R894" i="1"/>
  <c r="S894" i="1" s="1"/>
  <c r="L894" i="2" s="1"/>
  <c r="R890" i="1"/>
  <c r="S890" i="1" s="1"/>
  <c r="L890" i="2" s="1"/>
  <c r="R889" i="1"/>
  <c r="S889" i="1" s="1"/>
  <c r="L889" i="2" s="1"/>
  <c r="R888" i="1"/>
  <c r="S888" i="1" s="1"/>
  <c r="L888" i="2" s="1"/>
  <c r="R887" i="1"/>
  <c r="S887" i="1" s="1"/>
  <c r="L887" i="2" s="1"/>
  <c r="R886" i="1"/>
  <c r="S886" i="1" s="1"/>
  <c r="L886" i="2" s="1"/>
  <c r="R885" i="1"/>
  <c r="S885" i="1" s="1"/>
  <c r="L885" i="2" s="1"/>
  <c r="R884" i="1"/>
  <c r="S884" i="1" s="1"/>
  <c r="L884" i="2" s="1"/>
  <c r="R883" i="1"/>
  <c r="S883" i="1" s="1"/>
  <c r="L883" i="2" s="1"/>
  <c r="R880" i="1"/>
  <c r="S880" i="1" s="1"/>
  <c r="L880" i="2" s="1"/>
  <c r="R878" i="1"/>
  <c r="S878" i="1" s="1"/>
  <c r="L878" i="2" s="1"/>
  <c r="R877" i="1"/>
  <c r="S877" i="1" s="1"/>
  <c r="L877" i="2" s="1"/>
  <c r="R876" i="1"/>
  <c r="S876" i="1" s="1"/>
  <c r="L876" i="2" s="1"/>
  <c r="R875" i="1"/>
  <c r="S875" i="1" s="1"/>
  <c r="L875" i="2" s="1"/>
  <c r="R873" i="1"/>
  <c r="S873" i="1" s="1"/>
  <c r="L873" i="2" s="1"/>
  <c r="R872" i="1"/>
  <c r="S872" i="1" s="1"/>
  <c r="L872" i="2" s="1"/>
  <c r="R871" i="1"/>
  <c r="S871" i="1" s="1"/>
  <c r="L871" i="2" s="1"/>
  <c r="R870" i="1"/>
  <c r="S870" i="1" s="1"/>
  <c r="L870" i="2" s="1"/>
  <c r="R868" i="1"/>
  <c r="S868" i="1" s="1"/>
  <c r="L868" i="2" s="1"/>
  <c r="R867" i="1"/>
  <c r="S867" i="1" s="1"/>
  <c r="L867" i="2" s="1"/>
  <c r="R866" i="1"/>
  <c r="S866" i="1" s="1"/>
  <c r="L866" i="2" s="1"/>
  <c r="R865" i="1"/>
  <c r="S865" i="1" s="1"/>
  <c r="L865" i="2" s="1"/>
  <c r="R864" i="1"/>
  <c r="S864" i="1" s="1"/>
  <c r="L864" i="2" s="1"/>
  <c r="R863" i="1"/>
  <c r="S863" i="1" s="1"/>
  <c r="L863" i="2" s="1"/>
  <c r="R862" i="1"/>
  <c r="S862" i="1" s="1"/>
  <c r="L862" i="2" s="1"/>
  <c r="R861" i="1"/>
  <c r="S861" i="1" s="1"/>
  <c r="L861" i="2" s="1"/>
  <c r="R859" i="1"/>
  <c r="S859" i="1" s="1"/>
  <c r="L859" i="2" s="1"/>
  <c r="R858" i="1"/>
  <c r="S858" i="1" s="1"/>
  <c r="L858" i="2" s="1"/>
  <c r="R857" i="1"/>
  <c r="S857" i="1" s="1"/>
  <c r="L857" i="2" s="1"/>
  <c r="R854" i="1"/>
  <c r="S854" i="1" s="1"/>
  <c r="L854" i="2" s="1"/>
  <c r="R851" i="1"/>
  <c r="S851" i="1" s="1"/>
  <c r="L851" i="2" s="1"/>
  <c r="R849" i="1"/>
  <c r="S849" i="1" s="1"/>
  <c r="L849" i="2" s="1"/>
  <c r="R847" i="1"/>
  <c r="S847" i="1" s="1"/>
  <c r="L847" i="2" s="1"/>
  <c r="R846" i="1"/>
  <c r="S846" i="1" s="1"/>
  <c r="L846" i="2" s="1"/>
  <c r="R845" i="1"/>
  <c r="S845" i="1" s="1"/>
  <c r="L845" i="2" s="1"/>
  <c r="R843" i="1"/>
  <c r="S843" i="1" s="1"/>
  <c r="L843" i="2" s="1"/>
  <c r="R842" i="1"/>
  <c r="S842" i="1" s="1"/>
  <c r="L842" i="2" s="1"/>
  <c r="R841" i="1"/>
  <c r="S841" i="1" s="1"/>
  <c r="L841" i="2" s="1"/>
  <c r="R840" i="1"/>
  <c r="S840" i="1" s="1"/>
  <c r="L840" i="2" s="1"/>
  <c r="R838" i="1"/>
  <c r="S838" i="1" s="1"/>
  <c r="L838" i="2" s="1"/>
  <c r="R836" i="1"/>
  <c r="S836" i="1" s="1"/>
  <c r="L836" i="2" s="1"/>
  <c r="R834" i="1"/>
  <c r="S834" i="1" s="1"/>
  <c r="L834" i="2" s="1"/>
  <c r="R833" i="1"/>
  <c r="S833" i="1" s="1"/>
  <c r="L833" i="2" s="1"/>
  <c r="R832" i="1"/>
  <c r="S832" i="1" s="1"/>
  <c r="L832" i="2" s="1"/>
  <c r="R829" i="1"/>
  <c r="S829" i="1" s="1"/>
  <c r="L829" i="2" s="1"/>
  <c r="R828" i="1"/>
  <c r="S828" i="1" s="1"/>
  <c r="L828" i="2" s="1"/>
  <c r="R827" i="1"/>
  <c r="S827" i="1" s="1"/>
  <c r="L827" i="2" s="1"/>
  <c r="R826" i="1"/>
  <c r="S826" i="1" s="1"/>
  <c r="L826" i="2" s="1"/>
  <c r="R824" i="1"/>
  <c r="S824" i="1" s="1"/>
  <c r="L824" i="2" s="1"/>
  <c r="R823" i="1"/>
  <c r="S823" i="1" s="1"/>
  <c r="L823" i="2" s="1"/>
  <c r="R822" i="1"/>
  <c r="S822" i="1" s="1"/>
  <c r="L822" i="2" s="1"/>
  <c r="R821" i="1"/>
  <c r="S821" i="1" s="1"/>
  <c r="L821" i="2" s="1"/>
  <c r="R819" i="1"/>
  <c r="S819" i="1" s="1"/>
  <c r="L819" i="2" s="1"/>
  <c r="R818" i="1"/>
  <c r="S818" i="1" s="1"/>
  <c r="L818" i="2" s="1"/>
  <c r="R817" i="1"/>
  <c r="S817" i="1" s="1"/>
  <c r="L817" i="2" s="1"/>
  <c r="R816" i="1"/>
  <c r="S816" i="1" s="1"/>
  <c r="L816" i="2" s="1"/>
  <c r="R815" i="1"/>
  <c r="S815" i="1" s="1"/>
  <c r="L815" i="2" s="1"/>
  <c r="R814" i="1"/>
  <c r="S814" i="1" s="1"/>
  <c r="L814" i="2" s="1"/>
  <c r="R813" i="1"/>
  <c r="S813" i="1" s="1"/>
  <c r="L813" i="2" s="1"/>
  <c r="R812" i="1"/>
  <c r="S812" i="1" s="1"/>
  <c r="L812" i="2" s="1"/>
  <c r="R810" i="1"/>
  <c r="S810" i="1" s="1"/>
  <c r="L810" i="2" s="1"/>
  <c r="R808" i="1"/>
  <c r="S808" i="1" s="1"/>
  <c r="L808" i="2" s="1"/>
  <c r="R807" i="1"/>
  <c r="S807" i="1" s="1"/>
  <c r="L807" i="2" s="1"/>
  <c r="R806" i="1"/>
  <c r="S806" i="1" s="1"/>
  <c r="L806" i="2" s="1"/>
  <c r="R805" i="1"/>
  <c r="S805" i="1" s="1"/>
  <c r="L805" i="2" s="1"/>
  <c r="R802" i="1"/>
  <c r="S802" i="1" s="1"/>
  <c r="L802" i="2" s="1"/>
  <c r="R801" i="1"/>
  <c r="S801" i="1" s="1"/>
  <c r="L801" i="2" s="1"/>
  <c r="R800" i="1"/>
  <c r="S800" i="1" s="1"/>
  <c r="L800" i="2" s="1"/>
  <c r="R799" i="1"/>
  <c r="S799" i="1" s="1"/>
  <c r="L799" i="2" s="1"/>
  <c r="R797" i="1"/>
  <c r="S797" i="1" s="1"/>
  <c r="L797" i="2" s="1"/>
  <c r="R795" i="1"/>
  <c r="S795" i="1" s="1"/>
  <c r="L795" i="2" s="1"/>
  <c r="R794" i="1"/>
  <c r="S794" i="1" s="1"/>
  <c r="L794" i="2" s="1"/>
  <c r="R793" i="1"/>
  <c r="S793" i="1" s="1"/>
  <c r="L793" i="2" s="1"/>
  <c r="R792" i="1"/>
  <c r="S792" i="1" s="1"/>
  <c r="L792" i="2" s="1"/>
  <c r="R791" i="1"/>
  <c r="S791" i="1" s="1"/>
  <c r="L791" i="2" s="1"/>
  <c r="R789" i="1"/>
  <c r="S789" i="1" s="1"/>
  <c r="L789" i="2" s="1"/>
  <c r="R788" i="1"/>
  <c r="S788" i="1" s="1"/>
  <c r="L788" i="2" s="1"/>
  <c r="R787" i="1"/>
  <c r="S787" i="1" s="1"/>
  <c r="L787" i="2" s="1"/>
  <c r="R785" i="1"/>
  <c r="S785" i="1" s="1"/>
  <c r="L785" i="2" s="1"/>
  <c r="R782" i="1"/>
  <c r="S782" i="1" s="1"/>
  <c r="L782" i="2" s="1"/>
  <c r="R781" i="1"/>
  <c r="S781" i="1" s="1"/>
  <c r="L781" i="2" s="1"/>
  <c r="R780" i="1"/>
  <c r="S780" i="1" s="1"/>
  <c r="L780" i="2" s="1"/>
  <c r="R779" i="1"/>
  <c r="S779" i="1" s="1"/>
  <c r="L779" i="2" s="1"/>
  <c r="R778" i="1"/>
  <c r="S778" i="1" s="1"/>
  <c r="L778" i="2" s="1"/>
  <c r="R777" i="1"/>
  <c r="S777" i="1" s="1"/>
  <c r="L777" i="2" s="1"/>
  <c r="R776" i="1"/>
  <c r="S776" i="1" s="1"/>
  <c r="L776" i="2" s="1"/>
  <c r="R775" i="1"/>
  <c r="S775" i="1" s="1"/>
  <c r="L775" i="2" s="1"/>
  <c r="R774" i="1"/>
  <c r="S774" i="1" s="1"/>
  <c r="L774" i="2" s="1"/>
  <c r="R773" i="1"/>
  <c r="S773" i="1" s="1"/>
  <c r="L773" i="2" s="1"/>
  <c r="R772" i="1"/>
  <c r="S772" i="1" s="1"/>
  <c r="L772" i="2" s="1"/>
  <c r="R771" i="1"/>
  <c r="S771" i="1" s="1"/>
  <c r="L771" i="2" s="1"/>
  <c r="R769" i="1"/>
  <c r="S769" i="1" s="1"/>
  <c r="L769" i="2" s="1"/>
  <c r="R768" i="1"/>
  <c r="S768" i="1" s="1"/>
  <c r="L768" i="2" s="1"/>
  <c r="R767" i="1"/>
  <c r="S767" i="1" s="1"/>
  <c r="L767" i="2" s="1"/>
  <c r="R766" i="1"/>
  <c r="S766" i="1" s="1"/>
  <c r="L766" i="2" s="1"/>
  <c r="R765" i="1"/>
  <c r="S765" i="1" s="1"/>
  <c r="L765" i="2" s="1"/>
  <c r="R764" i="1"/>
  <c r="S764" i="1" s="1"/>
  <c r="L764" i="2" s="1"/>
  <c r="R763" i="1"/>
  <c r="S763" i="1" s="1"/>
  <c r="L763" i="2" s="1"/>
  <c r="R762" i="1"/>
  <c r="S762" i="1" s="1"/>
  <c r="L762" i="2" s="1"/>
  <c r="R761" i="1"/>
  <c r="S761" i="1" s="1"/>
  <c r="L761" i="2" s="1"/>
  <c r="R760" i="1"/>
  <c r="S760" i="1" s="1"/>
  <c r="L760" i="2" s="1"/>
  <c r="R759" i="1"/>
  <c r="S759" i="1" s="1"/>
  <c r="L759" i="2" s="1"/>
  <c r="R757" i="1"/>
  <c r="S757" i="1" s="1"/>
  <c r="L757" i="2" s="1"/>
  <c r="R756" i="1"/>
  <c r="S756" i="1" s="1"/>
  <c r="L756" i="2" s="1"/>
  <c r="R755" i="1"/>
  <c r="S755" i="1" s="1"/>
  <c r="L755" i="2" s="1"/>
  <c r="R754" i="1"/>
  <c r="S754" i="1" s="1"/>
  <c r="L754" i="2" s="1"/>
  <c r="R753" i="1"/>
  <c r="S753" i="1" s="1"/>
  <c r="L753" i="2" s="1"/>
  <c r="R752" i="1"/>
  <c r="S752" i="1" s="1"/>
  <c r="L752" i="2" s="1"/>
  <c r="R748" i="1"/>
  <c r="S748" i="1" s="1"/>
  <c r="L748" i="2" s="1"/>
  <c r="R746" i="1"/>
  <c r="S746" i="1" s="1"/>
  <c r="L746" i="2" s="1"/>
  <c r="R745" i="1"/>
  <c r="S745" i="1" s="1"/>
  <c r="L745" i="2" s="1"/>
  <c r="R743" i="1"/>
  <c r="S743" i="1" s="1"/>
  <c r="L743" i="2" s="1"/>
  <c r="R742" i="1"/>
  <c r="S742" i="1" s="1"/>
  <c r="L742" i="2" s="1"/>
  <c r="R741" i="1"/>
  <c r="S741" i="1" s="1"/>
  <c r="L741" i="2" s="1"/>
  <c r="R740" i="1"/>
  <c r="S740" i="1" s="1"/>
  <c r="L740" i="2" s="1"/>
  <c r="R739" i="1"/>
  <c r="S739" i="1" s="1"/>
  <c r="L739" i="2" s="1"/>
  <c r="R738" i="1"/>
  <c r="S738" i="1" s="1"/>
  <c r="L738" i="2" s="1"/>
  <c r="R737" i="1"/>
  <c r="S737" i="1" s="1"/>
  <c r="L737" i="2" s="1"/>
  <c r="R736" i="1"/>
  <c r="S736" i="1" s="1"/>
  <c r="L736" i="2" s="1"/>
  <c r="R735" i="1"/>
  <c r="S735" i="1" s="1"/>
  <c r="L735" i="2" s="1"/>
  <c r="R734" i="1"/>
  <c r="S734" i="1" s="1"/>
  <c r="L734" i="2" s="1"/>
  <c r="R733" i="1"/>
  <c r="S733" i="1" s="1"/>
  <c r="L733" i="2" s="1"/>
  <c r="R732" i="1"/>
  <c r="S732" i="1" s="1"/>
  <c r="L732" i="2" s="1"/>
  <c r="R731" i="1"/>
  <c r="S731" i="1" s="1"/>
  <c r="L731" i="2" s="1"/>
  <c r="R729" i="1"/>
  <c r="S729" i="1" s="1"/>
  <c r="L729" i="2" s="1"/>
  <c r="R728" i="1"/>
  <c r="S728" i="1" s="1"/>
  <c r="L728" i="2" s="1"/>
  <c r="R725" i="1"/>
  <c r="S725" i="1" s="1"/>
  <c r="L725" i="2" s="1"/>
  <c r="R722" i="1"/>
  <c r="S722" i="1" s="1"/>
  <c r="L722" i="2" s="1"/>
  <c r="R716" i="1"/>
  <c r="S716" i="1" s="1"/>
  <c r="L716" i="2" s="1"/>
  <c r="R713" i="1"/>
  <c r="S713" i="1" s="1"/>
  <c r="L713" i="2" s="1"/>
  <c r="R712" i="1"/>
  <c r="S712" i="1" s="1"/>
  <c r="L712" i="2" s="1"/>
  <c r="R708" i="1"/>
  <c r="S708" i="1" s="1"/>
  <c r="L708" i="2" s="1"/>
  <c r="R707" i="1"/>
  <c r="S707" i="1" s="1"/>
  <c r="L707" i="2" s="1"/>
  <c r="R706" i="1"/>
  <c r="S706" i="1" s="1"/>
  <c r="L706" i="2" s="1"/>
  <c r="R705" i="1"/>
  <c r="S705" i="1" s="1"/>
  <c r="L705" i="2" s="1"/>
  <c r="R702" i="1"/>
  <c r="S702" i="1" s="1"/>
  <c r="L702" i="2" s="1"/>
  <c r="R701" i="1"/>
  <c r="S701" i="1" s="1"/>
  <c r="L701" i="2" s="1"/>
  <c r="R700" i="1"/>
  <c r="S700" i="1" s="1"/>
  <c r="L700" i="2" s="1"/>
  <c r="R699" i="1"/>
  <c r="S699" i="1" s="1"/>
  <c r="L699" i="2" s="1"/>
  <c r="R698" i="1"/>
  <c r="S698" i="1" s="1"/>
  <c r="L698" i="2" s="1"/>
  <c r="R697" i="1"/>
  <c r="S697" i="1" s="1"/>
  <c r="L697" i="2" s="1"/>
  <c r="R696" i="1"/>
  <c r="S696" i="1" s="1"/>
  <c r="L696" i="2" s="1"/>
  <c r="R694" i="1"/>
  <c r="S694" i="1" s="1"/>
  <c r="L694" i="2" s="1"/>
  <c r="R693" i="1"/>
  <c r="S693" i="1" s="1"/>
  <c r="L693" i="2" s="1"/>
  <c r="R692" i="1"/>
  <c r="S692" i="1" s="1"/>
  <c r="L692" i="2" s="1"/>
  <c r="R690" i="1"/>
  <c r="S690" i="1" s="1"/>
  <c r="L690" i="2" s="1"/>
  <c r="R689" i="1"/>
  <c r="S689" i="1" s="1"/>
  <c r="L689" i="2" s="1"/>
  <c r="R688" i="1"/>
  <c r="S688" i="1" s="1"/>
  <c r="L688" i="2" s="1"/>
  <c r="R687" i="1"/>
  <c r="S687" i="1" s="1"/>
  <c r="L687" i="2" s="1"/>
  <c r="R685" i="1"/>
  <c r="S685" i="1" s="1"/>
  <c r="L685" i="2" s="1"/>
  <c r="R683" i="1"/>
  <c r="S683" i="1" s="1"/>
  <c r="L683" i="2" s="1"/>
  <c r="R682" i="1"/>
  <c r="S682" i="1" s="1"/>
  <c r="L682" i="2" s="1"/>
  <c r="R681" i="1"/>
  <c r="S681" i="1" s="1"/>
  <c r="L681" i="2" s="1"/>
  <c r="R679" i="1"/>
  <c r="S679" i="1" s="1"/>
  <c r="L679" i="2" s="1"/>
  <c r="R678" i="1"/>
  <c r="S678" i="1" s="1"/>
  <c r="L678" i="2" s="1"/>
  <c r="R677" i="1"/>
  <c r="S677" i="1" s="1"/>
  <c r="L677" i="2" s="1"/>
  <c r="R674" i="1"/>
  <c r="S674" i="1" s="1"/>
  <c r="L674" i="2" s="1"/>
  <c r="R673" i="1"/>
  <c r="S673" i="1" s="1"/>
  <c r="L673" i="2" s="1"/>
  <c r="R672" i="1"/>
  <c r="S672" i="1" s="1"/>
  <c r="L672" i="2" s="1"/>
  <c r="R671" i="1"/>
  <c r="S671" i="1" s="1"/>
  <c r="L671" i="2" s="1"/>
  <c r="R669" i="1"/>
  <c r="S669" i="1" s="1"/>
  <c r="L669" i="2" s="1"/>
  <c r="R667" i="1"/>
  <c r="S667" i="1" s="1"/>
  <c r="L667" i="2" s="1"/>
  <c r="R666" i="1"/>
  <c r="S666" i="1" s="1"/>
  <c r="L666" i="2" s="1"/>
  <c r="R665" i="1"/>
  <c r="S665" i="1" s="1"/>
  <c r="L665" i="2" s="1"/>
  <c r="R661" i="1"/>
  <c r="S661" i="1" s="1"/>
  <c r="L661" i="2" s="1"/>
  <c r="R660" i="1"/>
  <c r="S660" i="1" s="1"/>
  <c r="L660" i="2" s="1"/>
  <c r="R659" i="1"/>
  <c r="S659" i="1" s="1"/>
  <c r="L659" i="2" s="1"/>
  <c r="R658" i="1"/>
  <c r="S658" i="1" s="1"/>
  <c r="L658" i="2" s="1"/>
  <c r="R657" i="1"/>
  <c r="S657" i="1" s="1"/>
  <c r="L657" i="2" s="1"/>
  <c r="R656" i="1"/>
  <c r="S656" i="1" s="1"/>
  <c r="L656" i="2" s="1"/>
  <c r="R654" i="1"/>
  <c r="S654" i="1" s="1"/>
  <c r="L654" i="2" s="1"/>
  <c r="R650" i="1"/>
  <c r="S650" i="1" s="1"/>
  <c r="L650" i="2" s="1"/>
  <c r="R649" i="1"/>
  <c r="S649" i="1" s="1"/>
  <c r="L649" i="2" s="1"/>
  <c r="R648" i="1"/>
  <c r="S648" i="1" s="1"/>
  <c r="L648" i="2" s="1"/>
  <c r="R647" i="1"/>
  <c r="S647" i="1" s="1"/>
  <c r="L647" i="2" s="1"/>
  <c r="R646" i="1"/>
  <c r="S646" i="1" s="1"/>
  <c r="L646" i="2" s="1"/>
  <c r="R644" i="1"/>
  <c r="S644" i="1" s="1"/>
  <c r="L644" i="2" s="1"/>
  <c r="R643" i="1"/>
  <c r="S643" i="1" s="1"/>
  <c r="L643" i="2" s="1"/>
  <c r="R642" i="1"/>
  <c r="S642" i="1" s="1"/>
  <c r="L642" i="2" s="1"/>
  <c r="R641" i="1"/>
  <c r="S641" i="1" s="1"/>
  <c r="L641" i="2" s="1"/>
  <c r="R640" i="1"/>
  <c r="S640" i="1" s="1"/>
  <c r="L640" i="2" s="1"/>
  <c r="R639" i="1"/>
  <c r="S639" i="1" s="1"/>
  <c r="L639" i="2" s="1"/>
  <c r="R638" i="1"/>
  <c r="S638" i="1" s="1"/>
  <c r="L638" i="2" s="1"/>
  <c r="R637" i="1"/>
  <c r="S637" i="1" s="1"/>
  <c r="L637" i="2" s="1"/>
  <c r="R636" i="1"/>
  <c r="S636" i="1" s="1"/>
  <c r="L636" i="2" s="1"/>
  <c r="R632" i="1"/>
  <c r="S632" i="1" s="1"/>
  <c r="L632" i="2" s="1"/>
  <c r="R630" i="1"/>
  <c r="S630" i="1" s="1"/>
  <c r="L630" i="2" s="1"/>
  <c r="R629" i="1"/>
  <c r="S629" i="1" s="1"/>
  <c r="L629" i="2" s="1"/>
  <c r="R626" i="1"/>
  <c r="S626" i="1" s="1"/>
  <c r="L626" i="2" s="1"/>
  <c r="R625" i="1"/>
  <c r="S625" i="1" s="1"/>
  <c r="L625" i="2" s="1"/>
  <c r="R624" i="1"/>
  <c r="R622" i="1"/>
  <c r="S622" i="1" s="1"/>
  <c r="L622" i="2" s="1"/>
  <c r="R621" i="1"/>
  <c r="S621" i="1" s="1"/>
  <c r="L621" i="2" s="1"/>
  <c r="R620" i="1"/>
  <c r="S620" i="1" s="1"/>
  <c r="L620" i="2" s="1"/>
  <c r="R619" i="1"/>
  <c r="S619" i="1" s="1"/>
  <c r="L619" i="2" s="1"/>
  <c r="R618" i="1"/>
  <c r="S618" i="1" s="1"/>
  <c r="L618" i="2" s="1"/>
  <c r="R617" i="1"/>
  <c r="S617" i="1" s="1"/>
  <c r="L617" i="2" s="1"/>
  <c r="R616" i="1"/>
  <c r="S616" i="1" s="1"/>
  <c r="L616" i="2" s="1"/>
  <c r="R614" i="1"/>
  <c r="S614" i="1" s="1"/>
  <c r="L614" i="2" s="1"/>
  <c r="R612" i="1"/>
  <c r="S612" i="1" s="1"/>
  <c r="L612" i="2" s="1"/>
  <c r="R611" i="1"/>
  <c r="S611" i="1" s="1"/>
  <c r="L611" i="2" s="1"/>
  <c r="R610" i="1"/>
  <c r="S610" i="1" s="1"/>
  <c r="L610" i="2" s="1"/>
  <c r="R608" i="1"/>
  <c r="S608" i="1" s="1"/>
  <c r="L608" i="2" s="1"/>
  <c r="R607" i="1"/>
  <c r="S607" i="1" s="1"/>
  <c r="L607" i="2" s="1"/>
  <c r="R606" i="1"/>
  <c r="S606" i="1" s="1"/>
  <c r="L606" i="2" s="1"/>
  <c r="R604" i="1"/>
  <c r="S604" i="1" s="1"/>
  <c r="L604" i="2" s="1"/>
  <c r="R602" i="1"/>
  <c r="S602" i="1" s="1"/>
  <c r="L602" i="2" s="1"/>
  <c r="R601" i="1"/>
  <c r="S601" i="1" s="1"/>
  <c r="L601" i="2" s="1"/>
  <c r="R599" i="1"/>
  <c r="S599" i="1" s="1"/>
  <c r="L599" i="2" s="1"/>
  <c r="R598" i="1"/>
  <c r="S598" i="1" s="1"/>
  <c r="L598" i="2" s="1"/>
  <c r="R597" i="1"/>
  <c r="S597" i="1" s="1"/>
  <c r="L597" i="2" s="1"/>
  <c r="R594" i="1"/>
  <c r="S594" i="1" s="1"/>
  <c r="L594" i="2" s="1"/>
  <c r="R592" i="1"/>
  <c r="S592" i="1" s="1"/>
  <c r="L592" i="2" s="1"/>
  <c r="R590" i="1"/>
  <c r="S590" i="1" s="1"/>
  <c r="L590" i="2" s="1"/>
  <c r="R587" i="1"/>
  <c r="S587" i="1" s="1"/>
  <c r="L587" i="2" s="1"/>
  <c r="R586" i="1"/>
  <c r="S586" i="1" s="1"/>
  <c r="L586" i="2" s="1"/>
  <c r="R585" i="1"/>
  <c r="S585" i="1" s="1"/>
  <c r="L585" i="2" s="1"/>
  <c r="R583" i="1"/>
  <c r="S583" i="1" s="1"/>
  <c r="L583" i="2" s="1"/>
  <c r="R582" i="1"/>
  <c r="S582" i="1" s="1"/>
  <c r="L582" i="2" s="1"/>
  <c r="R580" i="1"/>
  <c r="S580" i="1" s="1"/>
  <c r="L580" i="2" s="1"/>
  <c r="R579" i="1"/>
  <c r="S579" i="1" s="1"/>
  <c r="L579" i="2" s="1"/>
  <c r="R578" i="1"/>
  <c r="S578" i="1" s="1"/>
  <c r="L578" i="2" s="1"/>
  <c r="R577" i="1"/>
  <c r="S577" i="1" s="1"/>
  <c r="L577" i="2" s="1"/>
  <c r="R576" i="1"/>
  <c r="S576" i="1" s="1"/>
  <c r="L576" i="2" s="1"/>
  <c r="R575" i="1"/>
  <c r="S575" i="1" s="1"/>
  <c r="L575" i="2" s="1"/>
  <c r="R574" i="1"/>
  <c r="S574" i="1" s="1"/>
  <c r="L574" i="2" s="1"/>
  <c r="R572" i="1"/>
  <c r="S572" i="1" s="1"/>
  <c r="L572" i="2" s="1"/>
  <c r="R571" i="1"/>
  <c r="S571" i="1" s="1"/>
  <c r="L571" i="2" s="1"/>
  <c r="R570" i="1"/>
  <c r="S570" i="1" s="1"/>
  <c r="L570" i="2" s="1"/>
  <c r="R569" i="1"/>
  <c r="S569" i="1" s="1"/>
  <c r="L569" i="2" s="1"/>
  <c r="R568" i="1"/>
  <c r="S568" i="1" s="1"/>
  <c r="L568" i="2" s="1"/>
  <c r="R567" i="1"/>
  <c r="S567" i="1" s="1"/>
  <c r="L567" i="2" s="1"/>
  <c r="R565" i="1"/>
  <c r="S565" i="1" s="1"/>
  <c r="L565" i="2" s="1"/>
  <c r="R564" i="1"/>
  <c r="S564" i="1" s="1"/>
  <c r="L564" i="2" s="1"/>
  <c r="R563" i="1"/>
  <c r="S563" i="1" s="1"/>
  <c r="L563" i="2" s="1"/>
  <c r="R562" i="1"/>
  <c r="S562" i="1" s="1"/>
  <c r="L562" i="2" s="1"/>
  <c r="R561" i="1"/>
  <c r="S561" i="1" s="1"/>
  <c r="L561" i="2" s="1"/>
  <c r="R560" i="1"/>
  <c r="S560" i="1" s="1"/>
  <c r="L560" i="2" s="1"/>
  <c r="R558" i="1"/>
  <c r="S558" i="1" s="1"/>
  <c r="L558" i="2" s="1"/>
  <c r="R556" i="1"/>
  <c r="S556" i="1" s="1"/>
  <c r="L556" i="2" s="1"/>
  <c r="R554" i="1"/>
  <c r="S554" i="1" s="1"/>
  <c r="L554" i="2" s="1"/>
  <c r="R553" i="1"/>
  <c r="S553" i="1" s="1"/>
  <c r="L553" i="2" s="1"/>
  <c r="R551" i="1"/>
  <c r="S551" i="1" s="1"/>
  <c r="L551" i="2" s="1"/>
  <c r="R550" i="1"/>
  <c r="S550" i="1" s="1"/>
  <c r="L550" i="2" s="1"/>
  <c r="R549" i="1"/>
  <c r="S549" i="1" s="1"/>
  <c r="L549" i="2" s="1"/>
  <c r="R548" i="1"/>
  <c r="S548" i="1" s="1"/>
  <c r="L548" i="2" s="1"/>
  <c r="R546" i="1"/>
  <c r="S546" i="1" s="1"/>
  <c r="L546" i="2" s="1"/>
  <c r="R545" i="1"/>
  <c r="S545" i="1" s="1"/>
  <c r="L545" i="2" s="1"/>
  <c r="R544" i="1"/>
  <c r="S544" i="1" s="1"/>
  <c r="L544" i="2" s="1"/>
  <c r="R543" i="1"/>
  <c r="S543" i="1" s="1"/>
  <c r="L543" i="2" s="1"/>
  <c r="R541" i="1"/>
  <c r="S541" i="1" s="1"/>
  <c r="L541" i="2" s="1"/>
  <c r="R540" i="1"/>
  <c r="S540" i="1" s="1"/>
  <c r="L540" i="2" s="1"/>
  <c r="R538" i="1"/>
  <c r="S538" i="1" s="1"/>
  <c r="L538" i="2" s="1"/>
  <c r="R537" i="1"/>
  <c r="S537" i="1" s="1"/>
  <c r="L537" i="2" s="1"/>
  <c r="R536" i="1"/>
  <c r="S536" i="1" s="1"/>
  <c r="L536" i="2" s="1"/>
  <c r="R535" i="1"/>
  <c r="S535" i="1" s="1"/>
  <c r="L535" i="2" s="1"/>
  <c r="R533" i="1"/>
  <c r="S533" i="1" s="1"/>
  <c r="L533" i="2" s="1"/>
  <c r="R531" i="1"/>
  <c r="S531" i="1" s="1"/>
  <c r="L531" i="2" s="1"/>
  <c r="R530" i="1"/>
  <c r="S530" i="1" s="1"/>
  <c r="L530" i="2" s="1"/>
  <c r="R528" i="1"/>
  <c r="S528" i="1" s="1"/>
  <c r="L528" i="2" s="1"/>
  <c r="R527" i="1"/>
  <c r="S527" i="1" s="1"/>
  <c r="L527" i="2" s="1"/>
  <c r="R526" i="1"/>
  <c r="S526" i="1" s="1"/>
  <c r="L526" i="2" s="1"/>
  <c r="R525" i="1"/>
  <c r="S525" i="1" s="1"/>
  <c r="L525" i="2" s="1"/>
  <c r="R524" i="1"/>
  <c r="S524" i="1" s="1"/>
  <c r="L524" i="2" s="1"/>
  <c r="R523" i="1"/>
  <c r="S523" i="1" s="1"/>
  <c r="L523" i="2" s="1"/>
  <c r="R521" i="1"/>
  <c r="S521" i="1" s="1"/>
  <c r="L521" i="2" s="1"/>
  <c r="R520" i="1"/>
  <c r="S520" i="1" s="1"/>
  <c r="L520" i="2" s="1"/>
  <c r="R519" i="1"/>
  <c r="S519" i="1" s="1"/>
  <c r="L519" i="2" s="1"/>
  <c r="R517" i="1"/>
  <c r="S517" i="1" s="1"/>
  <c r="L517" i="2" s="1"/>
  <c r="R514" i="1"/>
  <c r="S514" i="1" s="1"/>
  <c r="L514" i="2" s="1"/>
  <c r="R513" i="1"/>
  <c r="S513" i="1" s="1"/>
  <c r="L513" i="2" s="1"/>
  <c r="R512" i="1"/>
  <c r="S512" i="1" s="1"/>
  <c r="L512" i="2" s="1"/>
  <c r="R511" i="1"/>
  <c r="S511" i="1" s="1"/>
  <c r="L511" i="2" s="1"/>
  <c r="R510" i="1"/>
  <c r="S510" i="1" s="1"/>
  <c r="L510" i="2" s="1"/>
  <c r="R508" i="1"/>
  <c r="S508" i="1" s="1"/>
  <c r="L508" i="2" s="1"/>
  <c r="R507" i="1"/>
  <c r="S507" i="1" s="1"/>
  <c r="L507" i="2" s="1"/>
  <c r="R506" i="1"/>
  <c r="S506" i="1" s="1"/>
  <c r="L506" i="2" s="1"/>
  <c r="R505" i="1"/>
  <c r="S505" i="1" s="1"/>
  <c r="L505" i="2" s="1"/>
  <c r="R504" i="1"/>
  <c r="S504" i="1" s="1"/>
  <c r="L504" i="2" s="1"/>
  <c r="R503" i="1"/>
  <c r="S503" i="1" s="1"/>
  <c r="L503" i="2" s="1"/>
  <c r="R502" i="1"/>
  <c r="S502" i="1" s="1"/>
  <c r="L502" i="2" s="1"/>
  <c r="R501" i="1"/>
  <c r="S501" i="1" s="1"/>
  <c r="L501" i="2" s="1"/>
  <c r="R500" i="1"/>
  <c r="S500" i="1" s="1"/>
  <c r="L500" i="2" s="1"/>
  <c r="R499" i="1"/>
  <c r="S499" i="1" s="1"/>
  <c r="L499" i="2" s="1"/>
  <c r="R498" i="1"/>
  <c r="S498" i="1" s="1"/>
  <c r="L498" i="2" s="1"/>
  <c r="R497" i="1"/>
  <c r="S497" i="1" s="1"/>
  <c r="L497" i="2" s="1"/>
  <c r="R496" i="1"/>
  <c r="S496" i="1" s="1"/>
  <c r="L496" i="2" s="1"/>
  <c r="R495" i="1"/>
  <c r="S495" i="1" s="1"/>
  <c r="L495" i="2" s="1"/>
  <c r="R494" i="1"/>
  <c r="S494" i="1" s="1"/>
  <c r="L494" i="2" s="1"/>
  <c r="R492" i="1"/>
  <c r="S492" i="1" s="1"/>
  <c r="L492" i="2" s="1"/>
  <c r="R491" i="1"/>
  <c r="S491" i="1" s="1"/>
  <c r="L491" i="2" s="1"/>
  <c r="R490" i="1"/>
  <c r="S490" i="1" s="1"/>
  <c r="L490" i="2" s="1"/>
  <c r="R488" i="1"/>
  <c r="S488" i="1" s="1"/>
  <c r="L488" i="2" s="1"/>
  <c r="R486" i="1"/>
  <c r="S486" i="1" s="1"/>
  <c r="L486" i="2" s="1"/>
  <c r="R485" i="1"/>
  <c r="S485" i="1" s="1"/>
  <c r="L485" i="2" s="1"/>
  <c r="R484" i="1"/>
  <c r="S484" i="1" s="1"/>
  <c r="L484" i="2" s="1"/>
  <c r="R483" i="1"/>
  <c r="S483" i="1" s="1"/>
  <c r="L483" i="2" s="1"/>
  <c r="R480" i="1"/>
  <c r="S480" i="1" s="1"/>
  <c r="L480" i="2" s="1"/>
  <c r="R476" i="1"/>
  <c r="S476" i="1" s="1"/>
  <c r="L476" i="2" s="1"/>
  <c r="R473" i="1"/>
  <c r="S473" i="1" s="1"/>
  <c r="L473" i="2" s="1"/>
  <c r="R472" i="1"/>
  <c r="S472" i="1" s="1"/>
  <c r="L472" i="2" s="1"/>
  <c r="R470" i="1"/>
  <c r="S470" i="1" s="1"/>
  <c r="L470" i="2" s="1"/>
  <c r="R469" i="1"/>
  <c r="S469" i="1" s="1"/>
  <c r="L469" i="2" s="1"/>
  <c r="R465" i="1"/>
  <c r="S465" i="1" s="1"/>
  <c r="L465" i="2" s="1"/>
  <c r="R464" i="1"/>
  <c r="S464" i="1" s="1"/>
  <c r="L464" i="2" s="1"/>
  <c r="R463" i="1"/>
  <c r="S463" i="1" s="1"/>
  <c r="L463" i="2" s="1"/>
  <c r="R462" i="1"/>
  <c r="S462" i="1" s="1"/>
  <c r="L462" i="2" s="1"/>
  <c r="R461" i="1"/>
  <c r="S461" i="1" s="1"/>
  <c r="L461" i="2" s="1"/>
  <c r="R459" i="1"/>
  <c r="S459" i="1" s="1"/>
  <c r="L459" i="2" s="1"/>
  <c r="R457" i="1"/>
  <c r="S457" i="1" s="1"/>
  <c r="L457" i="2" s="1"/>
  <c r="R455" i="1"/>
  <c r="S455" i="1" s="1"/>
  <c r="L455" i="2" s="1"/>
  <c r="R453" i="1"/>
  <c r="S453" i="1" s="1"/>
  <c r="L453" i="2" s="1"/>
  <c r="R452" i="1"/>
  <c r="S452" i="1" s="1"/>
  <c r="L452" i="2" s="1"/>
  <c r="R451" i="1"/>
  <c r="S451" i="1" s="1"/>
  <c r="L451" i="2" s="1"/>
  <c r="R450" i="1"/>
  <c r="S450" i="1" s="1"/>
  <c r="L450" i="2" s="1"/>
  <c r="R449" i="1"/>
  <c r="S449" i="1" s="1"/>
  <c r="L449" i="2" s="1"/>
  <c r="R446" i="1"/>
  <c r="S446" i="1" s="1"/>
  <c r="L446" i="2" s="1"/>
  <c r="R443" i="1"/>
  <c r="S443" i="1" s="1"/>
  <c r="L443" i="2" s="1"/>
  <c r="R442" i="1"/>
  <c r="S442" i="1" s="1"/>
  <c r="L442" i="2" s="1"/>
  <c r="R441" i="1"/>
  <c r="S441" i="1" s="1"/>
  <c r="L441" i="2" s="1"/>
  <c r="R440" i="1"/>
  <c r="S440" i="1" s="1"/>
  <c r="L440" i="2" s="1"/>
  <c r="R439" i="1"/>
  <c r="S439" i="1" s="1"/>
  <c r="L439" i="2" s="1"/>
  <c r="R438" i="1"/>
  <c r="S438" i="1" s="1"/>
  <c r="L438" i="2" s="1"/>
  <c r="R437" i="1"/>
  <c r="S437" i="1" s="1"/>
  <c r="L437" i="2" s="1"/>
  <c r="R436" i="1"/>
  <c r="S436" i="1" s="1"/>
  <c r="L436" i="2" s="1"/>
  <c r="R435" i="1"/>
  <c r="S435" i="1" s="1"/>
  <c r="L435" i="2" s="1"/>
  <c r="R434" i="1"/>
  <c r="S434" i="1" s="1"/>
  <c r="L434" i="2" s="1"/>
  <c r="R432" i="1"/>
  <c r="S432" i="1" s="1"/>
  <c r="L432" i="2" s="1"/>
  <c r="R431" i="1"/>
  <c r="S431" i="1" s="1"/>
  <c r="L431" i="2" s="1"/>
  <c r="R430" i="1"/>
  <c r="S430" i="1" s="1"/>
  <c r="L430" i="2" s="1"/>
  <c r="R429" i="1"/>
  <c r="S429" i="1" s="1"/>
  <c r="L429" i="2" s="1"/>
  <c r="R428" i="1"/>
  <c r="S428" i="1" s="1"/>
  <c r="L428" i="2" s="1"/>
  <c r="R427" i="1"/>
  <c r="S427" i="1" s="1"/>
  <c r="L427" i="2" s="1"/>
  <c r="R424" i="1"/>
  <c r="S424" i="1" s="1"/>
  <c r="L424" i="2" s="1"/>
  <c r="R423" i="1"/>
  <c r="S423" i="1" s="1"/>
  <c r="L423" i="2" s="1"/>
  <c r="R422" i="1"/>
  <c r="S422" i="1" s="1"/>
  <c r="L422" i="2" s="1"/>
  <c r="R421" i="1"/>
  <c r="S421" i="1" s="1"/>
  <c r="L421" i="2" s="1"/>
  <c r="R420" i="1"/>
  <c r="S420" i="1" s="1"/>
  <c r="L420" i="2" s="1"/>
  <c r="R418" i="1"/>
  <c r="S418" i="1" s="1"/>
  <c r="L418" i="2" s="1"/>
  <c r="R417" i="1"/>
  <c r="S417" i="1" s="1"/>
  <c r="L417" i="2" s="1"/>
  <c r="R415" i="1"/>
  <c r="S415" i="1" s="1"/>
  <c r="L415" i="2" s="1"/>
  <c r="R413" i="1"/>
  <c r="S413" i="1" s="1"/>
  <c r="L413" i="2" s="1"/>
  <c r="R412" i="1"/>
  <c r="S412" i="1" s="1"/>
  <c r="L412" i="2" s="1"/>
  <c r="R411" i="1"/>
  <c r="S411" i="1" s="1"/>
  <c r="L411" i="2" s="1"/>
  <c r="R410" i="1"/>
  <c r="S410" i="1" s="1"/>
  <c r="L410" i="2" s="1"/>
  <c r="R409" i="1"/>
  <c r="S409" i="1" s="1"/>
  <c r="L409" i="2" s="1"/>
  <c r="R408" i="1"/>
  <c r="S408" i="1" s="1"/>
  <c r="L408" i="2" s="1"/>
  <c r="R407" i="1"/>
  <c r="S407" i="1" s="1"/>
  <c r="L407" i="2" s="1"/>
  <c r="R405" i="1"/>
  <c r="S405" i="1" s="1"/>
  <c r="L405" i="2" s="1"/>
  <c r="R404" i="1"/>
  <c r="S404" i="1" s="1"/>
  <c r="L404" i="2" s="1"/>
  <c r="R403" i="1"/>
  <c r="S403" i="1" s="1"/>
  <c r="L403" i="2" s="1"/>
  <c r="R402" i="1"/>
  <c r="S402" i="1" s="1"/>
  <c r="L402" i="2" s="1"/>
  <c r="R401" i="1"/>
  <c r="S401" i="1" s="1"/>
  <c r="L401" i="2" s="1"/>
  <c r="R400" i="1"/>
  <c r="S400" i="1" s="1"/>
  <c r="L400" i="2" s="1"/>
  <c r="R399" i="1"/>
  <c r="S399" i="1" s="1"/>
  <c r="L399" i="2" s="1"/>
  <c r="R398" i="1"/>
  <c r="S398" i="1" s="1"/>
  <c r="L398" i="2" s="1"/>
  <c r="R394" i="1"/>
  <c r="S394" i="1" s="1"/>
  <c r="L394" i="2" s="1"/>
  <c r="R393" i="1"/>
  <c r="S393" i="1" s="1"/>
  <c r="L393" i="2" s="1"/>
  <c r="R391" i="1"/>
  <c r="S391" i="1" s="1"/>
  <c r="L391" i="2" s="1"/>
  <c r="R390" i="1"/>
  <c r="S390" i="1" s="1"/>
  <c r="L390" i="2" s="1"/>
  <c r="R388" i="1"/>
  <c r="S388" i="1" s="1"/>
  <c r="L388" i="2" s="1"/>
  <c r="R387" i="1"/>
  <c r="S387" i="1" s="1"/>
  <c r="L387" i="2" s="1"/>
  <c r="R386" i="1"/>
  <c r="S386" i="1" s="1"/>
  <c r="L386" i="2" s="1"/>
  <c r="R385" i="1"/>
  <c r="S385" i="1" s="1"/>
  <c r="L385" i="2" s="1"/>
  <c r="R384" i="1"/>
  <c r="S384" i="1" s="1"/>
  <c r="L384" i="2" s="1"/>
  <c r="R383" i="1"/>
  <c r="S383" i="1" s="1"/>
  <c r="L383" i="2" s="1"/>
  <c r="R382" i="1"/>
  <c r="S382" i="1" s="1"/>
  <c r="L382" i="2" s="1"/>
  <c r="R380" i="1"/>
  <c r="S380" i="1" s="1"/>
  <c r="L380" i="2" s="1"/>
  <c r="R379" i="1"/>
  <c r="S379" i="1" s="1"/>
  <c r="L379" i="2" s="1"/>
  <c r="R377" i="1"/>
  <c r="S377" i="1" s="1"/>
  <c r="L377" i="2" s="1"/>
  <c r="R376" i="1"/>
  <c r="S376" i="1" s="1"/>
  <c r="L376" i="2" s="1"/>
  <c r="R374" i="1"/>
  <c r="S374" i="1" s="1"/>
  <c r="L374" i="2" s="1"/>
  <c r="R373" i="1"/>
  <c r="S373" i="1" s="1"/>
  <c r="L373" i="2" s="1"/>
  <c r="R372" i="1"/>
  <c r="S372" i="1" s="1"/>
  <c r="L372" i="2" s="1"/>
  <c r="R370" i="1"/>
  <c r="S370" i="1" s="1"/>
  <c r="L370" i="2" s="1"/>
  <c r="R367" i="1"/>
  <c r="S367" i="1" s="1"/>
  <c r="L367" i="2" s="1"/>
  <c r="R364" i="1"/>
  <c r="S364" i="1" s="1"/>
  <c r="L364" i="2" s="1"/>
  <c r="R363" i="1"/>
  <c r="S363" i="1" s="1"/>
  <c r="L363" i="2" s="1"/>
  <c r="R362" i="1"/>
  <c r="S362" i="1" s="1"/>
  <c r="L362" i="2" s="1"/>
  <c r="R361" i="1"/>
  <c r="S361" i="1" s="1"/>
  <c r="L361" i="2" s="1"/>
  <c r="R360" i="1"/>
  <c r="S360" i="1" s="1"/>
  <c r="L360" i="2" s="1"/>
  <c r="R359" i="1"/>
  <c r="S359" i="1" s="1"/>
  <c r="L359" i="2" s="1"/>
  <c r="R358" i="1"/>
  <c r="S358" i="1" s="1"/>
  <c r="L358" i="2" s="1"/>
  <c r="R356" i="1"/>
  <c r="S356" i="1" s="1"/>
  <c r="L356" i="2" s="1"/>
  <c r="R355" i="1"/>
  <c r="S355" i="1" s="1"/>
  <c r="L355" i="2" s="1"/>
  <c r="R354" i="1"/>
  <c r="S354" i="1" s="1"/>
  <c r="L354" i="2" s="1"/>
  <c r="R353" i="1"/>
  <c r="S353" i="1" s="1"/>
  <c r="L353" i="2" s="1"/>
  <c r="R352" i="1"/>
  <c r="S352" i="1" s="1"/>
  <c r="L352" i="2" s="1"/>
  <c r="R348" i="1"/>
  <c r="S348" i="1" s="1"/>
  <c r="L348" i="2" s="1"/>
  <c r="R347" i="1"/>
  <c r="S347" i="1" s="1"/>
  <c r="L347" i="2" s="1"/>
  <c r="R346" i="1"/>
  <c r="S346" i="1" s="1"/>
  <c r="L346" i="2" s="1"/>
  <c r="R345" i="1"/>
  <c r="S345" i="1" s="1"/>
  <c r="L345" i="2" s="1"/>
  <c r="R343" i="1"/>
  <c r="S343" i="1" s="1"/>
  <c r="L343" i="2" s="1"/>
  <c r="R340" i="1"/>
  <c r="S340" i="1" s="1"/>
  <c r="L340" i="2" s="1"/>
  <c r="R339" i="1"/>
  <c r="S339" i="1" s="1"/>
  <c r="L339" i="2" s="1"/>
  <c r="R338" i="1"/>
  <c r="S338" i="1" s="1"/>
  <c r="L338" i="2" s="1"/>
  <c r="R336" i="1"/>
  <c r="S336" i="1" s="1"/>
  <c r="L336" i="2" s="1"/>
  <c r="R334" i="1"/>
  <c r="S334" i="1" s="1"/>
  <c r="L334" i="2" s="1"/>
  <c r="R333" i="1"/>
  <c r="S333" i="1" s="1"/>
  <c r="L333" i="2" s="1"/>
  <c r="R332" i="1"/>
  <c r="S332" i="1" s="1"/>
  <c r="L332" i="2" s="1"/>
  <c r="R331" i="1"/>
  <c r="S331" i="1" s="1"/>
  <c r="L331" i="2" s="1"/>
  <c r="R330" i="1"/>
  <c r="S330" i="1" s="1"/>
  <c r="L330" i="2" s="1"/>
  <c r="R327" i="1"/>
  <c r="S327" i="1" s="1"/>
  <c r="L327" i="2" s="1"/>
  <c r="R326" i="1"/>
  <c r="S326" i="1" s="1"/>
  <c r="L326" i="2" s="1"/>
  <c r="R325" i="1"/>
  <c r="S325" i="1" s="1"/>
  <c r="L325" i="2" s="1"/>
  <c r="R324" i="1"/>
  <c r="S324" i="1" s="1"/>
  <c r="L324" i="2" s="1"/>
  <c r="R321" i="1"/>
  <c r="S321" i="1" s="1"/>
  <c r="L321" i="2" s="1"/>
  <c r="R319" i="1"/>
  <c r="S319" i="1" s="1"/>
  <c r="L319" i="2" s="1"/>
  <c r="R317" i="1"/>
  <c r="S317" i="1" s="1"/>
  <c r="L317" i="2" s="1"/>
  <c r="R316" i="1"/>
  <c r="S316" i="1" s="1"/>
  <c r="L316" i="2" s="1"/>
  <c r="R315" i="1"/>
  <c r="S315" i="1" s="1"/>
  <c r="L315" i="2" s="1"/>
  <c r="R314" i="1"/>
  <c r="S314" i="1" s="1"/>
  <c r="L314" i="2" s="1"/>
  <c r="R311" i="1"/>
  <c r="S311" i="1" s="1"/>
  <c r="L311" i="2" s="1"/>
  <c r="R310" i="1"/>
  <c r="S310" i="1" s="1"/>
  <c r="L310" i="2" s="1"/>
  <c r="R309" i="1"/>
  <c r="S309" i="1" s="1"/>
  <c r="L309" i="2" s="1"/>
  <c r="R308" i="1"/>
  <c r="S308" i="1" s="1"/>
  <c r="L308" i="2" s="1"/>
  <c r="R307" i="1"/>
  <c r="S307" i="1" s="1"/>
  <c r="L307" i="2" s="1"/>
  <c r="R305" i="1"/>
  <c r="S305" i="1" s="1"/>
  <c r="L305" i="2" s="1"/>
  <c r="R304" i="1"/>
  <c r="S304" i="1" s="1"/>
  <c r="L304" i="2" s="1"/>
  <c r="R303" i="1"/>
  <c r="S303" i="1" s="1"/>
  <c r="L303" i="2" s="1"/>
  <c r="R302" i="1"/>
  <c r="S302" i="1" s="1"/>
  <c r="L302" i="2" s="1"/>
  <c r="R301" i="1"/>
  <c r="S301" i="1" s="1"/>
  <c r="L301" i="2" s="1"/>
  <c r="R300" i="1"/>
  <c r="S300" i="1" s="1"/>
  <c r="L300" i="2" s="1"/>
  <c r="R299" i="1"/>
  <c r="S299" i="1" s="1"/>
  <c r="L299" i="2" s="1"/>
  <c r="R298" i="1"/>
  <c r="S298" i="1" s="1"/>
  <c r="L298" i="2" s="1"/>
  <c r="R297" i="1"/>
  <c r="S297" i="1" s="1"/>
  <c r="L297" i="2" s="1"/>
  <c r="R296" i="1"/>
  <c r="S296" i="1" s="1"/>
  <c r="L296" i="2" s="1"/>
  <c r="R294" i="1"/>
  <c r="S294" i="1" s="1"/>
  <c r="L294" i="2" s="1"/>
  <c r="R293" i="1"/>
  <c r="S293" i="1" s="1"/>
  <c r="L293" i="2" s="1"/>
  <c r="R292" i="1"/>
  <c r="S292" i="1" s="1"/>
  <c r="L292" i="2" s="1"/>
  <c r="R290" i="1"/>
  <c r="S290" i="1" s="1"/>
  <c r="L290" i="2" s="1"/>
  <c r="R289" i="1"/>
  <c r="S289" i="1" s="1"/>
  <c r="L289" i="2" s="1"/>
  <c r="R288" i="1"/>
  <c r="S288" i="1" s="1"/>
  <c r="L288" i="2" s="1"/>
  <c r="R285" i="1"/>
  <c r="S285" i="1" s="1"/>
  <c r="L285" i="2" s="1"/>
  <c r="R284" i="1"/>
  <c r="S284" i="1" s="1"/>
  <c r="L284" i="2" s="1"/>
  <c r="R283" i="1"/>
  <c r="S283" i="1" s="1"/>
  <c r="L283" i="2" s="1"/>
  <c r="R282" i="1"/>
  <c r="S282" i="1" s="1"/>
  <c r="L282" i="2" s="1"/>
  <c r="R281" i="1"/>
  <c r="S281" i="1" s="1"/>
  <c r="L281" i="2" s="1"/>
  <c r="R279" i="1"/>
  <c r="S279" i="1" s="1"/>
  <c r="L279" i="2" s="1"/>
  <c r="R278" i="1"/>
  <c r="S278" i="1" s="1"/>
  <c r="L278" i="2" s="1"/>
  <c r="R277" i="1"/>
  <c r="S277" i="1" s="1"/>
  <c r="L277" i="2" s="1"/>
  <c r="R276" i="1"/>
  <c r="S276" i="1" s="1"/>
  <c r="L276" i="2" s="1"/>
  <c r="R275" i="1"/>
  <c r="S275" i="1" s="1"/>
  <c r="L275" i="2" s="1"/>
  <c r="R274" i="1"/>
  <c r="S274" i="1" s="1"/>
  <c r="L274" i="2" s="1"/>
  <c r="R273" i="1"/>
  <c r="S273" i="1" s="1"/>
  <c r="L273" i="2" s="1"/>
  <c r="R272" i="1"/>
  <c r="S272" i="1" s="1"/>
  <c r="L272" i="2" s="1"/>
  <c r="R270" i="1"/>
  <c r="S270" i="1" s="1"/>
  <c r="L270" i="2" s="1"/>
  <c r="R268" i="1"/>
  <c r="S268" i="1" s="1"/>
  <c r="L268" i="2" s="1"/>
  <c r="R267" i="1"/>
  <c r="S267" i="1" s="1"/>
  <c r="L267" i="2" s="1"/>
  <c r="R266" i="1"/>
  <c r="S266" i="1" s="1"/>
  <c r="L266" i="2" s="1"/>
  <c r="R265" i="1"/>
  <c r="S265" i="1" s="1"/>
  <c r="L265" i="2" s="1"/>
  <c r="R264" i="1"/>
  <c r="S264" i="1" s="1"/>
  <c r="L264" i="2" s="1"/>
  <c r="R263" i="1"/>
  <c r="S263" i="1" s="1"/>
  <c r="L263" i="2" s="1"/>
  <c r="R262" i="1"/>
  <c r="S262" i="1" s="1"/>
  <c r="L262" i="2" s="1"/>
  <c r="R259" i="1"/>
  <c r="S259" i="1" s="1"/>
  <c r="L259" i="2" s="1"/>
  <c r="R258" i="1"/>
  <c r="S258" i="1" s="1"/>
  <c r="L258" i="2" s="1"/>
  <c r="R257" i="1"/>
  <c r="S257" i="1" s="1"/>
  <c r="L257" i="2" s="1"/>
  <c r="R256" i="1"/>
  <c r="S256" i="1" s="1"/>
  <c r="L256" i="2" s="1"/>
  <c r="R254" i="1"/>
  <c r="S254" i="1" s="1"/>
  <c r="L254" i="2" s="1"/>
  <c r="R252" i="1"/>
  <c r="S252" i="1" s="1"/>
  <c r="L252" i="2" s="1"/>
  <c r="R250" i="1"/>
  <c r="S250" i="1" s="1"/>
  <c r="L250" i="2" s="1"/>
  <c r="R246" i="1"/>
  <c r="S246" i="1" s="1"/>
  <c r="L246" i="2" s="1"/>
  <c r="R245" i="1"/>
  <c r="S245" i="1" s="1"/>
  <c r="L245" i="2" s="1"/>
  <c r="R244" i="1"/>
  <c r="S244" i="1" s="1"/>
  <c r="L244" i="2" s="1"/>
  <c r="R243" i="1"/>
  <c r="S243" i="1" s="1"/>
  <c r="L243" i="2" s="1"/>
  <c r="R240" i="1"/>
  <c r="S240" i="1" s="1"/>
  <c r="L240" i="2" s="1"/>
  <c r="R239" i="1"/>
  <c r="S239" i="1" s="1"/>
  <c r="L239" i="2" s="1"/>
  <c r="R238" i="1"/>
  <c r="S238" i="1" s="1"/>
  <c r="L238" i="2" s="1"/>
  <c r="R234" i="1"/>
  <c r="S234" i="1" s="1"/>
  <c r="L234" i="2" s="1"/>
  <c r="R233" i="1"/>
  <c r="S233" i="1" s="1"/>
  <c r="L233" i="2" s="1"/>
  <c r="R230" i="1"/>
  <c r="S230" i="1" s="1"/>
  <c r="L230" i="2" s="1"/>
  <c r="R229" i="1"/>
  <c r="S229" i="1" s="1"/>
  <c r="L229" i="2" s="1"/>
  <c r="R228" i="1"/>
  <c r="S228" i="1" s="1"/>
  <c r="L228" i="2" s="1"/>
  <c r="R226" i="1"/>
  <c r="S226" i="1" s="1"/>
  <c r="L226" i="2" s="1"/>
  <c r="R225" i="1"/>
  <c r="S225" i="1" s="1"/>
  <c r="L225" i="2" s="1"/>
  <c r="R224" i="1"/>
  <c r="S224" i="1" s="1"/>
  <c r="L224" i="2" s="1"/>
  <c r="R223" i="1"/>
  <c r="S223" i="1" s="1"/>
  <c r="L223" i="2" s="1"/>
  <c r="R220" i="1"/>
  <c r="S220" i="1" s="1"/>
  <c r="L220" i="2" s="1"/>
  <c r="R219" i="1"/>
  <c r="S219" i="1" s="1"/>
  <c r="L219" i="2" s="1"/>
  <c r="R218" i="1"/>
  <c r="S218" i="1" s="1"/>
  <c r="L218" i="2" s="1"/>
  <c r="R217" i="1"/>
  <c r="S217" i="1" s="1"/>
  <c r="L217" i="2" s="1"/>
  <c r="R216" i="1"/>
  <c r="S216" i="1" s="1"/>
  <c r="L216" i="2" s="1"/>
  <c r="R215" i="1"/>
  <c r="S215" i="1" s="1"/>
  <c r="L215" i="2" s="1"/>
  <c r="R214" i="1"/>
  <c r="S214" i="1" s="1"/>
  <c r="L214" i="2" s="1"/>
  <c r="R213" i="1"/>
  <c r="S213" i="1" s="1"/>
  <c r="L213" i="2" s="1"/>
  <c r="R211" i="1"/>
  <c r="S211" i="1" s="1"/>
  <c r="L211" i="2" s="1"/>
  <c r="R209" i="1"/>
  <c r="S209" i="1" s="1"/>
  <c r="L209" i="2" s="1"/>
  <c r="R208" i="1"/>
  <c r="S208" i="1" s="1"/>
  <c r="L208" i="2" s="1"/>
  <c r="R207" i="1"/>
  <c r="S207" i="1" s="1"/>
  <c r="L207" i="2" s="1"/>
  <c r="R205" i="1"/>
  <c r="S205" i="1" s="1"/>
  <c r="L205" i="2" s="1"/>
  <c r="R204" i="1"/>
  <c r="S204" i="1" s="1"/>
  <c r="L204" i="2" s="1"/>
  <c r="R203" i="1"/>
  <c r="S203" i="1" s="1"/>
  <c r="L203" i="2" s="1"/>
  <c r="R201" i="1"/>
  <c r="S201" i="1" s="1"/>
  <c r="L201" i="2" s="1"/>
  <c r="R200" i="1"/>
  <c r="S200" i="1" s="1"/>
  <c r="L200" i="2" s="1"/>
  <c r="R199" i="1"/>
  <c r="S199" i="1" s="1"/>
  <c r="L199" i="2" s="1"/>
  <c r="R197" i="1"/>
  <c r="S197" i="1" s="1"/>
  <c r="L197" i="2" s="1"/>
  <c r="R196" i="1"/>
  <c r="S196" i="1" s="1"/>
  <c r="L196" i="2" s="1"/>
  <c r="R195" i="1"/>
  <c r="S195" i="1" s="1"/>
  <c r="L195" i="2" s="1"/>
  <c r="R194" i="1"/>
  <c r="S194" i="1" s="1"/>
  <c r="L194" i="2" s="1"/>
  <c r="R193" i="1"/>
  <c r="S193" i="1" s="1"/>
  <c r="L193" i="2" s="1"/>
  <c r="R192" i="1"/>
  <c r="S192" i="1" s="1"/>
  <c r="L192" i="2" s="1"/>
  <c r="R190" i="1"/>
  <c r="S190" i="1" s="1"/>
  <c r="L190" i="2" s="1"/>
  <c r="R189" i="1"/>
  <c r="S189" i="1" s="1"/>
  <c r="L189" i="2" s="1"/>
  <c r="R187" i="1"/>
  <c r="S187" i="1" s="1"/>
  <c r="L187" i="2" s="1"/>
  <c r="R186" i="1"/>
  <c r="S186" i="1" s="1"/>
  <c r="L186" i="2" s="1"/>
  <c r="R185" i="1"/>
  <c r="S185" i="1" s="1"/>
  <c r="L185" i="2" s="1"/>
  <c r="R184" i="1"/>
  <c r="S184" i="1" s="1"/>
  <c r="L184" i="2" s="1"/>
  <c r="R183" i="1"/>
  <c r="S183" i="1" s="1"/>
  <c r="L183" i="2" s="1"/>
  <c r="R182" i="1"/>
  <c r="S182" i="1" s="1"/>
  <c r="L182" i="2" s="1"/>
  <c r="R181" i="1"/>
  <c r="S181" i="1" s="1"/>
  <c r="L181" i="2" s="1"/>
  <c r="R180" i="1"/>
  <c r="S180" i="1" s="1"/>
  <c r="L180" i="2" s="1"/>
  <c r="R179" i="1"/>
  <c r="S179" i="1" s="1"/>
  <c r="L179" i="2" s="1"/>
  <c r="R178" i="1"/>
  <c r="S178" i="1" s="1"/>
  <c r="L178" i="2" s="1"/>
  <c r="R177" i="1"/>
  <c r="S177" i="1" s="1"/>
  <c r="L177" i="2" s="1"/>
  <c r="R176" i="1"/>
  <c r="S176" i="1" s="1"/>
  <c r="L176" i="2" s="1"/>
  <c r="R175" i="1"/>
  <c r="S175" i="1" s="1"/>
  <c r="L175" i="2" s="1"/>
  <c r="R173" i="1"/>
  <c r="S173" i="1" s="1"/>
  <c r="L173" i="2" s="1"/>
  <c r="R172" i="1"/>
  <c r="S172" i="1" s="1"/>
  <c r="L172" i="2" s="1"/>
  <c r="R171" i="1"/>
  <c r="S171" i="1" s="1"/>
  <c r="L171" i="2" s="1"/>
  <c r="R169" i="1"/>
  <c r="S169" i="1" s="1"/>
  <c r="L169" i="2" s="1"/>
  <c r="R168" i="1"/>
  <c r="S168" i="1" s="1"/>
  <c r="L168" i="2" s="1"/>
  <c r="R167" i="1"/>
  <c r="S167" i="1" s="1"/>
  <c r="L167" i="2" s="1"/>
  <c r="R166" i="1"/>
  <c r="S166" i="1" s="1"/>
  <c r="L166" i="2" s="1"/>
  <c r="R165" i="1"/>
  <c r="S165" i="1" s="1"/>
  <c r="L165" i="2" s="1"/>
  <c r="R163" i="1"/>
  <c r="S163" i="1" s="1"/>
  <c r="L163" i="2" s="1"/>
  <c r="R162" i="1"/>
  <c r="S162" i="1" s="1"/>
  <c r="L162" i="2" s="1"/>
  <c r="R161" i="1"/>
  <c r="S161" i="1" s="1"/>
  <c r="L161" i="2" s="1"/>
  <c r="R160" i="1"/>
  <c r="S160" i="1" s="1"/>
  <c r="L160" i="2" s="1"/>
  <c r="R159" i="1"/>
  <c r="S159" i="1" s="1"/>
  <c r="L159" i="2" s="1"/>
  <c r="R156" i="1"/>
  <c r="S156" i="1" s="1"/>
  <c r="L156" i="2" s="1"/>
  <c r="R155" i="1"/>
  <c r="S155" i="1" s="1"/>
  <c r="L155" i="2" s="1"/>
  <c r="R153" i="1"/>
  <c r="S153" i="1" s="1"/>
  <c r="L153" i="2" s="1"/>
  <c r="R150" i="1"/>
  <c r="S150" i="1" s="1"/>
  <c r="L150" i="2" s="1"/>
  <c r="R149" i="1"/>
  <c r="S149" i="1" s="1"/>
  <c r="L149" i="2" s="1"/>
  <c r="R148" i="1"/>
  <c r="S148" i="1" s="1"/>
  <c r="L148" i="2" s="1"/>
  <c r="R147" i="1"/>
  <c r="S147" i="1" s="1"/>
  <c r="L147" i="2" s="1"/>
  <c r="R145" i="1"/>
  <c r="S145" i="1" s="1"/>
  <c r="L145" i="2" s="1"/>
  <c r="R144" i="1"/>
  <c r="S144" i="1" s="1"/>
  <c r="L144" i="2" s="1"/>
  <c r="R143" i="1"/>
  <c r="S143" i="1" s="1"/>
  <c r="L143" i="2" s="1"/>
  <c r="R142" i="1"/>
  <c r="S142" i="1" s="1"/>
  <c r="L142" i="2" s="1"/>
  <c r="R141" i="1"/>
  <c r="S141" i="1" s="1"/>
  <c r="L141" i="2" s="1"/>
  <c r="R138" i="1"/>
  <c r="S138" i="1" s="1"/>
  <c r="L138" i="2" s="1"/>
  <c r="R137" i="1"/>
  <c r="S137" i="1" s="1"/>
  <c r="L137" i="2" s="1"/>
  <c r="R136" i="1"/>
  <c r="S136" i="1" s="1"/>
  <c r="L136" i="2" s="1"/>
  <c r="R135" i="1"/>
  <c r="S135" i="1" s="1"/>
  <c r="L135" i="2" s="1"/>
  <c r="R134" i="1"/>
  <c r="S134" i="1" s="1"/>
  <c r="L134" i="2" s="1"/>
  <c r="R133" i="1"/>
  <c r="S133" i="1" s="1"/>
  <c r="L133" i="2" s="1"/>
  <c r="R131" i="1"/>
  <c r="S131" i="1" s="1"/>
  <c r="L131" i="2" s="1"/>
  <c r="R130" i="1"/>
  <c r="S130" i="1" s="1"/>
  <c r="L130" i="2" s="1"/>
  <c r="R129" i="1"/>
  <c r="S129" i="1" s="1"/>
  <c r="L129" i="2" s="1"/>
  <c r="R128" i="1"/>
  <c r="S128" i="1" s="1"/>
  <c r="L128" i="2" s="1"/>
  <c r="R127" i="1"/>
  <c r="S127" i="1" s="1"/>
  <c r="L127" i="2" s="1"/>
  <c r="R126" i="1"/>
  <c r="S126" i="1" s="1"/>
  <c r="L126" i="2" s="1"/>
  <c r="R124" i="1"/>
  <c r="S124" i="1" s="1"/>
  <c r="L124" i="2" s="1"/>
  <c r="R121" i="1"/>
  <c r="S121" i="1" s="1"/>
  <c r="L121" i="2" s="1"/>
  <c r="R119" i="1"/>
  <c r="S119" i="1" s="1"/>
  <c r="L119" i="2" s="1"/>
  <c r="R118" i="1"/>
  <c r="S118" i="1" s="1"/>
  <c r="L118" i="2" s="1"/>
  <c r="R117" i="1"/>
  <c r="S117" i="1" s="1"/>
  <c r="L117" i="2" s="1"/>
  <c r="R114" i="1"/>
  <c r="S114" i="1" s="1"/>
  <c r="L114" i="2" s="1"/>
  <c r="R112" i="1"/>
  <c r="S112" i="1" s="1"/>
  <c r="L112" i="2" s="1"/>
  <c r="R110" i="1"/>
  <c r="S110" i="1" s="1"/>
  <c r="L110" i="2" s="1"/>
  <c r="R109" i="1"/>
  <c r="S109" i="1" s="1"/>
  <c r="L109" i="2" s="1"/>
  <c r="R107" i="1"/>
  <c r="S107" i="1" s="1"/>
  <c r="L107" i="2" s="1"/>
  <c r="R106" i="1"/>
  <c r="S106" i="1" s="1"/>
  <c r="L106" i="2" s="1"/>
  <c r="R105" i="1"/>
  <c r="S105" i="1" s="1"/>
  <c r="L105" i="2" s="1"/>
  <c r="R104" i="1"/>
  <c r="S104" i="1" s="1"/>
  <c r="L104" i="2" s="1"/>
  <c r="R102" i="1"/>
  <c r="S102" i="1" s="1"/>
  <c r="L102" i="2" s="1"/>
  <c r="R101" i="1"/>
  <c r="S101" i="1" s="1"/>
  <c r="L101" i="2" s="1"/>
  <c r="R100" i="1"/>
  <c r="S100" i="1" s="1"/>
  <c r="L100" i="2" s="1"/>
  <c r="R98" i="1"/>
  <c r="S98" i="1" s="1"/>
  <c r="L98" i="2" s="1"/>
  <c r="R97" i="1"/>
  <c r="S97" i="1" s="1"/>
  <c r="L97" i="2" s="1"/>
  <c r="R96" i="1"/>
  <c r="S96" i="1" s="1"/>
  <c r="L96" i="2" s="1"/>
  <c r="R95" i="1"/>
  <c r="S95" i="1" s="1"/>
  <c r="L95" i="2" s="1"/>
  <c r="R94" i="1"/>
  <c r="S94" i="1" s="1"/>
  <c r="L94" i="2" s="1"/>
  <c r="R93" i="1"/>
  <c r="S93" i="1" s="1"/>
  <c r="L93" i="2" s="1"/>
  <c r="R92" i="1"/>
  <c r="S92" i="1" s="1"/>
  <c r="L92" i="2" s="1"/>
  <c r="R91" i="1"/>
  <c r="S91" i="1" s="1"/>
  <c r="L91" i="2" s="1"/>
  <c r="R89" i="1"/>
  <c r="S89" i="1" s="1"/>
  <c r="L89" i="2" s="1"/>
  <c r="R87" i="1"/>
  <c r="S87" i="1" s="1"/>
  <c r="L87" i="2" s="1"/>
  <c r="R85" i="1"/>
  <c r="S85" i="1" s="1"/>
  <c r="L85" i="2" s="1"/>
  <c r="R84" i="1"/>
  <c r="S84" i="1" s="1"/>
  <c r="L84" i="2" s="1"/>
  <c r="R82" i="1"/>
  <c r="S82" i="1" s="1"/>
  <c r="L82" i="2" s="1"/>
  <c r="R80" i="1"/>
  <c r="S80" i="1" s="1"/>
  <c r="L80" i="2" s="1"/>
  <c r="R77" i="1"/>
  <c r="S77" i="1" s="1"/>
  <c r="L77" i="2" s="1"/>
  <c r="R74" i="1"/>
  <c r="S74" i="1" s="1"/>
  <c r="L74" i="2" s="1"/>
  <c r="R72" i="1"/>
  <c r="S72" i="1" s="1"/>
  <c r="L72" i="2" s="1"/>
  <c r="R71" i="1"/>
  <c r="S71" i="1" s="1"/>
  <c r="L71" i="2" s="1"/>
  <c r="R68" i="1"/>
  <c r="S68" i="1" s="1"/>
  <c r="L68" i="2" s="1"/>
  <c r="R66" i="1"/>
  <c r="S66" i="1" s="1"/>
  <c r="L66" i="2" s="1"/>
  <c r="R65" i="1"/>
  <c r="S65" i="1" s="1"/>
  <c r="L65" i="2" s="1"/>
  <c r="R64" i="1"/>
  <c r="S64" i="1" s="1"/>
  <c r="L64" i="2" s="1"/>
  <c r="R61" i="1"/>
  <c r="S61" i="1" s="1"/>
  <c r="L61" i="2" s="1"/>
  <c r="R60" i="1"/>
  <c r="S60" i="1" s="1"/>
  <c r="L60" i="2" s="1"/>
  <c r="R59" i="1"/>
  <c r="S59" i="1" s="1"/>
  <c r="L59" i="2" s="1"/>
  <c r="R58" i="1"/>
  <c r="S58" i="1" s="1"/>
  <c r="L58" i="2" s="1"/>
  <c r="R57" i="1"/>
  <c r="S57" i="1" s="1"/>
  <c r="L57" i="2" s="1"/>
  <c r="R56" i="1"/>
  <c r="S56" i="1" s="1"/>
  <c r="L56" i="2" s="1"/>
  <c r="R55" i="1"/>
  <c r="S55" i="1" s="1"/>
  <c r="L55" i="2" s="1"/>
  <c r="R54" i="1"/>
  <c r="S54" i="1" s="1"/>
  <c r="L54" i="2" s="1"/>
  <c r="R52" i="1"/>
  <c r="S52" i="1" s="1"/>
  <c r="L52" i="2" s="1"/>
  <c r="R51" i="1"/>
  <c r="S51" i="1" s="1"/>
  <c r="L51" i="2" s="1"/>
  <c r="R49" i="1"/>
  <c r="S49" i="1" s="1"/>
  <c r="L49" i="2" s="1"/>
  <c r="R48" i="1"/>
  <c r="S48" i="1" s="1"/>
  <c r="L48" i="2" s="1"/>
  <c r="R47" i="1"/>
  <c r="S47" i="1" s="1"/>
  <c r="L47" i="2" s="1"/>
  <c r="R46" i="1"/>
  <c r="S46" i="1" s="1"/>
  <c r="L46" i="2" s="1"/>
  <c r="R45" i="1"/>
  <c r="S45" i="1" s="1"/>
  <c r="L45" i="2" s="1"/>
  <c r="R43" i="1"/>
  <c r="S43" i="1" s="1"/>
  <c r="L43" i="2" s="1"/>
  <c r="R41" i="1"/>
  <c r="S41" i="1" s="1"/>
  <c r="L41" i="2" s="1"/>
  <c r="R39" i="1"/>
  <c r="S39" i="1" s="1"/>
  <c r="L39" i="2" s="1"/>
  <c r="R38" i="1"/>
  <c r="S38" i="1" s="1"/>
  <c r="L38" i="2" s="1"/>
  <c r="R36" i="1"/>
  <c r="S36" i="1" s="1"/>
  <c r="L36" i="2" s="1"/>
  <c r="R34" i="1"/>
  <c r="S34" i="1" s="1"/>
  <c r="L34" i="2" s="1"/>
  <c r="R33" i="1"/>
  <c r="S33" i="1" s="1"/>
  <c r="L33" i="2" s="1"/>
  <c r="R30" i="1"/>
  <c r="S30" i="1" s="1"/>
  <c r="L30" i="2" s="1"/>
  <c r="R29" i="1"/>
  <c r="S29" i="1" s="1"/>
  <c r="L29" i="2" s="1"/>
  <c r="R28" i="1"/>
  <c r="S28" i="1" s="1"/>
  <c r="L28" i="2" s="1"/>
  <c r="R27" i="1"/>
  <c r="S27" i="1" s="1"/>
  <c r="L27" i="2" s="1"/>
  <c r="R25" i="1"/>
  <c r="S25" i="1" s="1"/>
  <c r="L25" i="2" s="1"/>
  <c r="R23" i="1"/>
  <c r="S23" i="1" s="1"/>
  <c r="L23" i="2" s="1"/>
  <c r="R22" i="1"/>
  <c r="S22" i="1" s="1"/>
  <c r="L22" i="2" s="1"/>
  <c r="R21" i="1"/>
  <c r="S21" i="1" s="1"/>
  <c r="L21" i="2" s="1"/>
  <c r="R20" i="1"/>
  <c r="S20" i="1" s="1"/>
  <c r="L20" i="2" s="1"/>
  <c r="R19" i="1"/>
  <c r="S19" i="1" s="1"/>
  <c r="L19" i="2" s="1"/>
  <c r="R18" i="1"/>
  <c r="S18" i="1" s="1"/>
  <c r="L18" i="2" s="1"/>
  <c r="R17" i="1"/>
  <c r="S17" i="1" s="1"/>
  <c r="L17" i="2" s="1"/>
  <c r="R16" i="1"/>
  <c r="S16" i="1" s="1"/>
  <c r="L16" i="2" s="1"/>
  <c r="R15" i="1"/>
  <c r="S15" i="1" s="1"/>
  <c r="L15" i="2" s="1"/>
  <c r="R14" i="1"/>
  <c r="S14" i="1" s="1"/>
  <c r="L14" i="2" s="1"/>
  <c r="R13" i="1"/>
  <c r="S13" i="1" s="1"/>
  <c r="L13" i="2" s="1"/>
  <c r="R12" i="1"/>
  <c r="S12" i="1" s="1"/>
  <c r="L12" i="2" s="1"/>
  <c r="R10" i="1"/>
  <c r="S10" i="1" s="1"/>
  <c r="L10" i="2" s="1"/>
  <c r="R9" i="1"/>
  <c r="S9" i="1" s="1"/>
  <c r="L9" i="2" s="1"/>
  <c r="R8" i="1"/>
  <c r="S8" i="1" s="1"/>
  <c r="L8" i="2" s="1"/>
  <c r="R6" i="1"/>
  <c r="S6" i="1" s="1"/>
  <c r="L6" i="2" s="1"/>
  <c r="R5" i="1"/>
  <c r="S5" i="1" s="1"/>
  <c r="L5" i="2" s="1"/>
  <c r="R4" i="1"/>
  <c r="S4" i="1" s="1"/>
  <c r="L4" i="2" s="1"/>
  <c r="R3" i="1"/>
  <c r="O3" i="1"/>
  <c r="J3" i="2" s="1"/>
  <c r="O4" i="1"/>
  <c r="O5" i="1"/>
  <c r="J5" i="2" s="1"/>
  <c r="O6" i="1"/>
  <c r="J6" i="2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J232" i="2" s="1"/>
  <c r="O233" i="1"/>
  <c r="J233" i="2" s="1"/>
  <c r="O234" i="1"/>
  <c r="J234" i="2" s="1"/>
  <c r="O235" i="1"/>
  <c r="O236" i="1"/>
  <c r="J236" i="2" s="1"/>
  <c r="O237" i="1"/>
  <c r="J237" i="2" s="1"/>
  <c r="O238" i="1"/>
  <c r="J238" i="2" s="1"/>
  <c r="O239" i="1"/>
  <c r="J239" i="2" s="1"/>
  <c r="O240" i="1"/>
  <c r="J240" i="2" s="1"/>
  <c r="O241" i="1"/>
  <c r="J241" i="2" s="1"/>
  <c r="O242" i="1"/>
  <c r="J242" i="2" s="1"/>
  <c r="O243" i="1"/>
  <c r="J243" i="2" s="1"/>
  <c r="O244" i="1"/>
  <c r="J244" i="2" s="1"/>
  <c r="O245" i="1"/>
  <c r="J245" i="2" s="1"/>
  <c r="O246" i="1"/>
  <c r="J246" i="2" s="1"/>
  <c r="O247" i="1"/>
  <c r="J247" i="2" s="1"/>
  <c r="O248" i="1"/>
  <c r="J248" i="2" s="1"/>
  <c r="O249" i="1"/>
  <c r="J249" i="2" s="1"/>
  <c r="O250" i="1"/>
  <c r="J250" i="2" s="1"/>
  <c r="O251" i="1"/>
  <c r="J251" i="2" s="1"/>
  <c r="O252" i="1"/>
  <c r="J252" i="2" s="1"/>
  <c r="O253" i="1"/>
  <c r="O254" i="1"/>
  <c r="J254" i="2" s="1"/>
  <c r="O255" i="1"/>
  <c r="J255" i="2" s="1"/>
  <c r="O256" i="1"/>
  <c r="J256" i="2" s="1"/>
  <c r="O257" i="1"/>
  <c r="J257" i="2" s="1"/>
  <c r="O258" i="1"/>
  <c r="J258" i="2" s="1"/>
  <c r="O259" i="1"/>
  <c r="J259" i="2" s="1"/>
  <c r="O260" i="1"/>
  <c r="O261" i="1"/>
  <c r="J261" i="2" s="1"/>
  <c r="O262" i="1"/>
  <c r="J262" i="2" s="1"/>
  <c r="O263" i="1"/>
  <c r="J263" i="2" s="1"/>
  <c r="O264" i="1"/>
  <c r="J264" i="2" s="1"/>
  <c r="O265" i="1"/>
  <c r="J265" i="2" s="1"/>
  <c r="O266" i="1"/>
  <c r="J266" i="2" s="1"/>
  <c r="O267" i="1"/>
  <c r="J267" i="2" s="1"/>
  <c r="O268" i="1"/>
  <c r="J268" i="2" s="1"/>
  <c r="O269" i="1"/>
  <c r="J269" i="2" s="1"/>
  <c r="O270" i="1"/>
  <c r="O271" i="1"/>
  <c r="J271" i="2" s="1"/>
  <c r="O272" i="1"/>
  <c r="J272" i="2" s="1"/>
  <c r="O273" i="1"/>
  <c r="J273" i="2" s="1"/>
  <c r="O274" i="1"/>
  <c r="J274" i="2" s="1"/>
  <c r="O275" i="1"/>
  <c r="J275" i="2" s="1"/>
  <c r="O276" i="1"/>
  <c r="O277" i="1"/>
  <c r="J277" i="2" s="1"/>
  <c r="O278" i="1"/>
  <c r="J278" i="2" s="1"/>
  <c r="O279" i="1"/>
  <c r="J279" i="2" s="1"/>
  <c r="O280" i="1"/>
  <c r="J280" i="2" s="1"/>
  <c r="O281" i="1"/>
  <c r="J281" i="2" s="1"/>
  <c r="O282" i="1"/>
  <c r="J282" i="2" s="1"/>
  <c r="O283" i="1"/>
  <c r="J283" i="2" s="1"/>
  <c r="O284" i="1"/>
  <c r="J284" i="2" s="1"/>
  <c r="O285" i="1"/>
  <c r="J285" i="2" s="1"/>
  <c r="O286" i="1"/>
  <c r="J286" i="2" s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J2" i="2" s="1"/>
  <c r="T4" i="1"/>
  <c r="T3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I242" i="2" s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I264" i="2" s="1"/>
  <c r="M265" i="1"/>
  <c r="I265" i="2" s="1"/>
  <c r="M266" i="1"/>
  <c r="I266" i="2" s="1"/>
  <c r="M267" i="1"/>
  <c r="I267" i="2" s="1"/>
  <c r="M268" i="1"/>
  <c r="I268" i="2" s="1"/>
  <c r="M269" i="1"/>
  <c r="I269" i="2" s="1"/>
  <c r="M270" i="1"/>
  <c r="I270" i="2" s="1"/>
  <c r="M271" i="1"/>
  <c r="I271" i="2" s="1"/>
  <c r="M272" i="1"/>
  <c r="I272" i="2" s="1"/>
  <c r="M273" i="1"/>
  <c r="I273" i="2" s="1"/>
  <c r="M274" i="1"/>
  <c r="I274" i="2" s="1"/>
  <c r="M275" i="1"/>
  <c r="I275" i="2" s="1"/>
  <c r="M276" i="1"/>
  <c r="I276" i="2" s="1"/>
  <c r="M277" i="1"/>
  <c r="I277" i="2" s="1"/>
  <c r="M278" i="1"/>
  <c r="I278" i="2" s="1"/>
  <c r="M279" i="1"/>
  <c r="I279" i="2" s="1"/>
  <c r="M280" i="1"/>
  <c r="I280" i="2" s="1"/>
  <c r="M281" i="1"/>
  <c r="I281" i="2" s="1"/>
  <c r="M282" i="1"/>
  <c r="I282" i="2" s="1"/>
  <c r="M283" i="1"/>
  <c r="I283" i="2" s="1"/>
  <c r="M284" i="1"/>
  <c r="I284" i="2" s="1"/>
  <c r="M285" i="1"/>
  <c r="I285" i="2" s="1"/>
  <c r="M286" i="1"/>
  <c r="I286" i="2" s="1"/>
  <c r="M287" i="1"/>
  <c r="I287" i="2" s="1"/>
  <c r="M288" i="1"/>
  <c r="I288" i="2" s="1"/>
  <c r="M289" i="1"/>
  <c r="I289" i="2" s="1"/>
  <c r="M290" i="1"/>
  <c r="I290" i="2" s="1"/>
  <c r="M291" i="1"/>
  <c r="I291" i="2" s="1"/>
  <c r="M292" i="1"/>
  <c r="I292" i="2" s="1"/>
  <c r="M293" i="1"/>
  <c r="I293" i="2" s="1"/>
  <c r="M294" i="1"/>
  <c r="I294" i="2" s="1"/>
  <c r="M295" i="1"/>
  <c r="I295" i="2" s="1"/>
  <c r="M296" i="1"/>
  <c r="I296" i="2" s="1"/>
  <c r="M297" i="1"/>
  <c r="I297" i="2" s="1"/>
  <c r="M298" i="1"/>
  <c r="I298" i="2" s="1"/>
  <c r="M299" i="1"/>
  <c r="I299" i="2" s="1"/>
  <c r="M300" i="1"/>
  <c r="I300" i="2" s="1"/>
  <c r="M301" i="1"/>
  <c r="I301" i="2" s="1"/>
  <c r="M302" i="1"/>
  <c r="I302" i="2" s="1"/>
  <c r="M303" i="1"/>
  <c r="I303" i="2" s="1"/>
  <c r="M304" i="1"/>
  <c r="I304" i="2" s="1"/>
  <c r="M305" i="1"/>
  <c r="I305" i="2" s="1"/>
  <c r="M306" i="1"/>
  <c r="I306" i="2" s="1"/>
  <c r="M307" i="1"/>
  <c r="I307" i="2" s="1"/>
  <c r="M308" i="1"/>
  <c r="I308" i="2" s="1"/>
  <c r="M309" i="1"/>
  <c r="I309" i="2" s="1"/>
  <c r="M310" i="1"/>
  <c r="I310" i="2" s="1"/>
  <c r="M311" i="1"/>
  <c r="I311" i="2" s="1"/>
  <c r="M312" i="1"/>
  <c r="I312" i="2" s="1"/>
  <c r="M313" i="1"/>
  <c r="I313" i="2" s="1"/>
  <c r="M314" i="1"/>
  <c r="I314" i="2" s="1"/>
  <c r="M315" i="1"/>
  <c r="I315" i="2" s="1"/>
  <c r="M316" i="1"/>
  <c r="I316" i="2" s="1"/>
  <c r="M317" i="1"/>
  <c r="I317" i="2" s="1"/>
  <c r="M318" i="1"/>
  <c r="I318" i="2" s="1"/>
  <c r="M319" i="1"/>
  <c r="I319" i="2" s="1"/>
  <c r="M320" i="1"/>
  <c r="I320" i="2" s="1"/>
  <c r="M321" i="1"/>
  <c r="I321" i="2" s="1"/>
  <c r="M322" i="1"/>
  <c r="I322" i="2" s="1"/>
  <c r="M323" i="1"/>
  <c r="I323" i="2" s="1"/>
  <c r="M324" i="1"/>
  <c r="I324" i="2" s="1"/>
  <c r="M325" i="1"/>
  <c r="I325" i="2" s="1"/>
  <c r="M326" i="1"/>
  <c r="I326" i="2" s="1"/>
  <c r="M327" i="1"/>
  <c r="I327" i="2" s="1"/>
  <c r="M328" i="1"/>
  <c r="I328" i="2" s="1"/>
  <c r="M329" i="1"/>
  <c r="I329" i="2" s="1"/>
  <c r="M330" i="1"/>
  <c r="I330" i="2" s="1"/>
  <c r="M331" i="1"/>
  <c r="I331" i="2" s="1"/>
  <c r="M332" i="1"/>
  <c r="I332" i="2" s="1"/>
  <c r="M333" i="1"/>
  <c r="I333" i="2" s="1"/>
  <c r="M334" i="1"/>
  <c r="I334" i="2" s="1"/>
  <c r="M335" i="1"/>
  <c r="I335" i="2" s="1"/>
  <c r="M336" i="1"/>
  <c r="I336" i="2" s="1"/>
  <c r="M337" i="1"/>
  <c r="I337" i="2" s="1"/>
  <c r="M338" i="1"/>
  <c r="I338" i="2" s="1"/>
  <c r="M339" i="1"/>
  <c r="I339" i="2" s="1"/>
  <c r="M340" i="1"/>
  <c r="I340" i="2" s="1"/>
  <c r="M341" i="1"/>
  <c r="I341" i="2" s="1"/>
  <c r="M342" i="1"/>
  <c r="I342" i="2" s="1"/>
  <c r="M343" i="1"/>
  <c r="I343" i="2" s="1"/>
  <c r="M344" i="1"/>
  <c r="I344" i="2" s="1"/>
  <c r="M345" i="1"/>
  <c r="I345" i="2" s="1"/>
  <c r="M346" i="1"/>
  <c r="I346" i="2" s="1"/>
  <c r="M347" i="1"/>
  <c r="I347" i="2" s="1"/>
  <c r="M348" i="1"/>
  <c r="I348" i="2" s="1"/>
  <c r="M349" i="1"/>
  <c r="I349" i="2" s="1"/>
  <c r="M350" i="1"/>
  <c r="I350" i="2" s="1"/>
  <c r="M351" i="1"/>
  <c r="I351" i="2" s="1"/>
  <c r="M352" i="1"/>
  <c r="I352" i="2" s="1"/>
  <c r="M353" i="1"/>
  <c r="I353" i="2" s="1"/>
  <c r="M354" i="1"/>
  <c r="I354" i="2" s="1"/>
  <c r="M355" i="1"/>
  <c r="I355" i="2" s="1"/>
  <c r="M356" i="1"/>
  <c r="I356" i="2" s="1"/>
  <c r="M357" i="1"/>
  <c r="I357" i="2" s="1"/>
  <c r="M358" i="1"/>
  <c r="I358" i="2" s="1"/>
  <c r="M359" i="1"/>
  <c r="I359" i="2" s="1"/>
  <c r="M360" i="1"/>
  <c r="I360" i="2" s="1"/>
  <c r="M361" i="1"/>
  <c r="I361" i="2" s="1"/>
  <c r="M362" i="1"/>
  <c r="I362" i="2" s="1"/>
  <c r="M363" i="1"/>
  <c r="I363" i="2" s="1"/>
  <c r="M364" i="1"/>
  <c r="I364" i="2" s="1"/>
  <c r="M365" i="1"/>
  <c r="I365" i="2" s="1"/>
  <c r="M366" i="1"/>
  <c r="I366" i="2" s="1"/>
  <c r="M367" i="1"/>
  <c r="I367" i="2" s="1"/>
  <c r="M368" i="1"/>
  <c r="I368" i="2" s="1"/>
  <c r="M369" i="1"/>
  <c r="I369" i="2" s="1"/>
  <c r="M370" i="1"/>
  <c r="I370" i="2" s="1"/>
  <c r="M371" i="1"/>
  <c r="I371" i="2" s="1"/>
  <c r="M372" i="1"/>
  <c r="I372" i="2" s="1"/>
  <c r="M373" i="1"/>
  <c r="I373" i="2" s="1"/>
  <c r="M374" i="1"/>
  <c r="I374" i="2" s="1"/>
  <c r="M375" i="1"/>
  <c r="I375" i="2" s="1"/>
  <c r="M376" i="1"/>
  <c r="I376" i="2" s="1"/>
  <c r="M377" i="1"/>
  <c r="I377" i="2" s="1"/>
  <c r="M378" i="1"/>
  <c r="I378" i="2" s="1"/>
  <c r="M379" i="1"/>
  <c r="I379" i="2" s="1"/>
  <c r="M380" i="1"/>
  <c r="I380" i="2" s="1"/>
  <c r="M381" i="1"/>
  <c r="I381" i="2" s="1"/>
  <c r="M382" i="1"/>
  <c r="I382" i="2" s="1"/>
  <c r="M383" i="1"/>
  <c r="I383" i="2" s="1"/>
  <c r="M384" i="1"/>
  <c r="I384" i="2" s="1"/>
  <c r="M385" i="1"/>
  <c r="I385" i="2" s="1"/>
  <c r="M386" i="1"/>
  <c r="I386" i="2" s="1"/>
  <c r="M387" i="1"/>
  <c r="I387" i="2" s="1"/>
  <c r="M388" i="1"/>
  <c r="I388" i="2" s="1"/>
  <c r="M389" i="1"/>
  <c r="I389" i="2" s="1"/>
  <c r="M390" i="1"/>
  <c r="I390" i="2" s="1"/>
  <c r="M391" i="1"/>
  <c r="I391" i="2" s="1"/>
  <c r="M392" i="1"/>
  <c r="I392" i="2" s="1"/>
  <c r="M393" i="1"/>
  <c r="I393" i="2" s="1"/>
  <c r="M394" i="1"/>
  <c r="I394" i="2" s="1"/>
  <c r="M395" i="1"/>
  <c r="I395" i="2" s="1"/>
  <c r="M396" i="1"/>
  <c r="I396" i="2" s="1"/>
  <c r="M397" i="1"/>
  <c r="I397" i="2" s="1"/>
  <c r="M398" i="1"/>
  <c r="I398" i="2" s="1"/>
  <c r="M399" i="1"/>
  <c r="I399" i="2" s="1"/>
  <c r="M400" i="1"/>
  <c r="I400" i="2" s="1"/>
  <c r="M401" i="1"/>
  <c r="I401" i="2" s="1"/>
  <c r="M402" i="1"/>
  <c r="I402" i="2" s="1"/>
  <c r="M403" i="1"/>
  <c r="I403" i="2" s="1"/>
  <c r="M404" i="1"/>
  <c r="I404" i="2" s="1"/>
  <c r="M405" i="1"/>
  <c r="I405" i="2" s="1"/>
  <c r="M406" i="1"/>
  <c r="I406" i="2" s="1"/>
  <c r="M407" i="1"/>
  <c r="I407" i="2" s="1"/>
  <c r="M408" i="1"/>
  <c r="I408" i="2" s="1"/>
  <c r="M409" i="1"/>
  <c r="I409" i="2" s="1"/>
  <c r="M410" i="1"/>
  <c r="I410" i="2" s="1"/>
  <c r="M411" i="1"/>
  <c r="I411" i="2" s="1"/>
  <c r="M412" i="1"/>
  <c r="I412" i="2" s="1"/>
  <c r="M413" i="1"/>
  <c r="I413" i="2" s="1"/>
  <c r="M414" i="1"/>
  <c r="I414" i="2" s="1"/>
  <c r="M415" i="1"/>
  <c r="I415" i="2" s="1"/>
  <c r="M416" i="1"/>
  <c r="I416" i="2" s="1"/>
  <c r="M417" i="1"/>
  <c r="I417" i="2" s="1"/>
  <c r="M418" i="1"/>
  <c r="I418" i="2" s="1"/>
  <c r="M419" i="1"/>
  <c r="I419" i="2" s="1"/>
  <c r="M420" i="1"/>
  <c r="I420" i="2" s="1"/>
  <c r="M421" i="1"/>
  <c r="I421" i="2" s="1"/>
  <c r="M422" i="1"/>
  <c r="I422" i="2" s="1"/>
  <c r="M423" i="1"/>
  <c r="I423" i="2" s="1"/>
  <c r="M424" i="1"/>
  <c r="I424" i="2" s="1"/>
  <c r="M425" i="1"/>
  <c r="I425" i="2" s="1"/>
  <c r="M426" i="1"/>
  <c r="I426" i="2" s="1"/>
  <c r="M427" i="1"/>
  <c r="I427" i="2" s="1"/>
  <c r="M428" i="1"/>
  <c r="I428" i="2" s="1"/>
  <c r="M429" i="1"/>
  <c r="I429" i="2" s="1"/>
  <c r="M430" i="1"/>
  <c r="I430" i="2" s="1"/>
  <c r="M431" i="1"/>
  <c r="I431" i="2" s="1"/>
  <c r="M432" i="1"/>
  <c r="I432" i="2" s="1"/>
  <c r="M433" i="1"/>
  <c r="I433" i="2" s="1"/>
  <c r="M434" i="1"/>
  <c r="I434" i="2" s="1"/>
  <c r="M435" i="1"/>
  <c r="I435" i="2" s="1"/>
  <c r="M436" i="1"/>
  <c r="I436" i="2" s="1"/>
  <c r="M437" i="1"/>
  <c r="I437" i="2" s="1"/>
  <c r="M438" i="1"/>
  <c r="I438" i="2" s="1"/>
  <c r="M439" i="1"/>
  <c r="I439" i="2" s="1"/>
  <c r="M440" i="1"/>
  <c r="I440" i="2" s="1"/>
  <c r="M441" i="1"/>
  <c r="I441" i="2" s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I538" i="2" s="1"/>
  <c r="M539" i="1"/>
  <c r="I539" i="2" s="1"/>
  <c r="M540" i="1"/>
  <c r="I540" i="2" s="1"/>
  <c r="M541" i="1"/>
  <c r="I541" i="2" s="1"/>
  <c r="M542" i="1"/>
  <c r="I542" i="2" s="1"/>
  <c r="M543" i="1"/>
  <c r="I543" i="2" s="1"/>
  <c r="M544" i="1"/>
  <c r="I544" i="2" s="1"/>
  <c r="M545" i="1"/>
  <c r="I545" i="2" s="1"/>
  <c r="M546" i="1"/>
  <c r="I546" i="2" s="1"/>
  <c r="M547" i="1"/>
  <c r="I547" i="2" s="1"/>
  <c r="M548" i="1"/>
  <c r="I548" i="2" s="1"/>
  <c r="M549" i="1"/>
  <c r="I549" i="2" s="1"/>
  <c r="M550" i="1"/>
  <c r="I550" i="2" s="1"/>
  <c r="M551" i="1"/>
  <c r="I551" i="2" s="1"/>
  <c r="M552" i="1"/>
  <c r="I552" i="2" s="1"/>
  <c r="M553" i="1"/>
  <c r="I553" i="2" s="1"/>
  <c r="M554" i="1"/>
  <c r="I554" i="2" s="1"/>
  <c r="M555" i="1"/>
  <c r="I555" i="2" s="1"/>
  <c r="M556" i="1"/>
  <c r="I556" i="2" s="1"/>
  <c r="M557" i="1"/>
  <c r="I557" i="2" s="1"/>
  <c r="M558" i="1"/>
  <c r="I558" i="2" s="1"/>
  <c r="M559" i="1"/>
  <c r="I559" i="2" s="1"/>
  <c r="M560" i="1"/>
  <c r="I560" i="2" s="1"/>
  <c r="M561" i="1"/>
  <c r="I561" i="2" s="1"/>
  <c r="M562" i="1"/>
  <c r="I562" i="2" s="1"/>
  <c r="M563" i="1"/>
  <c r="I563" i="2" s="1"/>
  <c r="M564" i="1"/>
  <c r="I564" i="2" s="1"/>
  <c r="M565" i="1"/>
  <c r="I565" i="2" s="1"/>
  <c r="M566" i="1"/>
  <c r="I566" i="2" s="1"/>
  <c r="M567" i="1"/>
  <c r="I567" i="2" s="1"/>
  <c r="M568" i="1"/>
  <c r="I568" i="2" s="1"/>
  <c r="M569" i="1"/>
  <c r="I569" i="2" s="1"/>
  <c r="M570" i="1"/>
  <c r="I570" i="2" s="1"/>
  <c r="M571" i="1"/>
  <c r="I571" i="2" s="1"/>
  <c r="M572" i="1"/>
  <c r="I572" i="2" s="1"/>
  <c r="M573" i="1"/>
  <c r="I573" i="2" s="1"/>
  <c r="M574" i="1"/>
  <c r="I574" i="2" s="1"/>
  <c r="M575" i="1"/>
  <c r="I575" i="2" s="1"/>
  <c r="M576" i="1"/>
  <c r="I576" i="2" s="1"/>
  <c r="M577" i="1"/>
  <c r="I577" i="2" s="1"/>
  <c r="M578" i="1"/>
  <c r="I578" i="2" s="1"/>
  <c r="M579" i="1"/>
  <c r="I579" i="2" s="1"/>
  <c r="M580" i="1"/>
  <c r="I580" i="2" s="1"/>
  <c r="M581" i="1"/>
  <c r="I581" i="2" s="1"/>
  <c r="M582" i="1"/>
  <c r="I582" i="2" s="1"/>
  <c r="M583" i="1"/>
  <c r="I583" i="2" s="1"/>
  <c r="M584" i="1"/>
  <c r="I584" i="2" s="1"/>
  <c r="M585" i="1"/>
  <c r="I585" i="2" s="1"/>
  <c r="M586" i="1"/>
  <c r="I586" i="2" s="1"/>
  <c r="M587" i="1"/>
  <c r="I587" i="2" s="1"/>
  <c r="M588" i="1"/>
  <c r="I588" i="2" s="1"/>
  <c r="M589" i="1"/>
  <c r="I589" i="2" s="1"/>
  <c r="M590" i="1"/>
  <c r="I590" i="2" s="1"/>
  <c r="M591" i="1"/>
  <c r="I591" i="2" s="1"/>
  <c r="M592" i="1"/>
  <c r="I592" i="2" s="1"/>
  <c r="M593" i="1"/>
  <c r="I593" i="2" s="1"/>
  <c r="M594" i="1"/>
  <c r="I594" i="2" s="1"/>
  <c r="M595" i="1"/>
  <c r="I595" i="2" s="1"/>
  <c r="M596" i="1"/>
  <c r="I596" i="2" s="1"/>
  <c r="M597" i="1"/>
  <c r="I597" i="2" s="1"/>
  <c r="M598" i="1"/>
  <c r="I598" i="2" s="1"/>
  <c r="M599" i="1"/>
  <c r="I599" i="2" s="1"/>
  <c r="M600" i="1"/>
  <c r="I600" i="2" s="1"/>
  <c r="M601" i="1"/>
  <c r="I601" i="2" s="1"/>
  <c r="M602" i="1"/>
  <c r="I602" i="2" s="1"/>
  <c r="M603" i="1"/>
  <c r="I603" i="2" s="1"/>
  <c r="M604" i="1"/>
  <c r="I604" i="2" s="1"/>
  <c r="M605" i="1"/>
  <c r="I605" i="2" s="1"/>
  <c r="M606" i="1"/>
  <c r="I606" i="2" s="1"/>
  <c r="M607" i="1"/>
  <c r="I607" i="2" s="1"/>
  <c r="M608" i="1"/>
  <c r="I608" i="2" s="1"/>
  <c r="M609" i="1"/>
  <c r="I609" i="2" s="1"/>
  <c r="M610" i="1"/>
  <c r="I610" i="2" s="1"/>
  <c r="M611" i="1"/>
  <c r="I611" i="2" s="1"/>
  <c r="M612" i="1"/>
  <c r="I612" i="2" s="1"/>
  <c r="M613" i="1"/>
  <c r="I613" i="2" s="1"/>
  <c r="M614" i="1"/>
  <c r="I614" i="2" s="1"/>
  <c r="M615" i="1"/>
  <c r="I615" i="2" s="1"/>
  <c r="M616" i="1"/>
  <c r="I616" i="2" s="1"/>
  <c r="M617" i="1"/>
  <c r="I617" i="2" s="1"/>
  <c r="M618" i="1"/>
  <c r="I618" i="2" s="1"/>
  <c r="M619" i="1"/>
  <c r="I619" i="2" s="1"/>
  <c r="M620" i="1"/>
  <c r="I620" i="2" s="1"/>
  <c r="M621" i="1"/>
  <c r="I621" i="2" s="1"/>
  <c r="M622" i="1"/>
  <c r="I622" i="2" s="1"/>
  <c r="M623" i="1"/>
  <c r="I623" i="2" s="1"/>
  <c r="M624" i="1"/>
  <c r="I624" i="2" s="1"/>
  <c r="M625" i="1"/>
  <c r="I625" i="2" s="1"/>
  <c r="M626" i="1"/>
  <c r="I626" i="2" s="1"/>
  <c r="M627" i="1"/>
  <c r="I627" i="2" s="1"/>
  <c r="M628" i="1"/>
  <c r="I628" i="2" s="1"/>
  <c r="M629" i="1"/>
  <c r="I629" i="2" s="1"/>
  <c r="M630" i="1"/>
  <c r="I630" i="2" s="1"/>
  <c r="M631" i="1"/>
  <c r="I631" i="2" s="1"/>
  <c r="M632" i="1"/>
  <c r="I632" i="2" s="1"/>
  <c r="M633" i="1"/>
  <c r="I633" i="2" s="1"/>
  <c r="M634" i="1"/>
  <c r="I634" i="2" s="1"/>
  <c r="M635" i="1"/>
  <c r="I635" i="2" s="1"/>
  <c r="M636" i="1"/>
  <c r="I636" i="2" s="1"/>
  <c r="M637" i="1"/>
  <c r="I637" i="2" s="1"/>
  <c r="M638" i="1"/>
  <c r="I638" i="2" s="1"/>
  <c r="M639" i="1"/>
  <c r="I639" i="2" s="1"/>
  <c r="M640" i="1"/>
  <c r="I640" i="2" s="1"/>
  <c r="M641" i="1"/>
  <c r="I641" i="2" s="1"/>
  <c r="M642" i="1"/>
  <c r="I642" i="2" s="1"/>
  <c r="M643" i="1"/>
  <c r="I643" i="2" s="1"/>
  <c r="M644" i="1"/>
  <c r="I644" i="2" s="1"/>
  <c r="M645" i="1"/>
  <c r="I645" i="2" s="1"/>
  <c r="M646" i="1"/>
  <c r="I646" i="2" s="1"/>
  <c r="M647" i="1"/>
  <c r="I647" i="2" s="1"/>
  <c r="M648" i="1"/>
  <c r="I648" i="2" s="1"/>
  <c r="M649" i="1"/>
  <c r="I649" i="2" s="1"/>
  <c r="M650" i="1"/>
  <c r="I650" i="2" s="1"/>
  <c r="M651" i="1"/>
  <c r="I651" i="2" s="1"/>
  <c r="M652" i="1"/>
  <c r="I652" i="2" s="1"/>
  <c r="M653" i="1"/>
  <c r="I653" i="2" s="1"/>
  <c r="M654" i="1"/>
  <c r="I654" i="2" s="1"/>
  <c r="M655" i="1"/>
  <c r="I655" i="2" s="1"/>
  <c r="M656" i="1"/>
  <c r="I656" i="2" s="1"/>
  <c r="M657" i="1"/>
  <c r="I657" i="2" s="1"/>
  <c r="M658" i="1"/>
  <c r="I658" i="2" s="1"/>
  <c r="M659" i="1"/>
  <c r="I659" i="2" s="1"/>
  <c r="M660" i="1"/>
  <c r="I660" i="2" s="1"/>
  <c r="M661" i="1"/>
  <c r="I661" i="2" s="1"/>
  <c r="M662" i="1"/>
  <c r="I662" i="2" s="1"/>
  <c r="M663" i="1"/>
  <c r="I663" i="2" s="1"/>
  <c r="M664" i="1"/>
  <c r="I664" i="2" s="1"/>
  <c r="M665" i="1"/>
  <c r="I665" i="2" s="1"/>
  <c r="M666" i="1"/>
  <c r="I666" i="2" s="1"/>
  <c r="M667" i="1"/>
  <c r="I667" i="2" s="1"/>
  <c r="M668" i="1"/>
  <c r="I668" i="2" s="1"/>
  <c r="M669" i="1"/>
  <c r="I669" i="2" s="1"/>
  <c r="M670" i="1"/>
  <c r="I670" i="2" s="1"/>
  <c r="M671" i="1"/>
  <c r="I671" i="2" s="1"/>
  <c r="M672" i="1"/>
  <c r="I672" i="2" s="1"/>
  <c r="M673" i="1"/>
  <c r="I673" i="2" s="1"/>
  <c r="M674" i="1"/>
  <c r="I674" i="2" s="1"/>
  <c r="M675" i="1"/>
  <c r="I675" i="2" s="1"/>
  <c r="M676" i="1"/>
  <c r="I676" i="2" s="1"/>
  <c r="M677" i="1"/>
  <c r="I677" i="2" s="1"/>
  <c r="M678" i="1"/>
  <c r="I678" i="2" s="1"/>
  <c r="M679" i="1"/>
  <c r="I679" i="2" s="1"/>
  <c r="M680" i="1"/>
  <c r="I680" i="2" s="1"/>
  <c r="M681" i="1"/>
  <c r="I681" i="2" s="1"/>
  <c r="M682" i="1"/>
  <c r="I682" i="2" s="1"/>
  <c r="M683" i="1"/>
  <c r="I683" i="2" s="1"/>
  <c r="M684" i="1"/>
  <c r="I684" i="2" s="1"/>
  <c r="M685" i="1"/>
  <c r="I685" i="2" s="1"/>
  <c r="M686" i="1"/>
  <c r="I686" i="2" s="1"/>
  <c r="M687" i="1"/>
  <c r="I687" i="2" s="1"/>
  <c r="M688" i="1"/>
  <c r="I688" i="2" s="1"/>
  <c r="M689" i="1"/>
  <c r="I689" i="2" s="1"/>
  <c r="M690" i="1"/>
  <c r="I690" i="2" s="1"/>
  <c r="M691" i="1"/>
  <c r="I691" i="2" s="1"/>
  <c r="M692" i="1"/>
  <c r="I692" i="2" s="1"/>
  <c r="M693" i="1"/>
  <c r="I693" i="2" s="1"/>
  <c r="M694" i="1"/>
  <c r="I694" i="2" s="1"/>
  <c r="M695" i="1"/>
  <c r="I695" i="2" s="1"/>
  <c r="M696" i="1"/>
  <c r="I696" i="2" s="1"/>
  <c r="M697" i="1"/>
  <c r="I697" i="2" s="1"/>
  <c r="M698" i="1"/>
  <c r="I698" i="2" s="1"/>
  <c r="M699" i="1"/>
  <c r="I699" i="2" s="1"/>
  <c r="M700" i="1"/>
  <c r="I700" i="2" s="1"/>
  <c r="M701" i="1"/>
  <c r="I701" i="2" s="1"/>
  <c r="M702" i="1"/>
  <c r="I702" i="2" s="1"/>
  <c r="M703" i="1"/>
  <c r="I703" i="2" s="1"/>
  <c r="M704" i="1"/>
  <c r="I704" i="2" s="1"/>
  <c r="M705" i="1"/>
  <c r="I705" i="2" s="1"/>
  <c r="M706" i="1"/>
  <c r="I706" i="2" s="1"/>
  <c r="M707" i="1"/>
  <c r="I707" i="2" s="1"/>
  <c r="M708" i="1"/>
  <c r="I708" i="2" s="1"/>
  <c r="M709" i="1"/>
  <c r="I709" i="2" s="1"/>
  <c r="M710" i="1"/>
  <c r="I710" i="2" s="1"/>
  <c r="M711" i="1"/>
  <c r="I711" i="2" s="1"/>
  <c r="M712" i="1"/>
  <c r="I712" i="2" s="1"/>
  <c r="M713" i="1"/>
  <c r="I713" i="2" s="1"/>
  <c r="M714" i="1"/>
  <c r="I714" i="2" s="1"/>
  <c r="M715" i="1"/>
  <c r="I715" i="2" s="1"/>
  <c r="M716" i="1"/>
  <c r="I716" i="2" s="1"/>
  <c r="M717" i="1"/>
  <c r="I717" i="2" s="1"/>
  <c r="M718" i="1"/>
  <c r="I718" i="2" s="1"/>
  <c r="M719" i="1"/>
  <c r="I719" i="2" s="1"/>
  <c r="M720" i="1"/>
  <c r="I720" i="2" s="1"/>
  <c r="M721" i="1"/>
  <c r="I721" i="2" s="1"/>
  <c r="M722" i="1"/>
  <c r="I722" i="2" s="1"/>
  <c r="M723" i="1"/>
  <c r="I723" i="2" s="1"/>
  <c r="M724" i="1"/>
  <c r="I724" i="2" s="1"/>
  <c r="M725" i="1"/>
  <c r="I725" i="2" s="1"/>
  <c r="M726" i="1"/>
  <c r="I726" i="2" s="1"/>
  <c r="M727" i="1"/>
  <c r="I727" i="2" s="1"/>
  <c r="M728" i="1"/>
  <c r="I728" i="2" s="1"/>
  <c r="M729" i="1"/>
  <c r="I729" i="2" s="1"/>
  <c r="M730" i="1"/>
  <c r="I730" i="2" s="1"/>
  <c r="M731" i="1"/>
  <c r="I731" i="2" s="1"/>
  <c r="M732" i="1"/>
  <c r="I732" i="2" s="1"/>
  <c r="M733" i="1"/>
  <c r="I733" i="2" s="1"/>
  <c r="M734" i="1"/>
  <c r="I734" i="2" s="1"/>
  <c r="M735" i="1"/>
  <c r="I735" i="2" s="1"/>
  <c r="M736" i="1"/>
  <c r="I736" i="2" s="1"/>
  <c r="M737" i="1"/>
  <c r="I737" i="2" s="1"/>
  <c r="M738" i="1"/>
  <c r="I738" i="2" s="1"/>
  <c r="M739" i="1"/>
  <c r="I739" i="2" s="1"/>
  <c r="M740" i="1"/>
  <c r="I740" i="2" s="1"/>
  <c r="M741" i="1"/>
  <c r="I741" i="2" s="1"/>
  <c r="M742" i="1"/>
  <c r="I742" i="2" s="1"/>
  <c r="M743" i="1"/>
  <c r="I743" i="2" s="1"/>
  <c r="M744" i="1"/>
  <c r="I744" i="2" s="1"/>
  <c r="M745" i="1"/>
  <c r="I745" i="2" s="1"/>
  <c r="M746" i="1"/>
  <c r="I746" i="2" s="1"/>
  <c r="M747" i="1"/>
  <c r="I747" i="2" s="1"/>
  <c r="M748" i="1"/>
  <c r="I748" i="2" s="1"/>
  <c r="M749" i="1"/>
  <c r="I749" i="2" s="1"/>
  <c r="M750" i="1"/>
  <c r="I750" i="2" s="1"/>
  <c r="M751" i="1"/>
  <c r="I751" i="2" s="1"/>
  <c r="M752" i="1"/>
  <c r="I752" i="2" s="1"/>
  <c r="M753" i="1"/>
  <c r="I753" i="2" s="1"/>
  <c r="M754" i="1"/>
  <c r="I754" i="2" s="1"/>
  <c r="M755" i="1"/>
  <c r="I755" i="2" s="1"/>
  <c r="M756" i="1"/>
  <c r="I756" i="2" s="1"/>
  <c r="M757" i="1"/>
  <c r="I757" i="2" s="1"/>
  <c r="M758" i="1"/>
  <c r="I758" i="2" s="1"/>
  <c r="M759" i="1"/>
  <c r="I759" i="2" s="1"/>
  <c r="M760" i="1"/>
  <c r="I760" i="2" s="1"/>
  <c r="M761" i="1"/>
  <c r="I761" i="2" s="1"/>
  <c r="M762" i="1"/>
  <c r="I762" i="2" s="1"/>
  <c r="M763" i="1"/>
  <c r="I763" i="2" s="1"/>
  <c r="M764" i="1"/>
  <c r="I764" i="2" s="1"/>
  <c r="M765" i="1"/>
  <c r="I765" i="2" s="1"/>
  <c r="M766" i="1"/>
  <c r="I766" i="2" s="1"/>
  <c r="M767" i="1"/>
  <c r="I767" i="2" s="1"/>
  <c r="M768" i="1"/>
  <c r="I768" i="2" s="1"/>
  <c r="M769" i="1"/>
  <c r="I769" i="2" s="1"/>
  <c r="M770" i="1"/>
  <c r="I770" i="2" s="1"/>
  <c r="M771" i="1"/>
  <c r="I771" i="2" s="1"/>
  <c r="M772" i="1"/>
  <c r="I772" i="2" s="1"/>
  <c r="M773" i="1"/>
  <c r="I773" i="2" s="1"/>
  <c r="M774" i="1"/>
  <c r="I774" i="2" s="1"/>
  <c r="M775" i="1"/>
  <c r="I775" i="2" s="1"/>
  <c r="M776" i="1"/>
  <c r="I776" i="2" s="1"/>
  <c r="M777" i="1"/>
  <c r="I777" i="2" s="1"/>
  <c r="M778" i="1"/>
  <c r="I778" i="2" s="1"/>
  <c r="M779" i="1"/>
  <c r="I779" i="2" s="1"/>
  <c r="M780" i="1"/>
  <c r="I780" i="2" s="1"/>
  <c r="M781" i="1"/>
  <c r="I781" i="2" s="1"/>
  <c r="M782" i="1"/>
  <c r="I782" i="2" s="1"/>
  <c r="M783" i="1"/>
  <c r="I783" i="2" s="1"/>
  <c r="M784" i="1"/>
  <c r="I784" i="2" s="1"/>
  <c r="M785" i="1"/>
  <c r="I785" i="2" s="1"/>
  <c r="M786" i="1"/>
  <c r="I786" i="2" s="1"/>
  <c r="M787" i="1"/>
  <c r="I787" i="2" s="1"/>
  <c r="M788" i="1"/>
  <c r="I788" i="2" s="1"/>
  <c r="M789" i="1"/>
  <c r="I789" i="2" s="1"/>
  <c r="M790" i="1"/>
  <c r="I790" i="2" s="1"/>
  <c r="M791" i="1"/>
  <c r="I791" i="2" s="1"/>
  <c r="M792" i="1"/>
  <c r="I792" i="2" s="1"/>
  <c r="M793" i="1"/>
  <c r="I793" i="2" s="1"/>
  <c r="M794" i="1"/>
  <c r="I794" i="2" s="1"/>
  <c r="M795" i="1"/>
  <c r="I795" i="2" s="1"/>
  <c r="M796" i="1"/>
  <c r="I796" i="2" s="1"/>
  <c r="M797" i="1"/>
  <c r="I797" i="2" s="1"/>
  <c r="M798" i="1"/>
  <c r="I798" i="2" s="1"/>
  <c r="M799" i="1"/>
  <c r="I799" i="2" s="1"/>
  <c r="M800" i="1"/>
  <c r="I800" i="2" s="1"/>
  <c r="M801" i="1"/>
  <c r="I801" i="2" s="1"/>
  <c r="M802" i="1"/>
  <c r="I802" i="2" s="1"/>
  <c r="M803" i="1"/>
  <c r="I803" i="2" s="1"/>
  <c r="M804" i="1"/>
  <c r="I804" i="2" s="1"/>
  <c r="M805" i="1"/>
  <c r="I805" i="2" s="1"/>
  <c r="M806" i="1"/>
  <c r="I806" i="2" s="1"/>
  <c r="M807" i="1"/>
  <c r="I807" i="2" s="1"/>
  <c r="M808" i="1"/>
  <c r="I808" i="2" s="1"/>
  <c r="M809" i="1"/>
  <c r="I809" i="2" s="1"/>
  <c r="M810" i="1"/>
  <c r="I810" i="2" s="1"/>
  <c r="M811" i="1"/>
  <c r="I811" i="2" s="1"/>
  <c r="M812" i="1"/>
  <c r="I812" i="2" s="1"/>
  <c r="M813" i="1"/>
  <c r="I813" i="2" s="1"/>
  <c r="M814" i="1"/>
  <c r="I814" i="2" s="1"/>
  <c r="M815" i="1"/>
  <c r="I815" i="2" s="1"/>
  <c r="M816" i="1"/>
  <c r="I816" i="2" s="1"/>
  <c r="M817" i="1"/>
  <c r="I817" i="2" s="1"/>
  <c r="M818" i="1"/>
  <c r="I818" i="2" s="1"/>
  <c r="M819" i="1"/>
  <c r="I819" i="2" s="1"/>
  <c r="M820" i="1"/>
  <c r="I820" i="2" s="1"/>
  <c r="M821" i="1"/>
  <c r="I821" i="2" s="1"/>
  <c r="M822" i="1"/>
  <c r="I822" i="2" s="1"/>
  <c r="M823" i="1"/>
  <c r="I823" i="2" s="1"/>
  <c r="M824" i="1"/>
  <c r="I824" i="2" s="1"/>
  <c r="M825" i="1"/>
  <c r="I825" i="2" s="1"/>
  <c r="M826" i="1"/>
  <c r="I826" i="2" s="1"/>
  <c r="M827" i="1"/>
  <c r="I827" i="2" s="1"/>
  <c r="M828" i="1"/>
  <c r="I828" i="2" s="1"/>
  <c r="M829" i="1"/>
  <c r="I829" i="2" s="1"/>
  <c r="M830" i="1"/>
  <c r="I830" i="2" s="1"/>
  <c r="M831" i="1"/>
  <c r="I831" i="2" s="1"/>
  <c r="M832" i="1"/>
  <c r="I832" i="2" s="1"/>
  <c r="M833" i="1"/>
  <c r="I833" i="2" s="1"/>
  <c r="M834" i="1"/>
  <c r="I834" i="2" s="1"/>
  <c r="M835" i="1"/>
  <c r="I835" i="2" s="1"/>
  <c r="M836" i="1"/>
  <c r="I836" i="2" s="1"/>
  <c r="M837" i="1"/>
  <c r="I837" i="2" s="1"/>
  <c r="M838" i="1"/>
  <c r="I838" i="2" s="1"/>
  <c r="M839" i="1"/>
  <c r="I839" i="2" s="1"/>
  <c r="M840" i="1"/>
  <c r="I840" i="2" s="1"/>
  <c r="M841" i="1"/>
  <c r="I841" i="2" s="1"/>
  <c r="M842" i="1"/>
  <c r="I842" i="2" s="1"/>
  <c r="M843" i="1"/>
  <c r="I843" i="2" s="1"/>
  <c r="M844" i="1"/>
  <c r="I844" i="2" s="1"/>
  <c r="M845" i="1"/>
  <c r="I845" i="2" s="1"/>
  <c r="M846" i="1"/>
  <c r="I846" i="2" s="1"/>
  <c r="M847" i="1"/>
  <c r="I847" i="2" s="1"/>
  <c r="M848" i="1"/>
  <c r="I848" i="2" s="1"/>
  <c r="M849" i="1"/>
  <c r="I849" i="2" s="1"/>
  <c r="M850" i="1"/>
  <c r="I850" i="2" s="1"/>
  <c r="M851" i="1"/>
  <c r="I851" i="2" s="1"/>
  <c r="M852" i="1"/>
  <c r="I852" i="2" s="1"/>
  <c r="M853" i="1"/>
  <c r="I853" i="2" s="1"/>
  <c r="M854" i="1"/>
  <c r="I854" i="2" s="1"/>
  <c r="M855" i="1"/>
  <c r="I855" i="2" s="1"/>
  <c r="M856" i="1"/>
  <c r="I856" i="2" s="1"/>
  <c r="M857" i="1"/>
  <c r="I857" i="2" s="1"/>
  <c r="M858" i="1"/>
  <c r="I858" i="2" s="1"/>
  <c r="M859" i="1"/>
  <c r="I859" i="2" s="1"/>
  <c r="M860" i="1"/>
  <c r="I860" i="2" s="1"/>
  <c r="M861" i="1"/>
  <c r="I861" i="2" s="1"/>
  <c r="M862" i="1"/>
  <c r="I862" i="2" s="1"/>
  <c r="M863" i="1"/>
  <c r="I863" i="2" s="1"/>
  <c r="M864" i="1"/>
  <c r="I864" i="2" s="1"/>
  <c r="M865" i="1"/>
  <c r="I865" i="2" s="1"/>
  <c r="M866" i="1"/>
  <c r="I866" i="2" s="1"/>
  <c r="M867" i="1"/>
  <c r="I867" i="2" s="1"/>
  <c r="M868" i="1"/>
  <c r="I868" i="2" s="1"/>
  <c r="M869" i="1"/>
  <c r="I869" i="2" s="1"/>
  <c r="M870" i="1"/>
  <c r="I870" i="2" s="1"/>
  <c r="M871" i="1"/>
  <c r="I871" i="2" s="1"/>
  <c r="M872" i="1"/>
  <c r="I872" i="2" s="1"/>
  <c r="M873" i="1"/>
  <c r="I873" i="2" s="1"/>
  <c r="M874" i="1"/>
  <c r="I874" i="2" s="1"/>
  <c r="M875" i="1"/>
  <c r="I875" i="2" s="1"/>
  <c r="M876" i="1"/>
  <c r="I876" i="2" s="1"/>
  <c r="M877" i="1"/>
  <c r="I877" i="2" s="1"/>
  <c r="M878" i="1"/>
  <c r="I878" i="2" s="1"/>
  <c r="M879" i="1"/>
  <c r="I879" i="2" s="1"/>
  <c r="M880" i="1"/>
  <c r="I880" i="2" s="1"/>
  <c r="M881" i="1"/>
  <c r="I881" i="2" s="1"/>
  <c r="M882" i="1"/>
  <c r="I882" i="2" s="1"/>
  <c r="M883" i="1"/>
  <c r="I883" i="2" s="1"/>
  <c r="M884" i="1"/>
  <c r="I884" i="2" s="1"/>
  <c r="M885" i="1"/>
  <c r="I885" i="2" s="1"/>
  <c r="M886" i="1"/>
  <c r="I886" i="2" s="1"/>
  <c r="M887" i="1"/>
  <c r="I887" i="2" s="1"/>
  <c r="M888" i="1"/>
  <c r="I888" i="2" s="1"/>
  <c r="M889" i="1"/>
  <c r="I889" i="2" s="1"/>
  <c r="M890" i="1"/>
  <c r="I890" i="2" s="1"/>
  <c r="M891" i="1"/>
  <c r="I891" i="2" s="1"/>
  <c r="M892" i="1"/>
  <c r="I892" i="2" s="1"/>
  <c r="M893" i="1"/>
  <c r="I893" i="2" s="1"/>
  <c r="M894" i="1"/>
  <c r="I894" i="2" s="1"/>
  <c r="M895" i="1"/>
  <c r="I895" i="2" s="1"/>
  <c r="M896" i="1"/>
  <c r="I896" i="2" s="1"/>
  <c r="M897" i="1"/>
  <c r="I897" i="2" s="1"/>
  <c r="M898" i="1"/>
  <c r="I898" i="2" s="1"/>
  <c r="M899" i="1"/>
  <c r="I899" i="2" s="1"/>
  <c r="M900" i="1"/>
  <c r="I900" i="2" s="1"/>
  <c r="M901" i="1"/>
  <c r="I901" i="2" s="1"/>
  <c r="M902" i="1"/>
  <c r="I902" i="2" s="1"/>
  <c r="M903" i="1"/>
  <c r="I903" i="2" s="1"/>
  <c r="M904" i="1"/>
  <c r="I904" i="2" s="1"/>
  <c r="M905" i="1"/>
  <c r="I905" i="2" s="1"/>
  <c r="M906" i="1"/>
  <c r="I906" i="2" s="1"/>
  <c r="M907" i="1"/>
  <c r="I907" i="2" s="1"/>
  <c r="M908" i="1"/>
  <c r="I908" i="2" s="1"/>
  <c r="M909" i="1"/>
  <c r="I909" i="2" s="1"/>
  <c r="M910" i="1"/>
  <c r="I910" i="2" s="1"/>
  <c r="M911" i="1"/>
  <c r="I911" i="2" s="1"/>
  <c r="M912" i="1"/>
  <c r="I912" i="2" s="1"/>
  <c r="M913" i="1"/>
  <c r="I913" i="2" s="1"/>
  <c r="M914" i="1"/>
  <c r="I914" i="2" s="1"/>
  <c r="M915" i="1"/>
  <c r="I915" i="2" s="1"/>
  <c r="M916" i="1"/>
  <c r="I916" i="2" s="1"/>
  <c r="M917" i="1"/>
  <c r="I917" i="2" s="1"/>
  <c r="M918" i="1"/>
  <c r="I918" i="2" s="1"/>
  <c r="M919" i="1"/>
  <c r="I919" i="2" s="1"/>
  <c r="M920" i="1"/>
  <c r="I920" i="2" s="1"/>
  <c r="M921" i="1"/>
  <c r="I921" i="2" s="1"/>
  <c r="M922" i="1"/>
  <c r="I922" i="2" s="1"/>
  <c r="M923" i="1"/>
  <c r="I923" i="2" s="1"/>
  <c r="M924" i="1"/>
  <c r="I924" i="2" s="1"/>
  <c r="M925" i="1"/>
  <c r="I925" i="2" s="1"/>
  <c r="M926" i="1"/>
  <c r="I926" i="2" s="1"/>
  <c r="M927" i="1"/>
  <c r="I927" i="2" s="1"/>
  <c r="M928" i="1"/>
  <c r="I928" i="2" s="1"/>
  <c r="M929" i="1"/>
  <c r="I929" i="2" s="1"/>
  <c r="M930" i="1"/>
  <c r="I930" i="2" s="1"/>
  <c r="M931" i="1"/>
  <c r="I931" i="2" s="1"/>
  <c r="M932" i="1"/>
  <c r="I932" i="2" s="1"/>
  <c r="M933" i="1"/>
  <c r="I933" i="2" s="1"/>
  <c r="M934" i="1"/>
  <c r="I934" i="2" s="1"/>
  <c r="M935" i="1"/>
  <c r="I935" i="2" s="1"/>
  <c r="M936" i="1"/>
  <c r="I936" i="2" s="1"/>
  <c r="M937" i="1"/>
  <c r="I937" i="2" s="1"/>
  <c r="M938" i="1"/>
  <c r="I938" i="2" s="1"/>
  <c r="M939" i="1"/>
  <c r="I939" i="2" s="1"/>
  <c r="M940" i="1"/>
  <c r="I940" i="2" s="1"/>
  <c r="M941" i="1"/>
  <c r="I941" i="2" s="1"/>
  <c r="M942" i="1"/>
  <c r="I942" i="2" s="1"/>
  <c r="M943" i="1"/>
  <c r="I943" i="2" s="1"/>
  <c r="M944" i="1"/>
  <c r="I944" i="2" s="1"/>
  <c r="M945" i="1"/>
  <c r="I945" i="2" s="1"/>
  <c r="M946" i="1"/>
  <c r="I946" i="2" s="1"/>
  <c r="M947" i="1"/>
  <c r="I947" i="2" s="1"/>
  <c r="M948" i="1"/>
  <c r="I948" i="2" s="1"/>
  <c r="M949" i="1"/>
  <c r="I949" i="2" s="1"/>
  <c r="M950" i="1"/>
  <c r="I950" i="2" s="1"/>
  <c r="M951" i="1"/>
  <c r="I951" i="2" s="1"/>
  <c r="M952" i="1"/>
  <c r="I952" i="2" s="1"/>
  <c r="M953" i="1"/>
  <c r="I953" i="2" s="1"/>
  <c r="M954" i="1"/>
  <c r="I954" i="2" s="1"/>
  <c r="M955" i="1"/>
  <c r="I955" i="2" s="1"/>
  <c r="M956" i="1"/>
  <c r="I956" i="2" s="1"/>
  <c r="M957" i="1"/>
  <c r="I957" i="2" s="1"/>
  <c r="M958" i="1"/>
  <c r="I958" i="2" s="1"/>
  <c r="M959" i="1"/>
  <c r="I959" i="2" s="1"/>
  <c r="M960" i="1"/>
  <c r="I960" i="2" s="1"/>
  <c r="M961" i="1"/>
  <c r="I961" i="2" s="1"/>
  <c r="M962" i="1"/>
  <c r="I962" i="2" s="1"/>
  <c r="M963" i="1"/>
  <c r="I963" i="2" s="1"/>
  <c r="M964" i="1"/>
  <c r="I964" i="2" s="1"/>
  <c r="M965" i="1"/>
  <c r="I965" i="2" s="1"/>
  <c r="M966" i="1"/>
  <c r="I966" i="2" s="1"/>
  <c r="M967" i="1"/>
  <c r="I967" i="2" s="1"/>
  <c r="M968" i="1"/>
  <c r="I968" i="2" s="1"/>
  <c r="M969" i="1"/>
  <c r="I969" i="2" s="1"/>
  <c r="M970" i="1"/>
  <c r="I970" i="2" s="1"/>
  <c r="M971" i="1"/>
  <c r="I971" i="2" s="1"/>
  <c r="M972" i="1"/>
  <c r="I972" i="2" s="1"/>
  <c r="M973" i="1"/>
  <c r="I973" i="2" s="1"/>
  <c r="M974" i="1"/>
  <c r="I974" i="2" s="1"/>
  <c r="M975" i="1"/>
  <c r="I975" i="2" s="1"/>
  <c r="M976" i="1"/>
  <c r="I976" i="2" s="1"/>
  <c r="M977" i="1"/>
  <c r="I977" i="2" s="1"/>
  <c r="M978" i="1"/>
  <c r="I978" i="2" s="1"/>
  <c r="M979" i="1"/>
  <c r="I979" i="2" s="1"/>
  <c r="M980" i="1"/>
  <c r="I980" i="2" s="1"/>
  <c r="M981" i="1"/>
  <c r="I981" i="2" s="1"/>
  <c r="M982" i="1"/>
  <c r="I982" i="2" s="1"/>
  <c r="M983" i="1"/>
  <c r="I983" i="2" s="1"/>
  <c r="M984" i="1"/>
  <c r="I984" i="2" s="1"/>
  <c r="M985" i="1"/>
  <c r="I985" i="2" s="1"/>
  <c r="M986" i="1"/>
  <c r="I986" i="2" s="1"/>
  <c r="M987" i="1"/>
  <c r="I987" i="2" s="1"/>
  <c r="M988" i="1"/>
  <c r="I988" i="2" s="1"/>
  <c r="M989" i="1"/>
  <c r="I989" i="2" s="1"/>
  <c r="M990" i="1"/>
  <c r="I990" i="2" s="1"/>
  <c r="M991" i="1"/>
  <c r="I991" i="2" s="1"/>
  <c r="M992" i="1"/>
  <c r="I992" i="2" s="1"/>
  <c r="M993" i="1"/>
  <c r="I993" i="2" s="1"/>
  <c r="M994" i="1"/>
  <c r="I994" i="2" s="1"/>
  <c r="M995" i="1"/>
  <c r="I995" i="2" s="1"/>
  <c r="M996" i="1"/>
  <c r="I996" i="2" s="1"/>
  <c r="M997" i="1"/>
  <c r="I997" i="2" s="1"/>
  <c r="M998" i="1"/>
  <c r="I998" i="2" s="1"/>
  <c r="M999" i="1"/>
  <c r="I999" i="2" s="1"/>
  <c r="M1000" i="1"/>
  <c r="I1000" i="2" s="1"/>
  <c r="M1001" i="1"/>
  <c r="I1001" i="2" s="1"/>
  <c r="M3" i="1"/>
  <c r="I3" i="2" s="1"/>
  <c r="M4" i="1"/>
  <c r="I4" i="2" s="1"/>
  <c r="M5" i="1"/>
  <c r="I5" i="2" s="1"/>
  <c r="M6" i="1"/>
  <c r="I6" i="2" s="1"/>
  <c r="M7" i="1"/>
  <c r="I7" i="2" s="1"/>
  <c r="M8" i="1"/>
  <c r="I8" i="2" s="1"/>
  <c r="M9" i="1"/>
  <c r="I9" i="2" s="1"/>
  <c r="M10" i="1"/>
  <c r="I10" i="2" s="1"/>
  <c r="M2" i="1"/>
  <c r="I2" i="2" s="1"/>
  <c r="K40" i="1"/>
  <c r="H40" i="2" s="1"/>
  <c r="K41" i="1"/>
  <c r="H41" i="2" s="1"/>
  <c r="K42" i="1"/>
  <c r="H42" i="2" s="1"/>
  <c r="K43" i="1"/>
  <c r="H43" i="2" s="1"/>
  <c r="K44" i="1"/>
  <c r="H44" i="2" s="1"/>
  <c r="K45" i="1"/>
  <c r="H45" i="2" s="1"/>
  <c r="K46" i="1"/>
  <c r="H46" i="2" s="1"/>
  <c r="K47" i="1"/>
  <c r="H47" i="2" s="1"/>
  <c r="K48" i="1"/>
  <c r="H48" i="2" s="1"/>
  <c r="K49" i="1"/>
  <c r="H49" i="2" s="1"/>
  <c r="K50" i="1"/>
  <c r="H50" i="2" s="1"/>
  <c r="K51" i="1"/>
  <c r="H51" i="2" s="1"/>
  <c r="K52" i="1"/>
  <c r="H52" i="2" s="1"/>
  <c r="K53" i="1"/>
  <c r="H53" i="2" s="1"/>
  <c r="K54" i="1"/>
  <c r="H54" i="2" s="1"/>
  <c r="K55" i="1"/>
  <c r="H55" i="2" s="1"/>
  <c r="K56" i="1"/>
  <c r="H56" i="2" s="1"/>
  <c r="K57" i="1"/>
  <c r="H57" i="2" s="1"/>
  <c r="K58" i="1"/>
  <c r="H58" i="2" s="1"/>
  <c r="K59" i="1"/>
  <c r="H59" i="2" s="1"/>
  <c r="K60" i="1"/>
  <c r="H60" i="2" s="1"/>
  <c r="K61" i="1"/>
  <c r="H61" i="2" s="1"/>
  <c r="K62" i="1"/>
  <c r="H62" i="2" s="1"/>
  <c r="K63" i="1"/>
  <c r="H63" i="2" s="1"/>
  <c r="K64" i="1"/>
  <c r="H64" i="2" s="1"/>
  <c r="K65" i="1"/>
  <c r="H65" i="2" s="1"/>
  <c r="K66" i="1"/>
  <c r="H66" i="2" s="1"/>
  <c r="K67" i="1"/>
  <c r="H67" i="2" s="1"/>
  <c r="K68" i="1"/>
  <c r="H68" i="2" s="1"/>
  <c r="K69" i="1"/>
  <c r="H69" i="2" s="1"/>
  <c r="K70" i="1"/>
  <c r="H70" i="2" s="1"/>
  <c r="K71" i="1"/>
  <c r="H71" i="2" s="1"/>
  <c r="K72" i="1"/>
  <c r="H72" i="2" s="1"/>
  <c r="K73" i="1"/>
  <c r="H73" i="2" s="1"/>
  <c r="K74" i="1"/>
  <c r="H74" i="2" s="1"/>
  <c r="K75" i="1"/>
  <c r="H75" i="2" s="1"/>
  <c r="K76" i="1"/>
  <c r="H76" i="2" s="1"/>
  <c r="K77" i="1"/>
  <c r="H77" i="2" s="1"/>
  <c r="K78" i="1"/>
  <c r="H78" i="2" s="1"/>
  <c r="K79" i="1"/>
  <c r="H79" i="2" s="1"/>
  <c r="K80" i="1"/>
  <c r="H80" i="2" s="1"/>
  <c r="K81" i="1"/>
  <c r="H81" i="2" s="1"/>
  <c r="K82" i="1"/>
  <c r="H82" i="2" s="1"/>
  <c r="K83" i="1"/>
  <c r="H83" i="2" s="1"/>
  <c r="K84" i="1"/>
  <c r="H84" i="2" s="1"/>
  <c r="K85" i="1"/>
  <c r="H85" i="2" s="1"/>
  <c r="K86" i="1"/>
  <c r="H86" i="2" s="1"/>
  <c r="K87" i="1"/>
  <c r="H87" i="2" s="1"/>
  <c r="K88" i="1"/>
  <c r="H88" i="2" s="1"/>
  <c r="K89" i="1"/>
  <c r="H89" i="2" s="1"/>
  <c r="K90" i="1"/>
  <c r="H90" i="2" s="1"/>
  <c r="K91" i="1"/>
  <c r="H91" i="2" s="1"/>
  <c r="K92" i="1"/>
  <c r="H92" i="2" s="1"/>
  <c r="K93" i="1"/>
  <c r="H93" i="2" s="1"/>
  <c r="K94" i="1"/>
  <c r="H94" i="2" s="1"/>
  <c r="K95" i="1"/>
  <c r="H95" i="2" s="1"/>
  <c r="K96" i="1"/>
  <c r="H96" i="2" s="1"/>
  <c r="K97" i="1"/>
  <c r="H97" i="2" s="1"/>
  <c r="K98" i="1"/>
  <c r="H98" i="2" s="1"/>
  <c r="K99" i="1"/>
  <c r="H99" i="2" s="1"/>
  <c r="K100" i="1"/>
  <c r="H100" i="2" s="1"/>
  <c r="K101" i="1"/>
  <c r="H101" i="2" s="1"/>
  <c r="K102" i="1"/>
  <c r="H102" i="2" s="1"/>
  <c r="K103" i="1"/>
  <c r="H103" i="2" s="1"/>
  <c r="K104" i="1"/>
  <c r="H104" i="2" s="1"/>
  <c r="K105" i="1"/>
  <c r="H105" i="2" s="1"/>
  <c r="K106" i="1"/>
  <c r="H106" i="2" s="1"/>
  <c r="K107" i="1"/>
  <c r="H107" i="2" s="1"/>
  <c r="K108" i="1"/>
  <c r="H108" i="2" s="1"/>
  <c r="K109" i="1"/>
  <c r="H109" i="2" s="1"/>
  <c r="K110" i="1"/>
  <c r="H110" i="2" s="1"/>
  <c r="K111" i="1"/>
  <c r="H111" i="2" s="1"/>
  <c r="K112" i="1"/>
  <c r="H112" i="2" s="1"/>
  <c r="K113" i="1"/>
  <c r="H113" i="2" s="1"/>
  <c r="K114" i="1"/>
  <c r="H114" i="2" s="1"/>
  <c r="K115" i="1"/>
  <c r="H115" i="2" s="1"/>
  <c r="K116" i="1"/>
  <c r="H116" i="2" s="1"/>
  <c r="K117" i="1"/>
  <c r="H117" i="2" s="1"/>
  <c r="K118" i="1"/>
  <c r="H118" i="2" s="1"/>
  <c r="K119" i="1"/>
  <c r="H119" i="2" s="1"/>
  <c r="K120" i="1"/>
  <c r="H120" i="2" s="1"/>
  <c r="K121" i="1"/>
  <c r="H121" i="2" s="1"/>
  <c r="K122" i="1"/>
  <c r="H122" i="2" s="1"/>
  <c r="K123" i="1"/>
  <c r="H123" i="2" s="1"/>
  <c r="K124" i="1"/>
  <c r="H124" i="2" s="1"/>
  <c r="K125" i="1"/>
  <c r="H125" i="2" s="1"/>
  <c r="K126" i="1"/>
  <c r="H126" i="2" s="1"/>
  <c r="K127" i="1"/>
  <c r="H127" i="2" s="1"/>
  <c r="K128" i="1"/>
  <c r="H128" i="2" s="1"/>
  <c r="K129" i="1"/>
  <c r="H129" i="2" s="1"/>
  <c r="K130" i="1"/>
  <c r="H130" i="2" s="1"/>
  <c r="K131" i="1"/>
  <c r="H131" i="2" s="1"/>
  <c r="K132" i="1"/>
  <c r="H132" i="2" s="1"/>
  <c r="K133" i="1"/>
  <c r="H133" i="2" s="1"/>
  <c r="K134" i="1"/>
  <c r="H134" i="2" s="1"/>
  <c r="K135" i="1"/>
  <c r="H135" i="2" s="1"/>
  <c r="K136" i="1"/>
  <c r="H136" i="2" s="1"/>
  <c r="K137" i="1"/>
  <c r="H137" i="2" s="1"/>
  <c r="K138" i="1"/>
  <c r="H138" i="2" s="1"/>
  <c r="K139" i="1"/>
  <c r="H139" i="2" s="1"/>
  <c r="K140" i="1"/>
  <c r="H140" i="2" s="1"/>
  <c r="K141" i="1"/>
  <c r="H141" i="2" s="1"/>
  <c r="K142" i="1"/>
  <c r="H142" i="2" s="1"/>
  <c r="K143" i="1"/>
  <c r="H143" i="2" s="1"/>
  <c r="K144" i="1"/>
  <c r="H144" i="2" s="1"/>
  <c r="K145" i="1"/>
  <c r="H145" i="2" s="1"/>
  <c r="K146" i="1"/>
  <c r="H146" i="2" s="1"/>
  <c r="K147" i="1"/>
  <c r="H147" i="2" s="1"/>
  <c r="K148" i="1"/>
  <c r="H148" i="2" s="1"/>
  <c r="K149" i="1"/>
  <c r="H149" i="2" s="1"/>
  <c r="K150" i="1"/>
  <c r="H150" i="2" s="1"/>
  <c r="K151" i="1"/>
  <c r="H151" i="2" s="1"/>
  <c r="K152" i="1"/>
  <c r="H152" i="2" s="1"/>
  <c r="K153" i="1"/>
  <c r="H153" i="2" s="1"/>
  <c r="K154" i="1"/>
  <c r="H154" i="2" s="1"/>
  <c r="K155" i="1"/>
  <c r="H155" i="2" s="1"/>
  <c r="K156" i="1"/>
  <c r="H156" i="2" s="1"/>
  <c r="K157" i="1"/>
  <c r="H157" i="2" s="1"/>
  <c r="K158" i="1"/>
  <c r="H158" i="2" s="1"/>
  <c r="K159" i="1"/>
  <c r="H159" i="2" s="1"/>
  <c r="K160" i="1"/>
  <c r="H160" i="2" s="1"/>
  <c r="K161" i="1"/>
  <c r="H161" i="2" s="1"/>
  <c r="K162" i="1"/>
  <c r="H162" i="2" s="1"/>
  <c r="K163" i="1"/>
  <c r="H163" i="2" s="1"/>
  <c r="K164" i="1"/>
  <c r="H164" i="2" s="1"/>
  <c r="K165" i="1"/>
  <c r="H165" i="2" s="1"/>
  <c r="K166" i="1"/>
  <c r="H166" i="2" s="1"/>
  <c r="K167" i="1"/>
  <c r="H167" i="2" s="1"/>
  <c r="K168" i="1"/>
  <c r="H168" i="2" s="1"/>
  <c r="K169" i="1"/>
  <c r="H169" i="2" s="1"/>
  <c r="K170" i="1"/>
  <c r="H170" i="2" s="1"/>
  <c r="K171" i="1"/>
  <c r="H171" i="2" s="1"/>
  <c r="K172" i="1"/>
  <c r="H172" i="2" s="1"/>
  <c r="K173" i="1"/>
  <c r="H173" i="2" s="1"/>
  <c r="K174" i="1"/>
  <c r="H174" i="2" s="1"/>
  <c r="K175" i="1"/>
  <c r="H175" i="2" s="1"/>
  <c r="K176" i="1"/>
  <c r="H176" i="2" s="1"/>
  <c r="K177" i="1"/>
  <c r="H177" i="2" s="1"/>
  <c r="K178" i="1"/>
  <c r="H178" i="2" s="1"/>
  <c r="K179" i="1"/>
  <c r="H179" i="2" s="1"/>
  <c r="K180" i="1"/>
  <c r="H180" i="2" s="1"/>
  <c r="K181" i="1"/>
  <c r="H181" i="2" s="1"/>
  <c r="K182" i="1"/>
  <c r="H182" i="2" s="1"/>
  <c r="K183" i="1"/>
  <c r="H183" i="2" s="1"/>
  <c r="K184" i="1"/>
  <c r="H184" i="2" s="1"/>
  <c r="K185" i="1"/>
  <c r="H185" i="2" s="1"/>
  <c r="K186" i="1"/>
  <c r="H186" i="2" s="1"/>
  <c r="K187" i="1"/>
  <c r="H187" i="2" s="1"/>
  <c r="K188" i="1"/>
  <c r="H188" i="2" s="1"/>
  <c r="K189" i="1"/>
  <c r="H189" i="2" s="1"/>
  <c r="K190" i="1"/>
  <c r="H190" i="2" s="1"/>
  <c r="K191" i="1"/>
  <c r="H191" i="2" s="1"/>
  <c r="K192" i="1"/>
  <c r="H192" i="2" s="1"/>
  <c r="K193" i="1"/>
  <c r="H193" i="2" s="1"/>
  <c r="K194" i="1"/>
  <c r="H194" i="2" s="1"/>
  <c r="K195" i="1"/>
  <c r="H195" i="2" s="1"/>
  <c r="K196" i="1"/>
  <c r="H196" i="2" s="1"/>
  <c r="K197" i="1"/>
  <c r="H197" i="2" s="1"/>
  <c r="K198" i="1"/>
  <c r="H198" i="2" s="1"/>
  <c r="K199" i="1"/>
  <c r="H199" i="2" s="1"/>
  <c r="K200" i="1"/>
  <c r="H200" i="2" s="1"/>
  <c r="K201" i="1"/>
  <c r="H201" i="2" s="1"/>
  <c r="K202" i="1"/>
  <c r="H202" i="2" s="1"/>
  <c r="K203" i="1"/>
  <c r="H203" i="2" s="1"/>
  <c r="K204" i="1"/>
  <c r="H204" i="2" s="1"/>
  <c r="K205" i="1"/>
  <c r="H205" i="2" s="1"/>
  <c r="K206" i="1"/>
  <c r="H206" i="2" s="1"/>
  <c r="K207" i="1"/>
  <c r="H207" i="2" s="1"/>
  <c r="K208" i="1"/>
  <c r="H208" i="2" s="1"/>
  <c r="K209" i="1"/>
  <c r="H209" i="2" s="1"/>
  <c r="K210" i="1"/>
  <c r="H210" i="2" s="1"/>
  <c r="K211" i="1"/>
  <c r="H211" i="2" s="1"/>
  <c r="K212" i="1"/>
  <c r="H212" i="2" s="1"/>
  <c r="K213" i="1"/>
  <c r="H213" i="2" s="1"/>
  <c r="K214" i="1"/>
  <c r="H214" i="2" s="1"/>
  <c r="K215" i="1"/>
  <c r="H215" i="2" s="1"/>
  <c r="K216" i="1"/>
  <c r="H216" i="2" s="1"/>
  <c r="K217" i="1"/>
  <c r="H217" i="2" s="1"/>
  <c r="K218" i="1"/>
  <c r="H218" i="2" s="1"/>
  <c r="K219" i="1"/>
  <c r="H219" i="2" s="1"/>
  <c r="K220" i="1"/>
  <c r="H220" i="2" s="1"/>
  <c r="K221" i="1"/>
  <c r="H221" i="2" s="1"/>
  <c r="K222" i="1"/>
  <c r="H222" i="2" s="1"/>
  <c r="K223" i="1"/>
  <c r="H223" i="2" s="1"/>
  <c r="K224" i="1"/>
  <c r="H224" i="2" s="1"/>
  <c r="K225" i="1"/>
  <c r="H225" i="2" s="1"/>
  <c r="K226" i="1"/>
  <c r="H226" i="2" s="1"/>
  <c r="K227" i="1"/>
  <c r="H227" i="2" s="1"/>
  <c r="K228" i="1"/>
  <c r="H228" i="2" s="1"/>
  <c r="K229" i="1"/>
  <c r="H229" i="2" s="1"/>
  <c r="K230" i="1"/>
  <c r="H230" i="2" s="1"/>
  <c r="K231" i="1"/>
  <c r="H231" i="2" s="1"/>
  <c r="K232" i="1"/>
  <c r="H232" i="2" s="1"/>
  <c r="K233" i="1"/>
  <c r="H233" i="2" s="1"/>
  <c r="K234" i="1"/>
  <c r="H234" i="2" s="1"/>
  <c r="K235" i="1"/>
  <c r="H235" i="2" s="1"/>
  <c r="K236" i="1"/>
  <c r="H236" i="2" s="1"/>
  <c r="K237" i="1"/>
  <c r="H237" i="2" s="1"/>
  <c r="K238" i="1"/>
  <c r="H238" i="2" s="1"/>
  <c r="K239" i="1"/>
  <c r="H239" i="2" s="1"/>
  <c r="K240" i="1"/>
  <c r="H240" i="2" s="1"/>
  <c r="K241" i="1"/>
  <c r="H241" i="2" s="1"/>
  <c r="K242" i="1"/>
  <c r="H242" i="2" s="1"/>
  <c r="K243" i="1"/>
  <c r="H243" i="2" s="1"/>
  <c r="K244" i="1"/>
  <c r="H244" i="2" s="1"/>
  <c r="K245" i="1"/>
  <c r="H245" i="2" s="1"/>
  <c r="K246" i="1"/>
  <c r="H246" i="2" s="1"/>
  <c r="K247" i="1"/>
  <c r="H247" i="2" s="1"/>
  <c r="K248" i="1"/>
  <c r="H248" i="2" s="1"/>
  <c r="K249" i="1"/>
  <c r="H249" i="2" s="1"/>
  <c r="K250" i="1"/>
  <c r="H250" i="2" s="1"/>
  <c r="K251" i="1"/>
  <c r="H251" i="2" s="1"/>
  <c r="K252" i="1"/>
  <c r="H252" i="2" s="1"/>
  <c r="K253" i="1"/>
  <c r="H253" i="2" s="1"/>
  <c r="K254" i="1"/>
  <c r="H254" i="2" s="1"/>
  <c r="K255" i="1"/>
  <c r="H255" i="2" s="1"/>
  <c r="K256" i="1"/>
  <c r="H256" i="2" s="1"/>
  <c r="K257" i="1"/>
  <c r="H257" i="2" s="1"/>
  <c r="K258" i="1"/>
  <c r="H258" i="2" s="1"/>
  <c r="K259" i="1"/>
  <c r="H259" i="2" s="1"/>
  <c r="K260" i="1"/>
  <c r="H260" i="2" s="1"/>
  <c r="K261" i="1"/>
  <c r="H261" i="2" s="1"/>
  <c r="K262" i="1"/>
  <c r="H262" i="2" s="1"/>
  <c r="K263" i="1"/>
  <c r="H263" i="2" s="1"/>
  <c r="K264" i="1"/>
  <c r="H264" i="2" s="1"/>
  <c r="K265" i="1"/>
  <c r="H265" i="2" s="1"/>
  <c r="K266" i="1"/>
  <c r="H266" i="2" s="1"/>
  <c r="K267" i="1"/>
  <c r="H267" i="2" s="1"/>
  <c r="K268" i="1"/>
  <c r="H268" i="2" s="1"/>
  <c r="K269" i="1"/>
  <c r="H269" i="2" s="1"/>
  <c r="K270" i="1"/>
  <c r="H270" i="2" s="1"/>
  <c r="K271" i="1"/>
  <c r="H271" i="2" s="1"/>
  <c r="K272" i="1"/>
  <c r="H272" i="2" s="1"/>
  <c r="K273" i="1"/>
  <c r="H273" i="2" s="1"/>
  <c r="K274" i="1"/>
  <c r="H274" i="2" s="1"/>
  <c r="K275" i="1"/>
  <c r="H275" i="2" s="1"/>
  <c r="K276" i="1"/>
  <c r="H276" i="2" s="1"/>
  <c r="K277" i="1"/>
  <c r="H277" i="2" s="1"/>
  <c r="K278" i="1"/>
  <c r="H278" i="2" s="1"/>
  <c r="K279" i="1"/>
  <c r="H279" i="2" s="1"/>
  <c r="K280" i="1"/>
  <c r="H280" i="2" s="1"/>
  <c r="K281" i="1"/>
  <c r="H281" i="2" s="1"/>
  <c r="K282" i="1"/>
  <c r="H282" i="2" s="1"/>
  <c r="K283" i="1"/>
  <c r="H283" i="2" s="1"/>
  <c r="K284" i="1"/>
  <c r="H284" i="2" s="1"/>
  <c r="K285" i="1"/>
  <c r="H285" i="2" s="1"/>
  <c r="K286" i="1"/>
  <c r="H286" i="2" s="1"/>
  <c r="K287" i="1"/>
  <c r="H287" i="2" s="1"/>
  <c r="K288" i="1"/>
  <c r="H288" i="2" s="1"/>
  <c r="K289" i="1"/>
  <c r="H289" i="2" s="1"/>
  <c r="K290" i="1"/>
  <c r="H290" i="2" s="1"/>
  <c r="K291" i="1"/>
  <c r="H291" i="2" s="1"/>
  <c r="K292" i="1"/>
  <c r="H292" i="2" s="1"/>
  <c r="K293" i="1"/>
  <c r="H293" i="2" s="1"/>
  <c r="K294" i="1"/>
  <c r="H294" i="2" s="1"/>
  <c r="K295" i="1"/>
  <c r="H295" i="2" s="1"/>
  <c r="K296" i="1"/>
  <c r="H296" i="2" s="1"/>
  <c r="K297" i="1"/>
  <c r="H297" i="2" s="1"/>
  <c r="K298" i="1"/>
  <c r="H298" i="2" s="1"/>
  <c r="K299" i="1"/>
  <c r="H299" i="2" s="1"/>
  <c r="K300" i="1"/>
  <c r="H300" i="2" s="1"/>
  <c r="K301" i="1"/>
  <c r="H301" i="2" s="1"/>
  <c r="K302" i="1"/>
  <c r="H302" i="2" s="1"/>
  <c r="K303" i="1"/>
  <c r="H303" i="2" s="1"/>
  <c r="K304" i="1"/>
  <c r="H304" i="2" s="1"/>
  <c r="K305" i="1"/>
  <c r="H305" i="2" s="1"/>
  <c r="K306" i="1"/>
  <c r="H306" i="2" s="1"/>
  <c r="K307" i="1"/>
  <c r="H307" i="2" s="1"/>
  <c r="K308" i="1"/>
  <c r="H308" i="2" s="1"/>
  <c r="K309" i="1"/>
  <c r="H309" i="2" s="1"/>
  <c r="K310" i="1"/>
  <c r="H310" i="2" s="1"/>
  <c r="K311" i="1"/>
  <c r="H311" i="2" s="1"/>
  <c r="K312" i="1"/>
  <c r="H312" i="2" s="1"/>
  <c r="K313" i="1"/>
  <c r="H313" i="2" s="1"/>
  <c r="K314" i="1"/>
  <c r="H314" i="2" s="1"/>
  <c r="K315" i="1"/>
  <c r="H315" i="2" s="1"/>
  <c r="K316" i="1"/>
  <c r="H316" i="2" s="1"/>
  <c r="K317" i="1"/>
  <c r="H317" i="2" s="1"/>
  <c r="K318" i="1"/>
  <c r="H318" i="2" s="1"/>
  <c r="K319" i="1"/>
  <c r="H319" i="2" s="1"/>
  <c r="K320" i="1"/>
  <c r="H320" i="2" s="1"/>
  <c r="K321" i="1"/>
  <c r="H321" i="2" s="1"/>
  <c r="K322" i="1"/>
  <c r="H322" i="2" s="1"/>
  <c r="K323" i="1"/>
  <c r="H323" i="2" s="1"/>
  <c r="K324" i="1"/>
  <c r="H324" i="2" s="1"/>
  <c r="K325" i="1"/>
  <c r="H325" i="2" s="1"/>
  <c r="K326" i="1"/>
  <c r="H326" i="2" s="1"/>
  <c r="K327" i="1"/>
  <c r="H327" i="2" s="1"/>
  <c r="K328" i="1"/>
  <c r="H328" i="2" s="1"/>
  <c r="K329" i="1"/>
  <c r="H329" i="2" s="1"/>
  <c r="K330" i="1"/>
  <c r="H330" i="2" s="1"/>
  <c r="K331" i="1"/>
  <c r="H331" i="2" s="1"/>
  <c r="K332" i="1"/>
  <c r="H332" i="2" s="1"/>
  <c r="K333" i="1"/>
  <c r="H333" i="2" s="1"/>
  <c r="K334" i="1"/>
  <c r="H334" i="2" s="1"/>
  <c r="K335" i="1"/>
  <c r="H335" i="2" s="1"/>
  <c r="K336" i="1"/>
  <c r="H336" i="2" s="1"/>
  <c r="K337" i="1"/>
  <c r="H337" i="2" s="1"/>
  <c r="K338" i="1"/>
  <c r="H338" i="2" s="1"/>
  <c r="K339" i="1"/>
  <c r="H339" i="2" s="1"/>
  <c r="K340" i="1"/>
  <c r="H340" i="2" s="1"/>
  <c r="K341" i="1"/>
  <c r="H341" i="2" s="1"/>
  <c r="K342" i="1"/>
  <c r="H342" i="2" s="1"/>
  <c r="K343" i="1"/>
  <c r="H343" i="2" s="1"/>
  <c r="K344" i="1"/>
  <c r="H344" i="2" s="1"/>
  <c r="K345" i="1"/>
  <c r="H345" i="2" s="1"/>
  <c r="K346" i="1"/>
  <c r="H346" i="2" s="1"/>
  <c r="K347" i="1"/>
  <c r="H347" i="2" s="1"/>
  <c r="K348" i="1"/>
  <c r="H348" i="2" s="1"/>
  <c r="K349" i="1"/>
  <c r="H349" i="2" s="1"/>
  <c r="K350" i="1"/>
  <c r="H350" i="2" s="1"/>
  <c r="K351" i="1"/>
  <c r="H351" i="2" s="1"/>
  <c r="K352" i="1"/>
  <c r="H352" i="2" s="1"/>
  <c r="K353" i="1"/>
  <c r="H353" i="2" s="1"/>
  <c r="K354" i="1"/>
  <c r="H354" i="2" s="1"/>
  <c r="K355" i="1"/>
  <c r="H355" i="2" s="1"/>
  <c r="K356" i="1"/>
  <c r="H356" i="2" s="1"/>
  <c r="K357" i="1"/>
  <c r="H357" i="2" s="1"/>
  <c r="K358" i="1"/>
  <c r="H358" i="2" s="1"/>
  <c r="K359" i="1"/>
  <c r="H359" i="2" s="1"/>
  <c r="K360" i="1"/>
  <c r="H360" i="2" s="1"/>
  <c r="K361" i="1"/>
  <c r="H361" i="2" s="1"/>
  <c r="K362" i="1"/>
  <c r="H362" i="2" s="1"/>
  <c r="K363" i="1"/>
  <c r="H363" i="2" s="1"/>
  <c r="K364" i="1"/>
  <c r="H364" i="2" s="1"/>
  <c r="K365" i="1"/>
  <c r="H365" i="2" s="1"/>
  <c r="K366" i="1"/>
  <c r="H366" i="2" s="1"/>
  <c r="K367" i="1"/>
  <c r="H367" i="2" s="1"/>
  <c r="K368" i="1"/>
  <c r="H368" i="2" s="1"/>
  <c r="K369" i="1"/>
  <c r="H369" i="2" s="1"/>
  <c r="K370" i="1"/>
  <c r="H370" i="2" s="1"/>
  <c r="K371" i="1"/>
  <c r="H371" i="2" s="1"/>
  <c r="K372" i="1"/>
  <c r="H372" i="2" s="1"/>
  <c r="K373" i="1"/>
  <c r="H373" i="2" s="1"/>
  <c r="K374" i="1"/>
  <c r="H374" i="2" s="1"/>
  <c r="K375" i="1"/>
  <c r="H375" i="2" s="1"/>
  <c r="K376" i="1"/>
  <c r="H376" i="2" s="1"/>
  <c r="K377" i="1"/>
  <c r="H377" i="2" s="1"/>
  <c r="K378" i="1"/>
  <c r="H378" i="2" s="1"/>
  <c r="K379" i="1"/>
  <c r="H379" i="2" s="1"/>
  <c r="K380" i="1"/>
  <c r="H380" i="2" s="1"/>
  <c r="K381" i="1"/>
  <c r="H381" i="2" s="1"/>
  <c r="K382" i="1"/>
  <c r="H382" i="2" s="1"/>
  <c r="K383" i="1"/>
  <c r="H383" i="2" s="1"/>
  <c r="K384" i="1"/>
  <c r="H384" i="2" s="1"/>
  <c r="K385" i="1"/>
  <c r="H385" i="2" s="1"/>
  <c r="K386" i="1"/>
  <c r="H386" i="2" s="1"/>
  <c r="K387" i="1"/>
  <c r="H387" i="2" s="1"/>
  <c r="K388" i="1"/>
  <c r="H388" i="2" s="1"/>
  <c r="K389" i="1"/>
  <c r="H389" i="2" s="1"/>
  <c r="K390" i="1"/>
  <c r="H390" i="2" s="1"/>
  <c r="K391" i="1"/>
  <c r="H391" i="2" s="1"/>
  <c r="K392" i="1"/>
  <c r="H392" i="2" s="1"/>
  <c r="K393" i="1"/>
  <c r="H393" i="2" s="1"/>
  <c r="K394" i="1"/>
  <c r="H394" i="2" s="1"/>
  <c r="K395" i="1"/>
  <c r="H395" i="2" s="1"/>
  <c r="K396" i="1"/>
  <c r="H396" i="2" s="1"/>
  <c r="K397" i="1"/>
  <c r="H397" i="2" s="1"/>
  <c r="K398" i="1"/>
  <c r="H398" i="2" s="1"/>
  <c r="K399" i="1"/>
  <c r="H399" i="2" s="1"/>
  <c r="K400" i="1"/>
  <c r="H400" i="2" s="1"/>
  <c r="K401" i="1"/>
  <c r="H401" i="2" s="1"/>
  <c r="K402" i="1"/>
  <c r="H402" i="2" s="1"/>
  <c r="K403" i="1"/>
  <c r="H403" i="2" s="1"/>
  <c r="K404" i="1"/>
  <c r="H404" i="2" s="1"/>
  <c r="K405" i="1"/>
  <c r="H405" i="2" s="1"/>
  <c r="K406" i="1"/>
  <c r="H406" i="2" s="1"/>
  <c r="K407" i="1"/>
  <c r="H407" i="2" s="1"/>
  <c r="K408" i="1"/>
  <c r="H408" i="2" s="1"/>
  <c r="K409" i="1"/>
  <c r="H409" i="2" s="1"/>
  <c r="K410" i="1"/>
  <c r="H410" i="2" s="1"/>
  <c r="K411" i="1"/>
  <c r="H411" i="2" s="1"/>
  <c r="K412" i="1"/>
  <c r="H412" i="2" s="1"/>
  <c r="K413" i="1"/>
  <c r="H413" i="2" s="1"/>
  <c r="K414" i="1"/>
  <c r="H414" i="2" s="1"/>
  <c r="K415" i="1"/>
  <c r="H415" i="2" s="1"/>
  <c r="K416" i="1"/>
  <c r="H416" i="2" s="1"/>
  <c r="K417" i="1"/>
  <c r="H417" i="2" s="1"/>
  <c r="K418" i="1"/>
  <c r="H418" i="2" s="1"/>
  <c r="K419" i="1"/>
  <c r="H419" i="2" s="1"/>
  <c r="K420" i="1"/>
  <c r="H420" i="2" s="1"/>
  <c r="K421" i="1"/>
  <c r="H421" i="2" s="1"/>
  <c r="K422" i="1"/>
  <c r="H422" i="2" s="1"/>
  <c r="K423" i="1"/>
  <c r="H423" i="2" s="1"/>
  <c r="K424" i="1"/>
  <c r="H424" i="2" s="1"/>
  <c r="K425" i="1"/>
  <c r="H425" i="2" s="1"/>
  <c r="K426" i="1"/>
  <c r="H426" i="2" s="1"/>
  <c r="K427" i="1"/>
  <c r="H427" i="2" s="1"/>
  <c r="K428" i="1"/>
  <c r="H428" i="2" s="1"/>
  <c r="K429" i="1"/>
  <c r="H429" i="2" s="1"/>
  <c r="K430" i="1"/>
  <c r="H430" i="2" s="1"/>
  <c r="K431" i="1"/>
  <c r="H431" i="2" s="1"/>
  <c r="K432" i="1"/>
  <c r="H432" i="2" s="1"/>
  <c r="K433" i="1"/>
  <c r="H433" i="2" s="1"/>
  <c r="K434" i="1"/>
  <c r="H434" i="2" s="1"/>
  <c r="K435" i="1"/>
  <c r="H435" i="2" s="1"/>
  <c r="K436" i="1"/>
  <c r="H436" i="2" s="1"/>
  <c r="K437" i="1"/>
  <c r="H437" i="2" s="1"/>
  <c r="K438" i="1"/>
  <c r="H438" i="2" s="1"/>
  <c r="K439" i="1"/>
  <c r="H439" i="2" s="1"/>
  <c r="K440" i="1"/>
  <c r="H440" i="2" s="1"/>
  <c r="K441" i="1"/>
  <c r="H441" i="2" s="1"/>
  <c r="K442" i="1"/>
  <c r="H442" i="2" s="1"/>
  <c r="K443" i="1"/>
  <c r="H443" i="2" s="1"/>
  <c r="K444" i="1"/>
  <c r="H444" i="2" s="1"/>
  <c r="K445" i="1"/>
  <c r="H445" i="2" s="1"/>
  <c r="K446" i="1"/>
  <c r="H446" i="2" s="1"/>
  <c r="K447" i="1"/>
  <c r="H447" i="2" s="1"/>
  <c r="K448" i="1"/>
  <c r="H448" i="2" s="1"/>
  <c r="K449" i="1"/>
  <c r="H449" i="2" s="1"/>
  <c r="K450" i="1"/>
  <c r="H450" i="2" s="1"/>
  <c r="K451" i="1"/>
  <c r="H451" i="2" s="1"/>
  <c r="K452" i="1"/>
  <c r="H452" i="2" s="1"/>
  <c r="K453" i="1"/>
  <c r="H453" i="2" s="1"/>
  <c r="K454" i="1"/>
  <c r="H454" i="2" s="1"/>
  <c r="K455" i="1"/>
  <c r="H455" i="2" s="1"/>
  <c r="K456" i="1"/>
  <c r="H456" i="2" s="1"/>
  <c r="K457" i="1"/>
  <c r="H457" i="2" s="1"/>
  <c r="K458" i="1"/>
  <c r="H458" i="2" s="1"/>
  <c r="K459" i="1"/>
  <c r="H459" i="2" s="1"/>
  <c r="K460" i="1"/>
  <c r="H460" i="2" s="1"/>
  <c r="K461" i="1"/>
  <c r="H461" i="2" s="1"/>
  <c r="K462" i="1"/>
  <c r="H462" i="2" s="1"/>
  <c r="K463" i="1"/>
  <c r="H463" i="2" s="1"/>
  <c r="K464" i="1"/>
  <c r="H464" i="2" s="1"/>
  <c r="K465" i="1"/>
  <c r="H465" i="2" s="1"/>
  <c r="K466" i="1"/>
  <c r="H466" i="2" s="1"/>
  <c r="K467" i="1"/>
  <c r="H467" i="2" s="1"/>
  <c r="K468" i="1"/>
  <c r="H468" i="2" s="1"/>
  <c r="K469" i="1"/>
  <c r="H469" i="2" s="1"/>
  <c r="K470" i="1"/>
  <c r="H470" i="2" s="1"/>
  <c r="K471" i="1"/>
  <c r="H471" i="2" s="1"/>
  <c r="K472" i="1"/>
  <c r="H472" i="2" s="1"/>
  <c r="K473" i="1"/>
  <c r="H473" i="2" s="1"/>
  <c r="K474" i="1"/>
  <c r="H474" i="2" s="1"/>
  <c r="K475" i="1"/>
  <c r="H475" i="2" s="1"/>
  <c r="K476" i="1"/>
  <c r="H476" i="2" s="1"/>
  <c r="K477" i="1"/>
  <c r="H477" i="2" s="1"/>
  <c r="K478" i="1"/>
  <c r="H478" i="2" s="1"/>
  <c r="K479" i="1"/>
  <c r="H479" i="2" s="1"/>
  <c r="K480" i="1"/>
  <c r="H480" i="2" s="1"/>
  <c r="K481" i="1"/>
  <c r="H481" i="2" s="1"/>
  <c r="K482" i="1"/>
  <c r="H482" i="2" s="1"/>
  <c r="K483" i="1"/>
  <c r="H483" i="2" s="1"/>
  <c r="K484" i="1"/>
  <c r="H484" i="2" s="1"/>
  <c r="K485" i="1"/>
  <c r="H485" i="2" s="1"/>
  <c r="K486" i="1"/>
  <c r="H486" i="2" s="1"/>
  <c r="K487" i="1"/>
  <c r="H487" i="2" s="1"/>
  <c r="K488" i="1"/>
  <c r="H488" i="2" s="1"/>
  <c r="K489" i="1"/>
  <c r="H489" i="2" s="1"/>
  <c r="K490" i="1"/>
  <c r="H490" i="2" s="1"/>
  <c r="K491" i="1"/>
  <c r="H491" i="2" s="1"/>
  <c r="K492" i="1"/>
  <c r="H492" i="2" s="1"/>
  <c r="K493" i="1"/>
  <c r="H493" i="2" s="1"/>
  <c r="K494" i="1"/>
  <c r="H494" i="2" s="1"/>
  <c r="K495" i="1"/>
  <c r="H495" i="2" s="1"/>
  <c r="K496" i="1"/>
  <c r="H496" i="2" s="1"/>
  <c r="K497" i="1"/>
  <c r="H497" i="2" s="1"/>
  <c r="K498" i="1"/>
  <c r="H498" i="2" s="1"/>
  <c r="K499" i="1"/>
  <c r="H499" i="2" s="1"/>
  <c r="K500" i="1"/>
  <c r="H500" i="2" s="1"/>
  <c r="K501" i="1"/>
  <c r="H501" i="2" s="1"/>
  <c r="K502" i="1"/>
  <c r="H502" i="2" s="1"/>
  <c r="K503" i="1"/>
  <c r="H503" i="2" s="1"/>
  <c r="K504" i="1"/>
  <c r="H504" i="2" s="1"/>
  <c r="K505" i="1"/>
  <c r="H505" i="2" s="1"/>
  <c r="K506" i="1"/>
  <c r="H506" i="2" s="1"/>
  <c r="K507" i="1"/>
  <c r="H507" i="2" s="1"/>
  <c r="K508" i="1"/>
  <c r="H508" i="2" s="1"/>
  <c r="K509" i="1"/>
  <c r="H509" i="2" s="1"/>
  <c r="K510" i="1"/>
  <c r="H510" i="2" s="1"/>
  <c r="K511" i="1"/>
  <c r="H511" i="2" s="1"/>
  <c r="K512" i="1"/>
  <c r="H512" i="2" s="1"/>
  <c r="K513" i="1"/>
  <c r="H513" i="2" s="1"/>
  <c r="K514" i="1"/>
  <c r="H514" i="2" s="1"/>
  <c r="K515" i="1"/>
  <c r="H515" i="2" s="1"/>
  <c r="K516" i="1"/>
  <c r="H516" i="2" s="1"/>
  <c r="K517" i="1"/>
  <c r="H517" i="2" s="1"/>
  <c r="K518" i="1"/>
  <c r="H518" i="2" s="1"/>
  <c r="K519" i="1"/>
  <c r="H519" i="2" s="1"/>
  <c r="K520" i="1"/>
  <c r="H520" i="2" s="1"/>
  <c r="K521" i="1"/>
  <c r="H521" i="2" s="1"/>
  <c r="K522" i="1"/>
  <c r="H522" i="2" s="1"/>
  <c r="K523" i="1"/>
  <c r="H523" i="2" s="1"/>
  <c r="K524" i="1"/>
  <c r="H524" i="2" s="1"/>
  <c r="K525" i="1"/>
  <c r="H525" i="2" s="1"/>
  <c r="K526" i="1"/>
  <c r="H526" i="2" s="1"/>
  <c r="K527" i="1"/>
  <c r="H527" i="2" s="1"/>
  <c r="K528" i="1"/>
  <c r="H528" i="2" s="1"/>
  <c r="K529" i="1"/>
  <c r="H529" i="2" s="1"/>
  <c r="K530" i="1"/>
  <c r="H530" i="2" s="1"/>
  <c r="K531" i="1"/>
  <c r="H531" i="2" s="1"/>
  <c r="K532" i="1"/>
  <c r="H532" i="2" s="1"/>
  <c r="K533" i="1"/>
  <c r="H533" i="2" s="1"/>
  <c r="K534" i="1"/>
  <c r="H534" i="2" s="1"/>
  <c r="K535" i="1"/>
  <c r="H535" i="2" s="1"/>
  <c r="K536" i="1"/>
  <c r="H536" i="2" s="1"/>
  <c r="K537" i="1"/>
  <c r="H537" i="2" s="1"/>
  <c r="K538" i="1"/>
  <c r="H538" i="2" s="1"/>
  <c r="K539" i="1"/>
  <c r="H539" i="2" s="1"/>
  <c r="K540" i="1"/>
  <c r="H540" i="2" s="1"/>
  <c r="K541" i="1"/>
  <c r="H541" i="2" s="1"/>
  <c r="K542" i="1"/>
  <c r="H542" i="2" s="1"/>
  <c r="K543" i="1"/>
  <c r="H543" i="2" s="1"/>
  <c r="K544" i="1"/>
  <c r="H544" i="2" s="1"/>
  <c r="K545" i="1"/>
  <c r="H545" i="2" s="1"/>
  <c r="K546" i="1"/>
  <c r="H546" i="2" s="1"/>
  <c r="K547" i="1"/>
  <c r="H547" i="2" s="1"/>
  <c r="K548" i="1"/>
  <c r="H548" i="2" s="1"/>
  <c r="K549" i="1"/>
  <c r="H549" i="2" s="1"/>
  <c r="K550" i="1"/>
  <c r="H550" i="2" s="1"/>
  <c r="K551" i="1"/>
  <c r="H551" i="2" s="1"/>
  <c r="K552" i="1"/>
  <c r="H552" i="2" s="1"/>
  <c r="K553" i="1"/>
  <c r="H553" i="2" s="1"/>
  <c r="K554" i="1"/>
  <c r="H554" i="2" s="1"/>
  <c r="K555" i="1"/>
  <c r="H555" i="2" s="1"/>
  <c r="K556" i="1"/>
  <c r="H556" i="2" s="1"/>
  <c r="K557" i="1"/>
  <c r="H557" i="2" s="1"/>
  <c r="K558" i="1"/>
  <c r="H558" i="2" s="1"/>
  <c r="K559" i="1"/>
  <c r="H559" i="2" s="1"/>
  <c r="K560" i="1"/>
  <c r="H560" i="2" s="1"/>
  <c r="K561" i="1"/>
  <c r="H561" i="2" s="1"/>
  <c r="K562" i="1"/>
  <c r="H562" i="2" s="1"/>
  <c r="K563" i="1"/>
  <c r="H563" i="2" s="1"/>
  <c r="K564" i="1"/>
  <c r="H564" i="2" s="1"/>
  <c r="K565" i="1"/>
  <c r="H565" i="2" s="1"/>
  <c r="K566" i="1"/>
  <c r="H566" i="2" s="1"/>
  <c r="K567" i="1"/>
  <c r="H567" i="2" s="1"/>
  <c r="K568" i="1"/>
  <c r="H568" i="2" s="1"/>
  <c r="K569" i="1"/>
  <c r="H569" i="2" s="1"/>
  <c r="K570" i="1"/>
  <c r="H570" i="2" s="1"/>
  <c r="K571" i="1"/>
  <c r="H571" i="2" s="1"/>
  <c r="K572" i="1"/>
  <c r="H572" i="2" s="1"/>
  <c r="K573" i="1"/>
  <c r="H573" i="2" s="1"/>
  <c r="K574" i="1"/>
  <c r="H574" i="2" s="1"/>
  <c r="K575" i="1"/>
  <c r="H575" i="2" s="1"/>
  <c r="K576" i="1"/>
  <c r="H576" i="2" s="1"/>
  <c r="K577" i="1"/>
  <c r="H577" i="2" s="1"/>
  <c r="K578" i="1"/>
  <c r="H578" i="2" s="1"/>
  <c r="K579" i="1"/>
  <c r="H579" i="2" s="1"/>
  <c r="K580" i="1"/>
  <c r="H580" i="2" s="1"/>
  <c r="K581" i="1"/>
  <c r="H581" i="2" s="1"/>
  <c r="K582" i="1"/>
  <c r="H582" i="2" s="1"/>
  <c r="K583" i="1"/>
  <c r="H583" i="2" s="1"/>
  <c r="K584" i="1"/>
  <c r="H584" i="2" s="1"/>
  <c r="K585" i="1"/>
  <c r="H585" i="2" s="1"/>
  <c r="K586" i="1"/>
  <c r="H586" i="2" s="1"/>
  <c r="K587" i="1"/>
  <c r="H587" i="2" s="1"/>
  <c r="K588" i="1"/>
  <c r="H588" i="2" s="1"/>
  <c r="K589" i="1"/>
  <c r="H589" i="2" s="1"/>
  <c r="K590" i="1"/>
  <c r="H590" i="2" s="1"/>
  <c r="K591" i="1"/>
  <c r="H591" i="2" s="1"/>
  <c r="K592" i="1"/>
  <c r="H592" i="2" s="1"/>
  <c r="K593" i="1"/>
  <c r="H593" i="2" s="1"/>
  <c r="K594" i="1"/>
  <c r="H594" i="2" s="1"/>
  <c r="K595" i="1"/>
  <c r="H595" i="2" s="1"/>
  <c r="K596" i="1"/>
  <c r="H596" i="2" s="1"/>
  <c r="K597" i="1"/>
  <c r="H597" i="2" s="1"/>
  <c r="K598" i="1"/>
  <c r="H598" i="2" s="1"/>
  <c r="K599" i="1"/>
  <c r="H599" i="2" s="1"/>
  <c r="K600" i="1"/>
  <c r="H600" i="2" s="1"/>
  <c r="K601" i="1"/>
  <c r="H601" i="2" s="1"/>
  <c r="K602" i="1"/>
  <c r="H602" i="2" s="1"/>
  <c r="K603" i="1"/>
  <c r="H603" i="2" s="1"/>
  <c r="K604" i="1"/>
  <c r="H604" i="2" s="1"/>
  <c r="K605" i="1"/>
  <c r="H605" i="2" s="1"/>
  <c r="K606" i="1"/>
  <c r="H606" i="2" s="1"/>
  <c r="K607" i="1"/>
  <c r="H607" i="2" s="1"/>
  <c r="K608" i="1"/>
  <c r="H608" i="2" s="1"/>
  <c r="K609" i="1"/>
  <c r="H609" i="2" s="1"/>
  <c r="K610" i="1"/>
  <c r="H610" i="2" s="1"/>
  <c r="K611" i="1"/>
  <c r="H611" i="2" s="1"/>
  <c r="K612" i="1"/>
  <c r="H612" i="2" s="1"/>
  <c r="K613" i="1"/>
  <c r="H613" i="2" s="1"/>
  <c r="K614" i="1"/>
  <c r="H614" i="2" s="1"/>
  <c r="K615" i="1"/>
  <c r="H615" i="2" s="1"/>
  <c r="K616" i="1"/>
  <c r="H616" i="2" s="1"/>
  <c r="K617" i="1"/>
  <c r="H617" i="2" s="1"/>
  <c r="K618" i="1"/>
  <c r="H618" i="2" s="1"/>
  <c r="K619" i="1"/>
  <c r="H619" i="2" s="1"/>
  <c r="K620" i="1"/>
  <c r="H620" i="2" s="1"/>
  <c r="K621" i="1"/>
  <c r="H621" i="2" s="1"/>
  <c r="K622" i="1"/>
  <c r="H622" i="2" s="1"/>
  <c r="K623" i="1"/>
  <c r="H623" i="2" s="1"/>
  <c r="K624" i="1"/>
  <c r="H624" i="2" s="1"/>
  <c r="K625" i="1"/>
  <c r="H625" i="2" s="1"/>
  <c r="K626" i="1"/>
  <c r="H626" i="2" s="1"/>
  <c r="K627" i="1"/>
  <c r="H627" i="2" s="1"/>
  <c r="K628" i="1"/>
  <c r="H628" i="2" s="1"/>
  <c r="K629" i="1"/>
  <c r="H629" i="2" s="1"/>
  <c r="K630" i="1"/>
  <c r="H630" i="2" s="1"/>
  <c r="K631" i="1"/>
  <c r="H631" i="2" s="1"/>
  <c r="K632" i="1"/>
  <c r="H632" i="2" s="1"/>
  <c r="K633" i="1"/>
  <c r="H633" i="2" s="1"/>
  <c r="K634" i="1"/>
  <c r="H634" i="2" s="1"/>
  <c r="K635" i="1"/>
  <c r="H635" i="2" s="1"/>
  <c r="K636" i="1"/>
  <c r="H636" i="2" s="1"/>
  <c r="K637" i="1"/>
  <c r="H637" i="2" s="1"/>
  <c r="K638" i="1"/>
  <c r="H638" i="2" s="1"/>
  <c r="K639" i="1"/>
  <c r="H639" i="2" s="1"/>
  <c r="K640" i="1"/>
  <c r="H640" i="2" s="1"/>
  <c r="K641" i="1"/>
  <c r="H641" i="2" s="1"/>
  <c r="K642" i="1"/>
  <c r="H642" i="2" s="1"/>
  <c r="K643" i="1"/>
  <c r="H643" i="2" s="1"/>
  <c r="K644" i="1"/>
  <c r="H644" i="2" s="1"/>
  <c r="K645" i="1"/>
  <c r="H645" i="2" s="1"/>
  <c r="K646" i="1"/>
  <c r="H646" i="2" s="1"/>
  <c r="K647" i="1"/>
  <c r="H647" i="2" s="1"/>
  <c r="K648" i="1"/>
  <c r="H648" i="2" s="1"/>
  <c r="K649" i="1"/>
  <c r="H649" i="2" s="1"/>
  <c r="K650" i="1"/>
  <c r="H650" i="2" s="1"/>
  <c r="K651" i="1"/>
  <c r="H651" i="2" s="1"/>
  <c r="K652" i="1"/>
  <c r="H652" i="2" s="1"/>
  <c r="K653" i="1"/>
  <c r="H653" i="2" s="1"/>
  <c r="K654" i="1"/>
  <c r="H654" i="2" s="1"/>
  <c r="K655" i="1"/>
  <c r="H655" i="2" s="1"/>
  <c r="K656" i="1"/>
  <c r="H656" i="2" s="1"/>
  <c r="K657" i="1"/>
  <c r="H657" i="2" s="1"/>
  <c r="K658" i="1"/>
  <c r="H658" i="2" s="1"/>
  <c r="K659" i="1"/>
  <c r="H659" i="2" s="1"/>
  <c r="K660" i="1"/>
  <c r="H660" i="2" s="1"/>
  <c r="K661" i="1"/>
  <c r="H661" i="2" s="1"/>
  <c r="K662" i="1"/>
  <c r="H662" i="2" s="1"/>
  <c r="K663" i="1"/>
  <c r="H663" i="2" s="1"/>
  <c r="K664" i="1"/>
  <c r="H664" i="2" s="1"/>
  <c r="K665" i="1"/>
  <c r="H665" i="2" s="1"/>
  <c r="K666" i="1"/>
  <c r="H666" i="2" s="1"/>
  <c r="K667" i="1"/>
  <c r="H667" i="2" s="1"/>
  <c r="K668" i="1"/>
  <c r="H668" i="2" s="1"/>
  <c r="K669" i="1"/>
  <c r="H669" i="2" s="1"/>
  <c r="K670" i="1"/>
  <c r="H670" i="2" s="1"/>
  <c r="K671" i="1"/>
  <c r="H671" i="2" s="1"/>
  <c r="K672" i="1"/>
  <c r="H672" i="2" s="1"/>
  <c r="K673" i="1"/>
  <c r="H673" i="2" s="1"/>
  <c r="K674" i="1"/>
  <c r="H674" i="2" s="1"/>
  <c r="K675" i="1"/>
  <c r="H675" i="2" s="1"/>
  <c r="K676" i="1"/>
  <c r="H676" i="2" s="1"/>
  <c r="K677" i="1"/>
  <c r="H677" i="2" s="1"/>
  <c r="K678" i="1"/>
  <c r="H678" i="2" s="1"/>
  <c r="K679" i="1"/>
  <c r="H679" i="2" s="1"/>
  <c r="K680" i="1"/>
  <c r="H680" i="2" s="1"/>
  <c r="K681" i="1"/>
  <c r="H681" i="2" s="1"/>
  <c r="K682" i="1"/>
  <c r="H682" i="2" s="1"/>
  <c r="K683" i="1"/>
  <c r="H683" i="2" s="1"/>
  <c r="K684" i="1"/>
  <c r="H684" i="2" s="1"/>
  <c r="K685" i="1"/>
  <c r="H685" i="2" s="1"/>
  <c r="K686" i="1"/>
  <c r="H686" i="2" s="1"/>
  <c r="K687" i="1"/>
  <c r="H687" i="2" s="1"/>
  <c r="K688" i="1"/>
  <c r="H688" i="2" s="1"/>
  <c r="K689" i="1"/>
  <c r="H689" i="2" s="1"/>
  <c r="K690" i="1"/>
  <c r="H690" i="2" s="1"/>
  <c r="K691" i="1"/>
  <c r="H691" i="2" s="1"/>
  <c r="K692" i="1"/>
  <c r="H692" i="2" s="1"/>
  <c r="K693" i="1"/>
  <c r="H693" i="2" s="1"/>
  <c r="K694" i="1"/>
  <c r="H694" i="2" s="1"/>
  <c r="K695" i="1"/>
  <c r="H695" i="2" s="1"/>
  <c r="K696" i="1"/>
  <c r="H696" i="2" s="1"/>
  <c r="K697" i="1"/>
  <c r="H697" i="2" s="1"/>
  <c r="K698" i="1"/>
  <c r="H698" i="2" s="1"/>
  <c r="K699" i="1"/>
  <c r="H699" i="2" s="1"/>
  <c r="K700" i="1"/>
  <c r="H700" i="2" s="1"/>
  <c r="K701" i="1"/>
  <c r="H701" i="2" s="1"/>
  <c r="K702" i="1"/>
  <c r="H702" i="2" s="1"/>
  <c r="K703" i="1"/>
  <c r="H703" i="2" s="1"/>
  <c r="K704" i="1"/>
  <c r="H704" i="2" s="1"/>
  <c r="K705" i="1"/>
  <c r="H705" i="2" s="1"/>
  <c r="K706" i="1"/>
  <c r="H706" i="2" s="1"/>
  <c r="K707" i="1"/>
  <c r="H707" i="2" s="1"/>
  <c r="K708" i="1"/>
  <c r="H708" i="2" s="1"/>
  <c r="K709" i="1"/>
  <c r="H709" i="2" s="1"/>
  <c r="K710" i="1"/>
  <c r="H710" i="2" s="1"/>
  <c r="K711" i="1"/>
  <c r="H711" i="2" s="1"/>
  <c r="K712" i="1"/>
  <c r="H712" i="2" s="1"/>
  <c r="K713" i="1"/>
  <c r="H713" i="2" s="1"/>
  <c r="K714" i="1"/>
  <c r="H714" i="2" s="1"/>
  <c r="K715" i="1"/>
  <c r="H715" i="2" s="1"/>
  <c r="K716" i="1"/>
  <c r="H716" i="2" s="1"/>
  <c r="K717" i="1"/>
  <c r="H717" i="2" s="1"/>
  <c r="K718" i="1"/>
  <c r="H718" i="2" s="1"/>
  <c r="K719" i="1"/>
  <c r="H719" i="2" s="1"/>
  <c r="K720" i="1"/>
  <c r="H720" i="2" s="1"/>
  <c r="K721" i="1"/>
  <c r="H721" i="2" s="1"/>
  <c r="K722" i="1"/>
  <c r="H722" i="2" s="1"/>
  <c r="K723" i="1"/>
  <c r="H723" i="2" s="1"/>
  <c r="K724" i="1"/>
  <c r="H724" i="2" s="1"/>
  <c r="K725" i="1"/>
  <c r="H725" i="2" s="1"/>
  <c r="K726" i="1"/>
  <c r="H726" i="2" s="1"/>
  <c r="K727" i="1"/>
  <c r="H727" i="2" s="1"/>
  <c r="K728" i="1"/>
  <c r="H728" i="2" s="1"/>
  <c r="K729" i="1"/>
  <c r="H729" i="2" s="1"/>
  <c r="K730" i="1"/>
  <c r="H730" i="2" s="1"/>
  <c r="K731" i="1"/>
  <c r="H731" i="2" s="1"/>
  <c r="K732" i="1"/>
  <c r="H732" i="2" s="1"/>
  <c r="K733" i="1"/>
  <c r="H733" i="2" s="1"/>
  <c r="K734" i="1"/>
  <c r="H734" i="2" s="1"/>
  <c r="K735" i="1"/>
  <c r="H735" i="2" s="1"/>
  <c r="K736" i="1"/>
  <c r="H736" i="2" s="1"/>
  <c r="K737" i="1"/>
  <c r="H737" i="2" s="1"/>
  <c r="K738" i="1"/>
  <c r="H738" i="2" s="1"/>
  <c r="K739" i="1"/>
  <c r="H739" i="2" s="1"/>
  <c r="K740" i="1"/>
  <c r="H740" i="2" s="1"/>
  <c r="K741" i="1"/>
  <c r="H741" i="2" s="1"/>
  <c r="K742" i="1"/>
  <c r="H742" i="2" s="1"/>
  <c r="K743" i="1"/>
  <c r="H743" i="2" s="1"/>
  <c r="K744" i="1"/>
  <c r="H744" i="2" s="1"/>
  <c r="K745" i="1"/>
  <c r="H745" i="2" s="1"/>
  <c r="K746" i="1"/>
  <c r="H746" i="2" s="1"/>
  <c r="K747" i="1"/>
  <c r="H747" i="2" s="1"/>
  <c r="K748" i="1"/>
  <c r="H748" i="2" s="1"/>
  <c r="K749" i="1"/>
  <c r="H749" i="2" s="1"/>
  <c r="K750" i="1"/>
  <c r="H750" i="2" s="1"/>
  <c r="K751" i="1"/>
  <c r="H751" i="2" s="1"/>
  <c r="K752" i="1"/>
  <c r="H752" i="2" s="1"/>
  <c r="K753" i="1"/>
  <c r="H753" i="2" s="1"/>
  <c r="K754" i="1"/>
  <c r="H754" i="2" s="1"/>
  <c r="K755" i="1"/>
  <c r="H755" i="2" s="1"/>
  <c r="K756" i="1"/>
  <c r="H756" i="2" s="1"/>
  <c r="K757" i="1"/>
  <c r="H757" i="2" s="1"/>
  <c r="K758" i="1"/>
  <c r="H758" i="2" s="1"/>
  <c r="K759" i="1"/>
  <c r="H759" i="2" s="1"/>
  <c r="K760" i="1"/>
  <c r="H760" i="2" s="1"/>
  <c r="K761" i="1"/>
  <c r="H761" i="2" s="1"/>
  <c r="K762" i="1"/>
  <c r="H762" i="2" s="1"/>
  <c r="K763" i="1"/>
  <c r="H763" i="2" s="1"/>
  <c r="K764" i="1"/>
  <c r="H764" i="2" s="1"/>
  <c r="K765" i="1"/>
  <c r="H765" i="2" s="1"/>
  <c r="K766" i="1"/>
  <c r="H766" i="2" s="1"/>
  <c r="K767" i="1"/>
  <c r="H767" i="2" s="1"/>
  <c r="K768" i="1"/>
  <c r="H768" i="2" s="1"/>
  <c r="K769" i="1"/>
  <c r="H769" i="2" s="1"/>
  <c r="K770" i="1"/>
  <c r="H770" i="2" s="1"/>
  <c r="K771" i="1"/>
  <c r="H771" i="2" s="1"/>
  <c r="K772" i="1"/>
  <c r="H772" i="2" s="1"/>
  <c r="K773" i="1"/>
  <c r="H773" i="2" s="1"/>
  <c r="K774" i="1"/>
  <c r="H774" i="2" s="1"/>
  <c r="K775" i="1"/>
  <c r="H775" i="2" s="1"/>
  <c r="K776" i="1"/>
  <c r="H776" i="2" s="1"/>
  <c r="K777" i="1"/>
  <c r="H777" i="2" s="1"/>
  <c r="K778" i="1"/>
  <c r="H778" i="2" s="1"/>
  <c r="K779" i="1"/>
  <c r="H779" i="2" s="1"/>
  <c r="K780" i="1"/>
  <c r="H780" i="2" s="1"/>
  <c r="K781" i="1"/>
  <c r="H781" i="2" s="1"/>
  <c r="K782" i="1"/>
  <c r="H782" i="2" s="1"/>
  <c r="K783" i="1"/>
  <c r="H783" i="2" s="1"/>
  <c r="K784" i="1"/>
  <c r="H784" i="2" s="1"/>
  <c r="K785" i="1"/>
  <c r="H785" i="2" s="1"/>
  <c r="K786" i="1"/>
  <c r="H786" i="2" s="1"/>
  <c r="K787" i="1"/>
  <c r="H787" i="2" s="1"/>
  <c r="K788" i="1"/>
  <c r="H788" i="2" s="1"/>
  <c r="K789" i="1"/>
  <c r="H789" i="2" s="1"/>
  <c r="K790" i="1"/>
  <c r="H790" i="2" s="1"/>
  <c r="K791" i="1"/>
  <c r="H791" i="2" s="1"/>
  <c r="K792" i="1"/>
  <c r="H792" i="2" s="1"/>
  <c r="K793" i="1"/>
  <c r="H793" i="2" s="1"/>
  <c r="K794" i="1"/>
  <c r="H794" i="2" s="1"/>
  <c r="K795" i="1"/>
  <c r="H795" i="2" s="1"/>
  <c r="K796" i="1"/>
  <c r="H796" i="2" s="1"/>
  <c r="K797" i="1"/>
  <c r="H797" i="2" s="1"/>
  <c r="K798" i="1"/>
  <c r="H798" i="2" s="1"/>
  <c r="K799" i="1"/>
  <c r="H799" i="2" s="1"/>
  <c r="K800" i="1"/>
  <c r="H800" i="2" s="1"/>
  <c r="K801" i="1"/>
  <c r="H801" i="2" s="1"/>
  <c r="K802" i="1"/>
  <c r="H802" i="2" s="1"/>
  <c r="K803" i="1"/>
  <c r="H803" i="2" s="1"/>
  <c r="K804" i="1"/>
  <c r="H804" i="2" s="1"/>
  <c r="K805" i="1"/>
  <c r="H805" i="2" s="1"/>
  <c r="K806" i="1"/>
  <c r="H806" i="2" s="1"/>
  <c r="K807" i="1"/>
  <c r="H807" i="2" s="1"/>
  <c r="K808" i="1"/>
  <c r="H808" i="2" s="1"/>
  <c r="K809" i="1"/>
  <c r="H809" i="2" s="1"/>
  <c r="K810" i="1"/>
  <c r="H810" i="2" s="1"/>
  <c r="K811" i="1"/>
  <c r="H811" i="2" s="1"/>
  <c r="K812" i="1"/>
  <c r="H812" i="2" s="1"/>
  <c r="K813" i="1"/>
  <c r="H813" i="2" s="1"/>
  <c r="K814" i="1"/>
  <c r="H814" i="2" s="1"/>
  <c r="K815" i="1"/>
  <c r="H815" i="2" s="1"/>
  <c r="K816" i="1"/>
  <c r="H816" i="2" s="1"/>
  <c r="K817" i="1"/>
  <c r="H817" i="2" s="1"/>
  <c r="K818" i="1"/>
  <c r="H818" i="2" s="1"/>
  <c r="K819" i="1"/>
  <c r="H819" i="2" s="1"/>
  <c r="K820" i="1"/>
  <c r="H820" i="2" s="1"/>
  <c r="K821" i="1"/>
  <c r="H821" i="2" s="1"/>
  <c r="K822" i="1"/>
  <c r="H822" i="2" s="1"/>
  <c r="K823" i="1"/>
  <c r="H823" i="2" s="1"/>
  <c r="K824" i="1"/>
  <c r="H824" i="2" s="1"/>
  <c r="K825" i="1"/>
  <c r="H825" i="2" s="1"/>
  <c r="K826" i="1"/>
  <c r="H826" i="2" s="1"/>
  <c r="K827" i="1"/>
  <c r="H827" i="2" s="1"/>
  <c r="K828" i="1"/>
  <c r="H828" i="2" s="1"/>
  <c r="K829" i="1"/>
  <c r="H829" i="2" s="1"/>
  <c r="K830" i="1"/>
  <c r="H830" i="2" s="1"/>
  <c r="K831" i="1"/>
  <c r="H831" i="2" s="1"/>
  <c r="K832" i="1"/>
  <c r="H832" i="2" s="1"/>
  <c r="K833" i="1"/>
  <c r="H833" i="2" s="1"/>
  <c r="K834" i="1"/>
  <c r="H834" i="2" s="1"/>
  <c r="K835" i="1"/>
  <c r="H835" i="2" s="1"/>
  <c r="K836" i="1"/>
  <c r="H836" i="2" s="1"/>
  <c r="K837" i="1"/>
  <c r="H837" i="2" s="1"/>
  <c r="K838" i="1"/>
  <c r="H838" i="2" s="1"/>
  <c r="K839" i="1"/>
  <c r="H839" i="2" s="1"/>
  <c r="K840" i="1"/>
  <c r="H840" i="2" s="1"/>
  <c r="K841" i="1"/>
  <c r="H841" i="2" s="1"/>
  <c r="K842" i="1"/>
  <c r="H842" i="2" s="1"/>
  <c r="K843" i="1"/>
  <c r="H843" i="2" s="1"/>
  <c r="K844" i="1"/>
  <c r="H844" i="2" s="1"/>
  <c r="K845" i="1"/>
  <c r="H845" i="2" s="1"/>
  <c r="K846" i="1"/>
  <c r="H846" i="2" s="1"/>
  <c r="K847" i="1"/>
  <c r="H847" i="2" s="1"/>
  <c r="K848" i="1"/>
  <c r="H848" i="2" s="1"/>
  <c r="K849" i="1"/>
  <c r="H849" i="2" s="1"/>
  <c r="K850" i="1"/>
  <c r="H850" i="2" s="1"/>
  <c r="K851" i="1"/>
  <c r="H851" i="2" s="1"/>
  <c r="K852" i="1"/>
  <c r="H852" i="2" s="1"/>
  <c r="K853" i="1"/>
  <c r="H853" i="2" s="1"/>
  <c r="K854" i="1"/>
  <c r="H854" i="2" s="1"/>
  <c r="K855" i="1"/>
  <c r="H855" i="2" s="1"/>
  <c r="K856" i="1"/>
  <c r="H856" i="2" s="1"/>
  <c r="K857" i="1"/>
  <c r="H857" i="2" s="1"/>
  <c r="K858" i="1"/>
  <c r="H858" i="2" s="1"/>
  <c r="K859" i="1"/>
  <c r="H859" i="2" s="1"/>
  <c r="K860" i="1"/>
  <c r="H860" i="2" s="1"/>
  <c r="K861" i="1"/>
  <c r="H861" i="2" s="1"/>
  <c r="K862" i="1"/>
  <c r="H862" i="2" s="1"/>
  <c r="K863" i="1"/>
  <c r="H863" i="2" s="1"/>
  <c r="K864" i="1"/>
  <c r="H864" i="2" s="1"/>
  <c r="K865" i="1"/>
  <c r="H865" i="2" s="1"/>
  <c r="K866" i="1"/>
  <c r="H866" i="2" s="1"/>
  <c r="K867" i="1"/>
  <c r="H867" i="2" s="1"/>
  <c r="K868" i="1"/>
  <c r="H868" i="2" s="1"/>
  <c r="K869" i="1"/>
  <c r="H869" i="2" s="1"/>
  <c r="K870" i="1"/>
  <c r="H870" i="2" s="1"/>
  <c r="K871" i="1"/>
  <c r="H871" i="2" s="1"/>
  <c r="K872" i="1"/>
  <c r="H872" i="2" s="1"/>
  <c r="K873" i="1"/>
  <c r="H873" i="2" s="1"/>
  <c r="K874" i="1"/>
  <c r="H874" i="2" s="1"/>
  <c r="K875" i="1"/>
  <c r="H875" i="2" s="1"/>
  <c r="K876" i="1"/>
  <c r="H876" i="2" s="1"/>
  <c r="K877" i="1"/>
  <c r="H877" i="2" s="1"/>
  <c r="K878" i="1"/>
  <c r="H878" i="2" s="1"/>
  <c r="K879" i="1"/>
  <c r="H879" i="2" s="1"/>
  <c r="K880" i="1"/>
  <c r="H880" i="2" s="1"/>
  <c r="K881" i="1"/>
  <c r="H881" i="2" s="1"/>
  <c r="K882" i="1"/>
  <c r="H882" i="2" s="1"/>
  <c r="K883" i="1"/>
  <c r="H883" i="2" s="1"/>
  <c r="K884" i="1"/>
  <c r="H884" i="2" s="1"/>
  <c r="K885" i="1"/>
  <c r="H885" i="2" s="1"/>
  <c r="K886" i="1"/>
  <c r="H886" i="2" s="1"/>
  <c r="K887" i="1"/>
  <c r="H887" i="2" s="1"/>
  <c r="K888" i="1"/>
  <c r="H888" i="2" s="1"/>
  <c r="K889" i="1"/>
  <c r="H889" i="2" s="1"/>
  <c r="K890" i="1"/>
  <c r="H890" i="2" s="1"/>
  <c r="K891" i="1"/>
  <c r="H891" i="2" s="1"/>
  <c r="K892" i="1"/>
  <c r="H892" i="2" s="1"/>
  <c r="K893" i="1"/>
  <c r="H893" i="2" s="1"/>
  <c r="K894" i="1"/>
  <c r="H894" i="2" s="1"/>
  <c r="K895" i="1"/>
  <c r="H895" i="2" s="1"/>
  <c r="K896" i="1"/>
  <c r="H896" i="2" s="1"/>
  <c r="K897" i="1"/>
  <c r="H897" i="2" s="1"/>
  <c r="K898" i="1"/>
  <c r="H898" i="2" s="1"/>
  <c r="K899" i="1"/>
  <c r="H899" i="2" s="1"/>
  <c r="K900" i="1"/>
  <c r="H900" i="2" s="1"/>
  <c r="K901" i="1"/>
  <c r="H901" i="2" s="1"/>
  <c r="K902" i="1"/>
  <c r="H902" i="2" s="1"/>
  <c r="K903" i="1"/>
  <c r="H903" i="2" s="1"/>
  <c r="K904" i="1"/>
  <c r="H904" i="2" s="1"/>
  <c r="K905" i="1"/>
  <c r="H905" i="2" s="1"/>
  <c r="K906" i="1"/>
  <c r="H906" i="2" s="1"/>
  <c r="K907" i="1"/>
  <c r="H907" i="2" s="1"/>
  <c r="K908" i="1"/>
  <c r="H908" i="2" s="1"/>
  <c r="K909" i="1"/>
  <c r="H909" i="2" s="1"/>
  <c r="K910" i="1"/>
  <c r="H910" i="2" s="1"/>
  <c r="K911" i="1"/>
  <c r="H911" i="2" s="1"/>
  <c r="K912" i="1"/>
  <c r="H912" i="2" s="1"/>
  <c r="K913" i="1"/>
  <c r="H913" i="2" s="1"/>
  <c r="K914" i="1"/>
  <c r="H914" i="2" s="1"/>
  <c r="K915" i="1"/>
  <c r="H915" i="2" s="1"/>
  <c r="K916" i="1"/>
  <c r="H916" i="2" s="1"/>
  <c r="K917" i="1"/>
  <c r="H917" i="2" s="1"/>
  <c r="K918" i="1"/>
  <c r="H918" i="2" s="1"/>
  <c r="K919" i="1"/>
  <c r="H919" i="2" s="1"/>
  <c r="K920" i="1"/>
  <c r="H920" i="2" s="1"/>
  <c r="K921" i="1"/>
  <c r="H921" i="2" s="1"/>
  <c r="K922" i="1"/>
  <c r="H922" i="2" s="1"/>
  <c r="K923" i="1"/>
  <c r="H923" i="2" s="1"/>
  <c r="K924" i="1"/>
  <c r="H924" i="2" s="1"/>
  <c r="K925" i="1"/>
  <c r="H925" i="2" s="1"/>
  <c r="K926" i="1"/>
  <c r="H926" i="2" s="1"/>
  <c r="K927" i="1"/>
  <c r="H927" i="2" s="1"/>
  <c r="K928" i="1"/>
  <c r="H928" i="2" s="1"/>
  <c r="K929" i="1"/>
  <c r="H929" i="2" s="1"/>
  <c r="K930" i="1"/>
  <c r="H930" i="2" s="1"/>
  <c r="K931" i="1"/>
  <c r="H931" i="2" s="1"/>
  <c r="K932" i="1"/>
  <c r="H932" i="2" s="1"/>
  <c r="K933" i="1"/>
  <c r="H933" i="2" s="1"/>
  <c r="K934" i="1"/>
  <c r="H934" i="2" s="1"/>
  <c r="K935" i="1"/>
  <c r="H935" i="2" s="1"/>
  <c r="K936" i="1"/>
  <c r="H936" i="2" s="1"/>
  <c r="K937" i="1"/>
  <c r="H937" i="2" s="1"/>
  <c r="K938" i="1"/>
  <c r="H938" i="2" s="1"/>
  <c r="K939" i="1"/>
  <c r="H939" i="2" s="1"/>
  <c r="K940" i="1"/>
  <c r="H940" i="2" s="1"/>
  <c r="K941" i="1"/>
  <c r="H941" i="2" s="1"/>
  <c r="K942" i="1"/>
  <c r="H942" i="2" s="1"/>
  <c r="K943" i="1"/>
  <c r="H943" i="2" s="1"/>
  <c r="K944" i="1"/>
  <c r="H944" i="2" s="1"/>
  <c r="K945" i="1"/>
  <c r="H945" i="2" s="1"/>
  <c r="K946" i="1"/>
  <c r="H946" i="2" s="1"/>
  <c r="K947" i="1"/>
  <c r="H947" i="2" s="1"/>
  <c r="K948" i="1"/>
  <c r="H948" i="2" s="1"/>
  <c r="K949" i="1"/>
  <c r="H949" i="2" s="1"/>
  <c r="K950" i="1"/>
  <c r="H950" i="2" s="1"/>
  <c r="K951" i="1"/>
  <c r="H951" i="2" s="1"/>
  <c r="K952" i="1"/>
  <c r="H952" i="2" s="1"/>
  <c r="K953" i="1"/>
  <c r="H953" i="2" s="1"/>
  <c r="K954" i="1"/>
  <c r="H954" i="2" s="1"/>
  <c r="K955" i="1"/>
  <c r="H955" i="2" s="1"/>
  <c r="K956" i="1"/>
  <c r="H956" i="2" s="1"/>
  <c r="K957" i="1"/>
  <c r="H957" i="2" s="1"/>
  <c r="K958" i="1"/>
  <c r="H958" i="2" s="1"/>
  <c r="K959" i="1"/>
  <c r="H959" i="2" s="1"/>
  <c r="K960" i="1"/>
  <c r="H960" i="2" s="1"/>
  <c r="K961" i="1"/>
  <c r="H961" i="2" s="1"/>
  <c r="K962" i="1"/>
  <c r="H962" i="2" s="1"/>
  <c r="K963" i="1"/>
  <c r="H963" i="2" s="1"/>
  <c r="K964" i="1"/>
  <c r="H964" i="2" s="1"/>
  <c r="K965" i="1"/>
  <c r="H965" i="2" s="1"/>
  <c r="K966" i="1"/>
  <c r="H966" i="2" s="1"/>
  <c r="K967" i="1"/>
  <c r="H967" i="2" s="1"/>
  <c r="K968" i="1"/>
  <c r="H968" i="2" s="1"/>
  <c r="K969" i="1"/>
  <c r="H969" i="2" s="1"/>
  <c r="K970" i="1"/>
  <c r="H970" i="2" s="1"/>
  <c r="K971" i="1"/>
  <c r="H971" i="2" s="1"/>
  <c r="K972" i="1"/>
  <c r="H972" i="2" s="1"/>
  <c r="K973" i="1"/>
  <c r="H973" i="2" s="1"/>
  <c r="K974" i="1"/>
  <c r="H974" i="2" s="1"/>
  <c r="K975" i="1"/>
  <c r="H975" i="2" s="1"/>
  <c r="K976" i="1"/>
  <c r="H976" i="2" s="1"/>
  <c r="K977" i="1"/>
  <c r="H977" i="2" s="1"/>
  <c r="K978" i="1"/>
  <c r="H978" i="2" s="1"/>
  <c r="K979" i="1"/>
  <c r="H979" i="2" s="1"/>
  <c r="K980" i="1"/>
  <c r="H980" i="2" s="1"/>
  <c r="K981" i="1"/>
  <c r="H981" i="2" s="1"/>
  <c r="K982" i="1"/>
  <c r="H982" i="2" s="1"/>
  <c r="K983" i="1"/>
  <c r="H983" i="2" s="1"/>
  <c r="K984" i="1"/>
  <c r="H984" i="2" s="1"/>
  <c r="K985" i="1"/>
  <c r="H985" i="2" s="1"/>
  <c r="K986" i="1"/>
  <c r="H986" i="2" s="1"/>
  <c r="K987" i="1"/>
  <c r="H987" i="2" s="1"/>
  <c r="K988" i="1"/>
  <c r="H988" i="2" s="1"/>
  <c r="K989" i="1"/>
  <c r="H989" i="2" s="1"/>
  <c r="K990" i="1"/>
  <c r="H990" i="2" s="1"/>
  <c r="K991" i="1"/>
  <c r="H991" i="2" s="1"/>
  <c r="K992" i="1"/>
  <c r="H992" i="2" s="1"/>
  <c r="K993" i="1"/>
  <c r="H993" i="2" s="1"/>
  <c r="K994" i="1"/>
  <c r="H994" i="2" s="1"/>
  <c r="K995" i="1"/>
  <c r="H995" i="2" s="1"/>
  <c r="K996" i="1"/>
  <c r="H996" i="2" s="1"/>
  <c r="K997" i="1"/>
  <c r="H997" i="2" s="1"/>
  <c r="K998" i="1"/>
  <c r="H998" i="2" s="1"/>
  <c r="K999" i="1"/>
  <c r="H999" i="2" s="1"/>
  <c r="K1000" i="1"/>
  <c r="H1000" i="2" s="1"/>
  <c r="K1001" i="1"/>
  <c r="H1001" i="2" s="1"/>
  <c r="K28" i="1"/>
  <c r="H28" i="2" s="1"/>
  <c r="K29" i="1"/>
  <c r="H29" i="2" s="1"/>
  <c r="K30" i="1"/>
  <c r="H30" i="2" s="1"/>
  <c r="K31" i="1"/>
  <c r="H31" i="2" s="1"/>
  <c r="K32" i="1"/>
  <c r="H32" i="2" s="1"/>
  <c r="K33" i="1"/>
  <c r="H33" i="2" s="1"/>
  <c r="K34" i="1"/>
  <c r="H34" i="2" s="1"/>
  <c r="K35" i="1"/>
  <c r="H35" i="2" s="1"/>
  <c r="K36" i="1"/>
  <c r="H36" i="2" s="1"/>
  <c r="K37" i="1"/>
  <c r="H37" i="2" s="1"/>
  <c r="K38" i="1"/>
  <c r="H38" i="2" s="1"/>
  <c r="K39" i="1"/>
  <c r="H39" i="2" s="1"/>
  <c r="K20" i="1"/>
  <c r="H20" i="2" s="1"/>
  <c r="K21" i="1"/>
  <c r="H21" i="2" s="1"/>
  <c r="K22" i="1"/>
  <c r="H22" i="2" s="1"/>
  <c r="K23" i="1"/>
  <c r="H23" i="2" s="1"/>
  <c r="K24" i="1"/>
  <c r="H24" i="2" s="1"/>
  <c r="K25" i="1"/>
  <c r="H25" i="2" s="1"/>
  <c r="K26" i="1"/>
  <c r="H26" i="2" s="1"/>
  <c r="K27" i="1"/>
  <c r="H27" i="2" s="1"/>
  <c r="K3" i="1"/>
  <c r="H3" i="2" s="1"/>
  <c r="K4" i="1"/>
  <c r="H4" i="2" s="1"/>
  <c r="K5" i="1"/>
  <c r="H5" i="2" s="1"/>
  <c r="K6" i="1"/>
  <c r="H6" i="2" s="1"/>
  <c r="K7" i="1"/>
  <c r="H7" i="2" s="1"/>
  <c r="K8" i="1"/>
  <c r="H8" i="2" s="1"/>
  <c r="K9" i="1"/>
  <c r="H9" i="2" s="1"/>
  <c r="K10" i="1"/>
  <c r="H10" i="2" s="1"/>
  <c r="K11" i="1"/>
  <c r="H11" i="2" s="1"/>
  <c r="K12" i="1"/>
  <c r="H12" i="2" s="1"/>
  <c r="K13" i="1"/>
  <c r="H13" i="2" s="1"/>
  <c r="K14" i="1"/>
  <c r="H14" i="2" s="1"/>
  <c r="K15" i="1"/>
  <c r="H15" i="2" s="1"/>
  <c r="K16" i="1"/>
  <c r="H16" i="2" s="1"/>
  <c r="K17" i="1"/>
  <c r="H17" i="2" s="1"/>
  <c r="K18" i="1"/>
  <c r="H18" i="2" s="1"/>
  <c r="K19" i="1"/>
  <c r="H19" i="2" s="1"/>
  <c r="K2" i="1"/>
  <c r="H2" i="2" s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D370" i="2" s="1"/>
  <c r="F371" i="1"/>
  <c r="D371" i="2" s="1"/>
  <c r="F372" i="1"/>
  <c r="D372" i="2" s="1"/>
  <c r="F373" i="1"/>
  <c r="D373" i="2" s="1"/>
  <c r="F374" i="1"/>
  <c r="D374" i="2" s="1"/>
  <c r="F375" i="1"/>
  <c r="D375" i="2" s="1"/>
  <c r="F376" i="1"/>
  <c r="D376" i="2" s="1"/>
  <c r="F377" i="1"/>
  <c r="D377" i="2" s="1"/>
  <c r="F378" i="1"/>
  <c r="D378" i="2" s="1"/>
  <c r="F379" i="1"/>
  <c r="D379" i="2" s="1"/>
  <c r="F380" i="1"/>
  <c r="D380" i="2" s="1"/>
  <c r="F381" i="1"/>
  <c r="D381" i="2" s="1"/>
  <c r="F382" i="1"/>
  <c r="D382" i="2" s="1"/>
  <c r="F383" i="1"/>
  <c r="D383" i="2" s="1"/>
  <c r="F384" i="1"/>
  <c r="D384" i="2" s="1"/>
  <c r="F385" i="1"/>
  <c r="D385" i="2" s="1"/>
  <c r="F386" i="1"/>
  <c r="D386" i="2" s="1"/>
  <c r="F387" i="1"/>
  <c r="D387" i="2" s="1"/>
  <c r="F388" i="1"/>
  <c r="D388" i="2" s="1"/>
  <c r="F389" i="1"/>
  <c r="D389" i="2" s="1"/>
  <c r="F390" i="1"/>
  <c r="D390" i="2" s="1"/>
  <c r="F391" i="1"/>
  <c r="D391" i="2" s="1"/>
  <c r="F392" i="1"/>
  <c r="D392" i="2" s="1"/>
  <c r="F393" i="1"/>
  <c r="D393" i="2" s="1"/>
  <c r="F394" i="1"/>
  <c r="D394" i="2" s="1"/>
  <c r="F395" i="1"/>
  <c r="D395" i="2" s="1"/>
  <c r="F396" i="1"/>
  <c r="D396" i="2" s="1"/>
  <c r="F397" i="1"/>
  <c r="D397" i="2" s="1"/>
  <c r="F398" i="1"/>
  <c r="D398" i="2" s="1"/>
  <c r="F399" i="1"/>
  <c r="D399" i="2" s="1"/>
  <c r="F400" i="1"/>
  <c r="D400" i="2" s="1"/>
  <c r="F401" i="1"/>
  <c r="D401" i="2" s="1"/>
  <c r="F402" i="1"/>
  <c r="D402" i="2" s="1"/>
  <c r="F403" i="1"/>
  <c r="D403" i="2" s="1"/>
  <c r="F404" i="1"/>
  <c r="D404" i="2" s="1"/>
  <c r="F405" i="1"/>
  <c r="D405" i="2" s="1"/>
  <c r="F406" i="1"/>
  <c r="D406" i="2" s="1"/>
  <c r="F407" i="1"/>
  <c r="D407" i="2" s="1"/>
  <c r="F408" i="1"/>
  <c r="D408" i="2" s="1"/>
  <c r="F409" i="1"/>
  <c r="D409" i="2" s="1"/>
  <c r="F410" i="1"/>
  <c r="D410" i="2" s="1"/>
  <c r="F411" i="1"/>
  <c r="D411" i="2" s="1"/>
  <c r="F412" i="1"/>
  <c r="D412" i="2" s="1"/>
  <c r="F413" i="1"/>
  <c r="D413" i="2" s="1"/>
  <c r="F414" i="1"/>
  <c r="D414" i="2" s="1"/>
  <c r="F415" i="1"/>
  <c r="D415" i="2" s="1"/>
  <c r="F416" i="1"/>
  <c r="D416" i="2" s="1"/>
  <c r="F417" i="1"/>
  <c r="D417" i="2" s="1"/>
  <c r="F418" i="1"/>
  <c r="D418" i="2" s="1"/>
  <c r="F419" i="1"/>
  <c r="D419" i="2" s="1"/>
  <c r="F420" i="1"/>
  <c r="D420" i="2" s="1"/>
  <c r="F421" i="1"/>
  <c r="D421" i="2" s="1"/>
  <c r="F422" i="1"/>
  <c r="D422" i="2" s="1"/>
  <c r="F423" i="1"/>
  <c r="D423" i="2" s="1"/>
  <c r="F424" i="1"/>
  <c r="D424" i="2" s="1"/>
  <c r="F425" i="1"/>
  <c r="D425" i="2" s="1"/>
  <c r="F426" i="1"/>
  <c r="D426" i="2" s="1"/>
  <c r="F427" i="1"/>
  <c r="D427" i="2" s="1"/>
  <c r="F428" i="1"/>
  <c r="D428" i="2" s="1"/>
  <c r="F429" i="1"/>
  <c r="D429" i="2" s="1"/>
  <c r="F430" i="1"/>
  <c r="D430" i="2" s="1"/>
  <c r="F431" i="1"/>
  <c r="D431" i="2" s="1"/>
  <c r="F432" i="1"/>
  <c r="D432" i="2" s="1"/>
  <c r="F433" i="1"/>
  <c r="D433" i="2" s="1"/>
  <c r="F434" i="1"/>
  <c r="D434" i="2" s="1"/>
  <c r="F435" i="1"/>
  <c r="D435" i="2" s="1"/>
  <c r="F436" i="1"/>
  <c r="D436" i="2" s="1"/>
  <c r="F437" i="1"/>
  <c r="D437" i="2" s="1"/>
  <c r="F438" i="1"/>
  <c r="D438" i="2" s="1"/>
  <c r="F439" i="1"/>
  <c r="D439" i="2" s="1"/>
  <c r="F440" i="1"/>
  <c r="D440" i="2" s="1"/>
  <c r="F441" i="1"/>
  <c r="D441" i="2" s="1"/>
  <c r="F442" i="1"/>
  <c r="D442" i="2" s="1"/>
  <c r="F443" i="1"/>
  <c r="D443" i="2" s="1"/>
  <c r="F444" i="1"/>
  <c r="D444" i="2" s="1"/>
  <c r="F445" i="1"/>
  <c r="D445" i="2" s="1"/>
  <c r="F446" i="1"/>
  <c r="D446" i="2" s="1"/>
  <c r="F447" i="1"/>
  <c r="D447" i="2" s="1"/>
  <c r="F448" i="1"/>
  <c r="D448" i="2" s="1"/>
  <c r="F449" i="1"/>
  <c r="D449" i="2" s="1"/>
  <c r="F450" i="1"/>
  <c r="D450" i="2" s="1"/>
  <c r="F451" i="1"/>
  <c r="D451" i="2" s="1"/>
  <c r="F452" i="1"/>
  <c r="D452" i="2" s="1"/>
  <c r="F453" i="1"/>
  <c r="D453" i="2" s="1"/>
  <c r="F454" i="1"/>
  <c r="D454" i="2" s="1"/>
  <c r="F455" i="1"/>
  <c r="D455" i="2" s="1"/>
  <c r="F456" i="1"/>
  <c r="D456" i="2" s="1"/>
  <c r="F457" i="1"/>
  <c r="D457" i="2" s="1"/>
  <c r="F458" i="1"/>
  <c r="D458" i="2" s="1"/>
  <c r="F459" i="1"/>
  <c r="D459" i="2" s="1"/>
  <c r="F460" i="1"/>
  <c r="D460" i="2" s="1"/>
  <c r="F461" i="1"/>
  <c r="D461" i="2" s="1"/>
  <c r="F462" i="1"/>
  <c r="D462" i="2" s="1"/>
  <c r="F463" i="1"/>
  <c r="D463" i="2" s="1"/>
  <c r="F464" i="1"/>
  <c r="D464" i="2" s="1"/>
  <c r="F465" i="1"/>
  <c r="D465" i="2" s="1"/>
  <c r="F466" i="1"/>
  <c r="D466" i="2" s="1"/>
  <c r="F467" i="1"/>
  <c r="D467" i="2" s="1"/>
  <c r="F468" i="1"/>
  <c r="D468" i="2" s="1"/>
  <c r="F469" i="1"/>
  <c r="D469" i="2" s="1"/>
  <c r="F470" i="1"/>
  <c r="D470" i="2" s="1"/>
  <c r="F471" i="1"/>
  <c r="D471" i="2" s="1"/>
  <c r="F472" i="1"/>
  <c r="D472" i="2" s="1"/>
  <c r="F473" i="1"/>
  <c r="D473" i="2" s="1"/>
  <c r="F474" i="1"/>
  <c r="D474" i="2" s="1"/>
  <c r="F475" i="1"/>
  <c r="D475" i="2" s="1"/>
  <c r="F476" i="1"/>
  <c r="D476" i="2" s="1"/>
  <c r="F477" i="1"/>
  <c r="D477" i="2" s="1"/>
  <c r="F478" i="1"/>
  <c r="D478" i="2" s="1"/>
  <c r="F479" i="1"/>
  <c r="D479" i="2" s="1"/>
  <c r="F480" i="1"/>
  <c r="D480" i="2" s="1"/>
  <c r="F481" i="1"/>
  <c r="D481" i="2" s="1"/>
  <c r="F482" i="1"/>
  <c r="D482" i="2" s="1"/>
  <c r="F483" i="1"/>
  <c r="D483" i="2" s="1"/>
  <c r="F484" i="1"/>
  <c r="D484" i="2" s="1"/>
  <c r="F485" i="1"/>
  <c r="D485" i="2" s="1"/>
  <c r="F486" i="1"/>
  <c r="D486" i="2" s="1"/>
  <c r="F487" i="1"/>
  <c r="D487" i="2" s="1"/>
  <c r="F488" i="1"/>
  <c r="D488" i="2" s="1"/>
  <c r="F489" i="1"/>
  <c r="D489" i="2" s="1"/>
  <c r="F490" i="1"/>
  <c r="D490" i="2" s="1"/>
  <c r="F491" i="1"/>
  <c r="D491" i="2" s="1"/>
  <c r="F492" i="1"/>
  <c r="D492" i="2" s="1"/>
  <c r="F493" i="1"/>
  <c r="D493" i="2" s="1"/>
  <c r="F494" i="1"/>
  <c r="D494" i="2" s="1"/>
  <c r="F495" i="1"/>
  <c r="D495" i="2" s="1"/>
  <c r="F496" i="1"/>
  <c r="D496" i="2" s="1"/>
  <c r="F497" i="1"/>
  <c r="D497" i="2" s="1"/>
  <c r="F498" i="1"/>
  <c r="D498" i="2" s="1"/>
  <c r="F499" i="1"/>
  <c r="D499" i="2" s="1"/>
  <c r="F500" i="1"/>
  <c r="D500" i="2" s="1"/>
  <c r="F501" i="1"/>
  <c r="D501" i="2" s="1"/>
  <c r="F502" i="1"/>
  <c r="D502" i="2" s="1"/>
  <c r="F503" i="1"/>
  <c r="D503" i="2" s="1"/>
  <c r="F504" i="1"/>
  <c r="D504" i="2" s="1"/>
  <c r="F505" i="1"/>
  <c r="D505" i="2" s="1"/>
  <c r="F506" i="1"/>
  <c r="D506" i="2" s="1"/>
  <c r="F507" i="1"/>
  <c r="D507" i="2" s="1"/>
  <c r="F508" i="1"/>
  <c r="D508" i="2" s="1"/>
  <c r="F509" i="1"/>
  <c r="D509" i="2" s="1"/>
  <c r="F510" i="1"/>
  <c r="D510" i="2" s="1"/>
  <c r="F511" i="1"/>
  <c r="D511" i="2" s="1"/>
  <c r="F512" i="1"/>
  <c r="D512" i="2" s="1"/>
  <c r="F513" i="1"/>
  <c r="D513" i="2" s="1"/>
  <c r="F514" i="1"/>
  <c r="D514" i="2" s="1"/>
  <c r="F515" i="1"/>
  <c r="D515" i="2" s="1"/>
  <c r="F516" i="1"/>
  <c r="D516" i="2" s="1"/>
  <c r="F517" i="1"/>
  <c r="D517" i="2" s="1"/>
  <c r="F518" i="1"/>
  <c r="D518" i="2" s="1"/>
  <c r="F519" i="1"/>
  <c r="D519" i="2" s="1"/>
  <c r="F520" i="1"/>
  <c r="D520" i="2" s="1"/>
  <c r="F521" i="1"/>
  <c r="D521" i="2" s="1"/>
  <c r="F522" i="1"/>
  <c r="D522" i="2" s="1"/>
  <c r="F523" i="1"/>
  <c r="D523" i="2" s="1"/>
  <c r="F524" i="1"/>
  <c r="D524" i="2" s="1"/>
  <c r="F525" i="1"/>
  <c r="D525" i="2" s="1"/>
  <c r="F526" i="1"/>
  <c r="D526" i="2" s="1"/>
  <c r="F527" i="1"/>
  <c r="D527" i="2" s="1"/>
  <c r="F528" i="1"/>
  <c r="D528" i="2" s="1"/>
  <c r="F529" i="1"/>
  <c r="D529" i="2" s="1"/>
  <c r="F530" i="1"/>
  <c r="D530" i="2" s="1"/>
  <c r="F531" i="1"/>
  <c r="D531" i="2" s="1"/>
  <c r="F532" i="1"/>
  <c r="D532" i="2" s="1"/>
  <c r="F533" i="1"/>
  <c r="D533" i="2" s="1"/>
  <c r="F534" i="1"/>
  <c r="D534" i="2" s="1"/>
  <c r="F535" i="1"/>
  <c r="D535" i="2" s="1"/>
  <c r="F536" i="1"/>
  <c r="D536" i="2" s="1"/>
  <c r="F537" i="1"/>
  <c r="D537" i="2" s="1"/>
  <c r="F538" i="1"/>
  <c r="D538" i="2" s="1"/>
  <c r="F539" i="1"/>
  <c r="D539" i="2" s="1"/>
  <c r="F540" i="1"/>
  <c r="D540" i="2" s="1"/>
  <c r="F541" i="1"/>
  <c r="D541" i="2" s="1"/>
  <c r="F542" i="1"/>
  <c r="D542" i="2" s="1"/>
  <c r="F543" i="1"/>
  <c r="D543" i="2" s="1"/>
  <c r="F544" i="1"/>
  <c r="D544" i="2" s="1"/>
  <c r="F545" i="1"/>
  <c r="D545" i="2" s="1"/>
  <c r="F546" i="1"/>
  <c r="D546" i="2" s="1"/>
  <c r="F547" i="1"/>
  <c r="D547" i="2" s="1"/>
  <c r="F548" i="1"/>
  <c r="D548" i="2" s="1"/>
  <c r="F549" i="1"/>
  <c r="D549" i="2" s="1"/>
  <c r="F550" i="1"/>
  <c r="D550" i="2" s="1"/>
  <c r="F551" i="1"/>
  <c r="D551" i="2" s="1"/>
  <c r="F552" i="1"/>
  <c r="D552" i="2" s="1"/>
  <c r="F553" i="1"/>
  <c r="D553" i="2" s="1"/>
  <c r="F554" i="1"/>
  <c r="D554" i="2" s="1"/>
  <c r="F555" i="1"/>
  <c r="D555" i="2" s="1"/>
  <c r="F556" i="1"/>
  <c r="D556" i="2" s="1"/>
  <c r="F557" i="1"/>
  <c r="D557" i="2" s="1"/>
  <c r="F558" i="1"/>
  <c r="D558" i="2" s="1"/>
  <c r="F559" i="1"/>
  <c r="D559" i="2" s="1"/>
  <c r="F560" i="1"/>
  <c r="D560" i="2" s="1"/>
  <c r="F561" i="1"/>
  <c r="D561" i="2" s="1"/>
  <c r="F562" i="1"/>
  <c r="D562" i="2" s="1"/>
  <c r="F563" i="1"/>
  <c r="D563" i="2" s="1"/>
  <c r="F564" i="1"/>
  <c r="D564" i="2" s="1"/>
  <c r="F565" i="1"/>
  <c r="D565" i="2" s="1"/>
  <c r="F566" i="1"/>
  <c r="D566" i="2" s="1"/>
  <c r="F567" i="1"/>
  <c r="D567" i="2" s="1"/>
  <c r="F568" i="1"/>
  <c r="D568" i="2" s="1"/>
  <c r="F569" i="1"/>
  <c r="D569" i="2" s="1"/>
  <c r="F570" i="1"/>
  <c r="D570" i="2" s="1"/>
  <c r="F571" i="1"/>
  <c r="D571" i="2" s="1"/>
  <c r="F572" i="1"/>
  <c r="D572" i="2" s="1"/>
  <c r="F573" i="1"/>
  <c r="D573" i="2" s="1"/>
  <c r="F574" i="1"/>
  <c r="D574" i="2" s="1"/>
  <c r="F575" i="1"/>
  <c r="D575" i="2" s="1"/>
  <c r="F576" i="1"/>
  <c r="D576" i="2" s="1"/>
  <c r="F577" i="1"/>
  <c r="D577" i="2" s="1"/>
  <c r="F578" i="1"/>
  <c r="D578" i="2" s="1"/>
  <c r="F579" i="1"/>
  <c r="D579" i="2" s="1"/>
  <c r="F580" i="1"/>
  <c r="D580" i="2" s="1"/>
  <c r="F581" i="1"/>
  <c r="D581" i="2" s="1"/>
  <c r="F582" i="1"/>
  <c r="D582" i="2" s="1"/>
  <c r="F583" i="1"/>
  <c r="D583" i="2" s="1"/>
  <c r="F584" i="1"/>
  <c r="D584" i="2" s="1"/>
  <c r="F585" i="1"/>
  <c r="D585" i="2" s="1"/>
  <c r="F586" i="1"/>
  <c r="D586" i="2" s="1"/>
  <c r="F587" i="1"/>
  <c r="D587" i="2" s="1"/>
  <c r="F588" i="1"/>
  <c r="D588" i="2" s="1"/>
  <c r="F589" i="1"/>
  <c r="D589" i="2" s="1"/>
  <c r="F590" i="1"/>
  <c r="D590" i="2" s="1"/>
  <c r="F591" i="1"/>
  <c r="D591" i="2" s="1"/>
  <c r="F592" i="1"/>
  <c r="D592" i="2" s="1"/>
  <c r="F593" i="1"/>
  <c r="D593" i="2" s="1"/>
  <c r="F594" i="1"/>
  <c r="D594" i="2" s="1"/>
  <c r="F595" i="1"/>
  <c r="D595" i="2" s="1"/>
  <c r="F596" i="1"/>
  <c r="D596" i="2" s="1"/>
  <c r="F597" i="1"/>
  <c r="D597" i="2" s="1"/>
  <c r="F598" i="1"/>
  <c r="D598" i="2" s="1"/>
  <c r="F599" i="1"/>
  <c r="D599" i="2" s="1"/>
  <c r="F600" i="1"/>
  <c r="D600" i="2" s="1"/>
  <c r="F601" i="1"/>
  <c r="D601" i="2" s="1"/>
  <c r="F602" i="1"/>
  <c r="D602" i="2" s="1"/>
  <c r="F603" i="1"/>
  <c r="D603" i="2" s="1"/>
  <c r="F604" i="1"/>
  <c r="D604" i="2" s="1"/>
  <c r="F605" i="1"/>
  <c r="D605" i="2" s="1"/>
  <c r="F606" i="1"/>
  <c r="D606" i="2" s="1"/>
  <c r="F607" i="1"/>
  <c r="D607" i="2" s="1"/>
  <c r="F608" i="1"/>
  <c r="D608" i="2" s="1"/>
  <c r="F609" i="1"/>
  <c r="D609" i="2" s="1"/>
  <c r="F610" i="1"/>
  <c r="D610" i="2" s="1"/>
  <c r="F611" i="1"/>
  <c r="D611" i="2" s="1"/>
  <c r="F612" i="1"/>
  <c r="D612" i="2" s="1"/>
  <c r="F613" i="1"/>
  <c r="D613" i="2" s="1"/>
  <c r="F614" i="1"/>
  <c r="D614" i="2" s="1"/>
  <c r="F615" i="1"/>
  <c r="D615" i="2" s="1"/>
  <c r="F616" i="1"/>
  <c r="D616" i="2" s="1"/>
  <c r="F617" i="1"/>
  <c r="D617" i="2" s="1"/>
  <c r="F618" i="1"/>
  <c r="D618" i="2" s="1"/>
  <c r="F619" i="1"/>
  <c r="D619" i="2" s="1"/>
  <c r="F620" i="1"/>
  <c r="D620" i="2" s="1"/>
  <c r="F621" i="1"/>
  <c r="D621" i="2" s="1"/>
  <c r="F622" i="1"/>
  <c r="D622" i="2" s="1"/>
  <c r="F623" i="1"/>
  <c r="D623" i="2" s="1"/>
  <c r="F624" i="1"/>
  <c r="D624" i="2" s="1"/>
  <c r="F625" i="1"/>
  <c r="D625" i="2" s="1"/>
  <c r="F626" i="1"/>
  <c r="D626" i="2" s="1"/>
  <c r="F627" i="1"/>
  <c r="D627" i="2" s="1"/>
  <c r="F628" i="1"/>
  <c r="D628" i="2" s="1"/>
  <c r="F629" i="1"/>
  <c r="D629" i="2" s="1"/>
  <c r="F630" i="1"/>
  <c r="D630" i="2" s="1"/>
  <c r="F631" i="1"/>
  <c r="D631" i="2" s="1"/>
  <c r="F632" i="1"/>
  <c r="D632" i="2" s="1"/>
  <c r="F633" i="1"/>
  <c r="D633" i="2" s="1"/>
  <c r="F634" i="1"/>
  <c r="D634" i="2" s="1"/>
  <c r="F635" i="1"/>
  <c r="D635" i="2" s="1"/>
  <c r="F636" i="1"/>
  <c r="D636" i="2" s="1"/>
  <c r="F637" i="1"/>
  <c r="D637" i="2" s="1"/>
  <c r="F638" i="1"/>
  <c r="D638" i="2" s="1"/>
  <c r="F639" i="1"/>
  <c r="D639" i="2" s="1"/>
  <c r="F640" i="1"/>
  <c r="D640" i="2" s="1"/>
  <c r="F641" i="1"/>
  <c r="D641" i="2" s="1"/>
  <c r="F642" i="1"/>
  <c r="D642" i="2" s="1"/>
  <c r="F643" i="1"/>
  <c r="D643" i="2" s="1"/>
  <c r="F644" i="1"/>
  <c r="D644" i="2" s="1"/>
  <c r="F645" i="1"/>
  <c r="D645" i="2" s="1"/>
  <c r="F646" i="1"/>
  <c r="D646" i="2" s="1"/>
  <c r="F647" i="1"/>
  <c r="D647" i="2" s="1"/>
  <c r="F648" i="1"/>
  <c r="D648" i="2" s="1"/>
  <c r="F649" i="1"/>
  <c r="D649" i="2" s="1"/>
  <c r="F650" i="1"/>
  <c r="D650" i="2" s="1"/>
  <c r="F651" i="1"/>
  <c r="D651" i="2" s="1"/>
  <c r="F652" i="1"/>
  <c r="D652" i="2" s="1"/>
  <c r="F653" i="1"/>
  <c r="D653" i="2" s="1"/>
  <c r="F654" i="1"/>
  <c r="D654" i="2" s="1"/>
  <c r="F655" i="1"/>
  <c r="D655" i="2" s="1"/>
  <c r="F656" i="1"/>
  <c r="D656" i="2" s="1"/>
  <c r="F657" i="1"/>
  <c r="D657" i="2" s="1"/>
  <c r="F658" i="1"/>
  <c r="D658" i="2" s="1"/>
  <c r="F659" i="1"/>
  <c r="D659" i="2" s="1"/>
  <c r="F660" i="1"/>
  <c r="D660" i="2" s="1"/>
  <c r="F661" i="1"/>
  <c r="D661" i="2" s="1"/>
  <c r="F662" i="1"/>
  <c r="D662" i="2" s="1"/>
  <c r="F663" i="1"/>
  <c r="D663" i="2" s="1"/>
  <c r="F664" i="1"/>
  <c r="D664" i="2" s="1"/>
  <c r="F665" i="1"/>
  <c r="D665" i="2" s="1"/>
  <c r="F666" i="1"/>
  <c r="D666" i="2" s="1"/>
  <c r="F667" i="1"/>
  <c r="D667" i="2" s="1"/>
  <c r="F668" i="1"/>
  <c r="D668" i="2" s="1"/>
  <c r="F669" i="1"/>
  <c r="D669" i="2" s="1"/>
  <c r="F670" i="1"/>
  <c r="D670" i="2" s="1"/>
  <c r="F671" i="1"/>
  <c r="D671" i="2" s="1"/>
  <c r="F672" i="1"/>
  <c r="D672" i="2" s="1"/>
  <c r="F673" i="1"/>
  <c r="D673" i="2" s="1"/>
  <c r="F674" i="1"/>
  <c r="D674" i="2" s="1"/>
  <c r="F675" i="1"/>
  <c r="D675" i="2" s="1"/>
  <c r="F676" i="1"/>
  <c r="D676" i="2" s="1"/>
  <c r="F677" i="1"/>
  <c r="D677" i="2" s="1"/>
  <c r="F678" i="1"/>
  <c r="D678" i="2" s="1"/>
  <c r="F679" i="1"/>
  <c r="D679" i="2" s="1"/>
  <c r="F680" i="1"/>
  <c r="D680" i="2" s="1"/>
  <c r="F681" i="1"/>
  <c r="D681" i="2" s="1"/>
  <c r="F682" i="1"/>
  <c r="D682" i="2" s="1"/>
  <c r="F683" i="1"/>
  <c r="D683" i="2" s="1"/>
  <c r="F684" i="1"/>
  <c r="D684" i="2" s="1"/>
  <c r="F685" i="1"/>
  <c r="D685" i="2" s="1"/>
  <c r="F686" i="1"/>
  <c r="D686" i="2" s="1"/>
  <c r="F687" i="1"/>
  <c r="D687" i="2" s="1"/>
  <c r="F688" i="1"/>
  <c r="D688" i="2" s="1"/>
  <c r="F689" i="1"/>
  <c r="D689" i="2" s="1"/>
  <c r="F690" i="1"/>
  <c r="D690" i="2" s="1"/>
  <c r="F691" i="1"/>
  <c r="D691" i="2" s="1"/>
  <c r="F692" i="1"/>
  <c r="D692" i="2" s="1"/>
  <c r="F693" i="1"/>
  <c r="D693" i="2" s="1"/>
  <c r="F694" i="1"/>
  <c r="D694" i="2" s="1"/>
  <c r="F695" i="1"/>
  <c r="D695" i="2" s="1"/>
  <c r="F696" i="1"/>
  <c r="D696" i="2" s="1"/>
  <c r="F697" i="1"/>
  <c r="D697" i="2" s="1"/>
  <c r="F698" i="1"/>
  <c r="D698" i="2" s="1"/>
  <c r="F699" i="1"/>
  <c r="D699" i="2" s="1"/>
  <c r="F700" i="1"/>
  <c r="D700" i="2" s="1"/>
  <c r="F701" i="1"/>
  <c r="D701" i="2" s="1"/>
  <c r="F702" i="1"/>
  <c r="D702" i="2" s="1"/>
  <c r="F703" i="1"/>
  <c r="D703" i="2" s="1"/>
  <c r="F704" i="1"/>
  <c r="D704" i="2" s="1"/>
  <c r="F705" i="1"/>
  <c r="D705" i="2" s="1"/>
  <c r="F706" i="1"/>
  <c r="D706" i="2" s="1"/>
  <c r="F707" i="1"/>
  <c r="D707" i="2" s="1"/>
  <c r="F708" i="1"/>
  <c r="D708" i="2" s="1"/>
  <c r="F709" i="1"/>
  <c r="D709" i="2" s="1"/>
  <c r="F710" i="1"/>
  <c r="D710" i="2" s="1"/>
  <c r="F711" i="1"/>
  <c r="D711" i="2" s="1"/>
  <c r="F712" i="1"/>
  <c r="D712" i="2" s="1"/>
  <c r="F713" i="1"/>
  <c r="D713" i="2" s="1"/>
  <c r="F714" i="1"/>
  <c r="D714" i="2" s="1"/>
  <c r="F715" i="1"/>
  <c r="D715" i="2" s="1"/>
  <c r="F716" i="1"/>
  <c r="D716" i="2" s="1"/>
  <c r="F717" i="1"/>
  <c r="D717" i="2" s="1"/>
  <c r="F718" i="1"/>
  <c r="D718" i="2" s="1"/>
  <c r="F719" i="1"/>
  <c r="D719" i="2" s="1"/>
  <c r="F720" i="1"/>
  <c r="D720" i="2" s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D930" i="2" s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3" i="1"/>
  <c r="D3" i="2" s="1"/>
  <c r="F4" i="1"/>
  <c r="D4" i="2" s="1"/>
  <c r="F5" i="1"/>
  <c r="D5" i="2" s="1"/>
  <c r="F6" i="1"/>
  <c r="D6" i="2" s="1"/>
  <c r="F7" i="1"/>
  <c r="D7" i="2" s="1"/>
  <c r="F8" i="1"/>
  <c r="D8" i="2" s="1"/>
  <c r="F9" i="1"/>
  <c r="D9" i="2" s="1"/>
  <c r="F10" i="1"/>
  <c r="D10" i="2" s="1"/>
  <c r="F11" i="1"/>
  <c r="D11" i="2" s="1"/>
  <c r="F12" i="1"/>
  <c r="D12" i="2" s="1"/>
  <c r="F13" i="1"/>
  <c r="D13" i="2" s="1"/>
  <c r="F14" i="1"/>
  <c r="D14" i="2" s="1"/>
  <c r="F15" i="1"/>
  <c r="D15" i="2" s="1"/>
  <c r="F16" i="1"/>
  <c r="D16" i="2" s="1"/>
  <c r="F17" i="1"/>
  <c r="D17" i="2" s="1"/>
  <c r="F18" i="1"/>
  <c r="D18" i="2" s="1"/>
  <c r="F19" i="1"/>
  <c r="D19" i="2" s="1"/>
  <c r="F20" i="1"/>
  <c r="D20" i="2" s="1"/>
  <c r="F21" i="1"/>
  <c r="D21" i="2" s="1"/>
  <c r="F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C695" i="2" s="1"/>
  <c r="D696" i="1"/>
  <c r="C696" i="2" s="1"/>
  <c r="D697" i="1"/>
  <c r="C697" i="2" s="1"/>
  <c r="D698" i="1"/>
  <c r="C698" i="2" s="1"/>
  <c r="D699" i="1"/>
  <c r="C699" i="2" s="1"/>
  <c r="D700" i="1"/>
  <c r="C700" i="2" s="1"/>
  <c r="D701" i="1"/>
  <c r="C701" i="2" s="1"/>
  <c r="D702" i="1"/>
  <c r="C702" i="2" s="1"/>
  <c r="D703" i="1"/>
  <c r="C703" i="2" s="1"/>
  <c r="D704" i="1"/>
  <c r="C704" i="2" s="1"/>
  <c r="D705" i="1"/>
  <c r="C705" i="2" s="1"/>
  <c r="D706" i="1"/>
  <c r="C706" i="2" s="1"/>
  <c r="D707" i="1"/>
  <c r="C707" i="2" s="1"/>
  <c r="D708" i="1"/>
  <c r="C708" i="2" s="1"/>
  <c r="D709" i="1"/>
  <c r="C709" i="2" s="1"/>
  <c r="D710" i="1"/>
  <c r="C710" i="2" s="1"/>
  <c r="D711" i="1"/>
  <c r="C711" i="2" s="1"/>
  <c r="D712" i="1"/>
  <c r="C712" i="2" s="1"/>
  <c r="D713" i="1"/>
  <c r="C713" i="2" s="1"/>
  <c r="D714" i="1"/>
  <c r="C714" i="2" s="1"/>
  <c r="D715" i="1"/>
  <c r="C715" i="2" s="1"/>
  <c r="D716" i="1"/>
  <c r="C716" i="2" s="1"/>
  <c r="D717" i="1"/>
  <c r="C717" i="2" s="1"/>
  <c r="D718" i="1"/>
  <c r="C718" i="2" s="1"/>
  <c r="D719" i="1"/>
  <c r="C719" i="2" s="1"/>
  <c r="D720" i="1"/>
  <c r="C720" i="2" s="1"/>
  <c r="D721" i="1"/>
  <c r="C721" i="2" s="1"/>
  <c r="D722" i="1"/>
  <c r="C722" i="2" s="1"/>
  <c r="D723" i="1"/>
  <c r="C723" i="2" s="1"/>
  <c r="D724" i="1"/>
  <c r="C724" i="2" s="1"/>
  <c r="D725" i="1"/>
  <c r="C725" i="2" s="1"/>
  <c r="D726" i="1"/>
  <c r="C726" i="2" s="1"/>
  <c r="D727" i="1"/>
  <c r="C727" i="2" s="1"/>
  <c r="D728" i="1"/>
  <c r="C728" i="2" s="1"/>
  <c r="D729" i="1"/>
  <c r="C729" i="2" s="1"/>
  <c r="D730" i="1"/>
  <c r="C730" i="2" s="1"/>
  <c r="D731" i="1"/>
  <c r="C731" i="2" s="1"/>
  <c r="D732" i="1"/>
  <c r="C732" i="2" s="1"/>
  <c r="D733" i="1"/>
  <c r="C733" i="2" s="1"/>
  <c r="D734" i="1"/>
  <c r="C734" i="2" s="1"/>
  <c r="D735" i="1"/>
  <c r="C735" i="2" s="1"/>
  <c r="D736" i="1"/>
  <c r="C736" i="2" s="1"/>
  <c r="D737" i="1"/>
  <c r="C737" i="2" s="1"/>
  <c r="D738" i="1"/>
  <c r="C738" i="2" s="1"/>
  <c r="D739" i="1"/>
  <c r="C739" i="2" s="1"/>
  <c r="D740" i="1"/>
  <c r="C740" i="2" s="1"/>
  <c r="D741" i="1"/>
  <c r="C741" i="2" s="1"/>
  <c r="D742" i="1"/>
  <c r="C742" i="2" s="1"/>
  <c r="D743" i="1"/>
  <c r="C743" i="2" s="1"/>
  <c r="D744" i="1"/>
  <c r="C744" i="2" s="1"/>
  <c r="D745" i="1"/>
  <c r="C745" i="2" s="1"/>
  <c r="D746" i="1"/>
  <c r="C746" i="2" s="1"/>
  <c r="D747" i="1"/>
  <c r="C747" i="2" s="1"/>
  <c r="D748" i="1"/>
  <c r="C748" i="2" s="1"/>
  <c r="D749" i="1"/>
  <c r="C749" i="2" s="1"/>
  <c r="D750" i="1"/>
  <c r="C750" i="2" s="1"/>
  <c r="D751" i="1"/>
  <c r="C751" i="2" s="1"/>
  <c r="D752" i="1"/>
  <c r="C752" i="2" s="1"/>
  <c r="D753" i="1"/>
  <c r="C753" i="2" s="1"/>
  <c r="D754" i="1"/>
  <c r="C754" i="2" s="1"/>
  <c r="D755" i="1"/>
  <c r="C755" i="2" s="1"/>
  <c r="D756" i="1"/>
  <c r="C756" i="2" s="1"/>
  <c r="D757" i="1"/>
  <c r="C757" i="2" s="1"/>
  <c r="D758" i="1"/>
  <c r="C758" i="2" s="1"/>
  <c r="D759" i="1"/>
  <c r="C759" i="2" s="1"/>
  <c r="D760" i="1"/>
  <c r="C760" i="2" s="1"/>
  <c r="D761" i="1"/>
  <c r="C761" i="2" s="1"/>
  <c r="D762" i="1"/>
  <c r="C762" i="2" s="1"/>
  <c r="D763" i="1"/>
  <c r="C763" i="2" s="1"/>
  <c r="D764" i="1"/>
  <c r="C764" i="2" s="1"/>
  <c r="D765" i="1"/>
  <c r="C765" i="2" s="1"/>
  <c r="D766" i="1"/>
  <c r="C766" i="2" s="1"/>
  <c r="D767" i="1"/>
  <c r="C767" i="2" s="1"/>
  <c r="D768" i="1"/>
  <c r="C768" i="2" s="1"/>
  <c r="D769" i="1"/>
  <c r="C769" i="2" s="1"/>
  <c r="D770" i="1"/>
  <c r="C770" i="2" s="1"/>
  <c r="D771" i="1"/>
  <c r="C771" i="2" s="1"/>
  <c r="D772" i="1"/>
  <c r="C772" i="2" s="1"/>
  <c r="D773" i="1"/>
  <c r="C773" i="2" s="1"/>
  <c r="D774" i="1"/>
  <c r="C774" i="2" s="1"/>
  <c r="D775" i="1"/>
  <c r="C775" i="2" s="1"/>
  <c r="D776" i="1"/>
  <c r="C776" i="2" s="1"/>
  <c r="D777" i="1"/>
  <c r="C777" i="2" s="1"/>
  <c r="D778" i="1"/>
  <c r="C778" i="2" s="1"/>
  <c r="D779" i="1"/>
  <c r="C779" i="2" s="1"/>
  <c r="D780" i="1"/>
  <c r="C780" i="2" s="1"/>
  <c r="D781" i="1"/>
  <c r="C781" i="2" s="1"/>
  <c r="D782" i="1"/>
  <c r="C782" i="2" s="1"/>
  <c r="D783" i="1"/>
  <c r="C783" i="2" s="1"/>
  <c r="D784" i="1"/>
  <c r="C784" i="2" s="1"/>
  <c r="D785" i="1"/>
  <c r="C785" i="2" s="1"/>
  <c r="D786" i="1"/>
  <c r="C786" i="2" s="1"/>
  <c r="D787" i="1"/>
  <c r="C787" i="2" s="1"/>
  <c r="D788" i="1"/>
  <c r="C788" i="2" s="1"/>
  <c r="D789" i="1"/>
  <c r="C789" i="2" s="1"/>
  <c r="D790" i="1"/>
  <c r="C790" i="2" s="1"/>
  <c r="D791" i="1"/>
  <c r="C791" i="2" s="1"/>
  <c r="D792" i="1"/>
  <c r="C792" i="2" s="1"/>
  <c r="D793" i="1"/>
  <c r="C793" i="2" s="1"/>
  <c r="D794" i="1"/>
  <c r="C794" i="2" s="1"/>
  <c r="D795" i="1"/>
  <c r="C795" i="2" s="1"/>
  <c r="D796" i="1"/>
  <c r="C796" i="2" s="1"/>
  <c r="D797" i="1"/>
  <c r="C797" i="2" s="1"/>
  <c r="D798" i="1"/>
  <c r="C798" i="2" s="1"/>
  <c r="D799" i="1"/>
  <c r="C799" i="2" s="1"/>
  <c r="D800" i="1"/>
  <c r="C800" i="2" s="1"/>
  <c r="D801" i="1"/>
  <c r="C801" i="2" s="1"/>
  <c r="D802" i="1"/>
  <c r="C802" i="2" s="1"/>
  <c r="D803" i="1"/>
  <c r="C803" i="2" s="1"/>
  <c r="D804" i="1"/>
  <c r="C804" i="2" s="1"/>
  <c r="D805" i="1"/>
  <c r="C805" i="2" s="1"/>
  <c r="D806" i="1"/>
  <c r="C806" i="2" s="1"/>
  <c r="D807" i="1"/>
  <c r="C807" i="2" s="1"/>
  <c r="D808" i="1"/>
  <c r="C808" i="2" s="1"/>
  <c r="D809" i="1"/>
  <c r="C809" i="2" s="1"/>
  <c r="D810" i="1"/>
  <c r="C810" i="2" s="1"/>
  <c r="D811" i="1"/>
  <c r="C811" i="2" s="1"/>
  <c r="D812" i="1"/>
  <c r="C812" i="2" s="1"/>
  <c r="D813" i="1"/>
  <c r="C813" i="2" s="1"/>
  <c r="D814" i="1"/>
  <c r="C814" i="2" s="1"/>
  <c r="D815" i="1"/>
  <c r="C815" i="2" s="1"/>
  <c r="D816" i="1"/>
  <c r="C816" i="2" s="1"/>
  <c r="D817" i="1"/>
  <c r="C817" i="2" s="1"/>
  <c r="D818" i="1"/>
  <c r="C818" i="2" s="1"/>
  <c r="D819" i="1"/>
  <c r="C819" i="2" s="1"/>
  <c r="D820" i="1"/>
  <c r="C820" i="2" s="1"/>
  <c r="D821" i="1"/>
  <c r="C821" i="2" s="1"/>
  <c r="D822" i="1"/>
  <c r="C822" i="2" s="1"/>
  <c r="D823" i="1"/>
  <c r="C823" i="2" s="1"/>
  <c r="D824" i="1"/>
  <c r="C824" i="2" s="1"/>
  <c r="D825" i="1"/>
  <c r="C825" i="2" s="1"/>
  <c r="D826" i="1"/>
  <c r="C826" i="2" s="1"/>
  <c r="D827" i="1"/>
  <c r="C827" i="2" s="1"/>
  <c r="D828" i="1"/>
  <c r="C828" i="2" s="1"/>
  <c r="D829" i="1"/>
  <c r="C829" i="2" s="1"/>
  <c r="D830" i="1"/>
  <c r="C830" i="2" s="1"/>
  <c r="D831" i="1"/>
  <c r="C831" i="2" s="1"/>
  <c r="D832" i="1"/>
  <c r="C832" i="2" s="1"/>
  <c r="D833" i="1"/>
  <c r="C833" i="2" s="1"/>
  <c r="D834" i="1"/>
  <c r="C834" i="2" s="1"/>
  <c r="D835" i="1"/>
  <c r="C835" i="2" s="1"/>
  <c r="D836" i="1"/>
  <c r="C836" i="2" s="1"/>
  <c r="D837" i="1"/>
  <c r="C837" i="2" s="1"/>
  <c r="D838" i="1"/>
  <c r="C838" i="2" s="1"/>
  <c r="D839" i="1"/>
  <c r="C839" i="2" s="1"/>
  <c r="D840" i="1"/>
  <c r="C840" i="2" s="1"/>
  <c r="D841" i="1"/>
  <c r="C841" i="2" s="1"/>
  <c r="D842" i="1"/>
  <c r="C842" i="2" s="1"/>
  <c r="D843" i="1"/>
  <c r="C843" i="2" s="1"/>
  <c r="D844" i="1"/>
  <c r="C844" i="2" s="1"/>
  <c r="D845" i="1"/>
  <c r="C845" i="2" s="1"/>
  <c r="D846" i="1"/>
  <c r="C846" i="2" s="1"/>
  <c r="D847" i="1"/>
  <c r="C847" i="2" s="1"/>
  <c r="D848" i="1"/>
  <c r="C848" i="2" s="1"/>
  <c r="D849" i="1"/>
  <c r="C849" i="2" s="1"/>
  <c r="D850" i="1"/>
  <c r="C850" i="2" s="1"/>
  <c r="D851" i="1"/>
  <c r="C851" i="2" s="1"/>
  <c r="D852" i="1"/>
  <c r="C852" i="2" s="1"/>
  <c r="D853" i="1"/>
  <c r="C853" i="2" s="1"/>
  <c r="D854" i="1"/>
  <c r="C854" i="2" s="1"/>
  <c r="D855" i="1"/>
  <c r="C855" i="2" s="1"/>
  <c r="D856" i="1"/>
  <c r="C856" i="2" s="1"/>
  <c r="D857" i="1"/>
  <c r="C857" i="2" s="1"/>
  <c r="D858" i="1"/>
  <c r="C858" i="2" s="1"/>
  <c r="D859" i="1"/>
  <c r="C859" i="2" s="1"/>
  <c r="D860" i="1"/>
  <c r="C860" i="2" s="1"/>
  <c r="D861" i="1"/>
  <c r="C861" i="2" s="1"/>
  <c r="D862" i="1"/>
  <c r="C862" i="2" s="1"/>
  <c r="D863" i="1"/>
  <c r="C863" i="2" s="1"/>
  <c r="D864" i="1"/>
  <c r="C864" i="2" s="1"/>
  <c r="D865" i="1"/>
  <c r="C865" i="2" s="1"/>
  <c r="D866" i="1"/>
  <c r="C866" i="2" s="1"/>
  <c r="D867" i="1"/>
  <c r="C867" i="2" s="1"/>
  <c r="D868" i="1"/>
  <c r="C868" i="2" s="1"/>
  <c r="D869" i="1"/>
  <c r="C869" i="2" s="1"/>
  <c r="D870" i="1"/>
  <c r="C870" i="2" s="1"/>
  <c r="D871" i="1"/>
  <c r="C871" i="2" s="1"/>
  <c r="D872" i="1"/>
  <c r="C872" i="2" s="1"/>
  <c r="D873" i="1"/>
  <c r="C873" i="2" s="1"/>
  <c r="D874" i="1"/>
  <c r="C874" i="2" s="1"/>
  <c r="D875" i="1"/>
  <c r="C875" i="2" s="1"/>
  <c r="D876" i="1"/>
  <c r="C876" i="2" s="1"/>
  <c r="D877" i="1"/>
  <c r="C877" i="2" s="1"/>
  <c r="D878" i="1"/>
  <c r="C878" i="2" s="1"/>
  <c r="D879" i="1"/>
  <c r="C879" i="2" s="1"/>
  <c r="D880" i="1"/>
  <c r="C880" i="2" s="1"/>
  <c r="D881" i="1"/>
  <c r="C881" i="2" s="1"/>
  <c r="D882" i="1"/>
  <c r="C882" i="2" s="1"/>
  <c r="D883" i="1"/>
  <c r="C883" i="2" s="1"/>
  <c r="D884" i="1"/>
  <c r="C884" i="2" s="1"/>
  <c r="D885" i="1"/>
  <c r="C885" i="2" s="1"/>
  <c r="D886" i="1"/>
  <c r="C886" i="2" s="1"/>
  <c r="D887" i="1"/>
  <c r="C887" i="2" s="1"/>
  <c r="D888" i="1"/>
  <c r="C888" i="2" s="1"/>
  <c r="D889" i="1"/>
  <c r="C889" i="2" s="1"/>
  <c r="D890" i="1"/>
  <c r="C890" i="2" s="1"/>
  <c r="D891" i="1"/>
  <c r="C891" i="2" s="1"/>
  <c r="D892" i="1"/>
  <c r="C892" i="2" s="1"/>
  <c r="D893" i="1"/>
  <c r="C893" i="2" s="1"/>
  <c r="D894" i="1"/>
  <c r="C894" i="2" s="1"/>
  <c r="D895" i="1"/>
  <c r="C895" i="2" s="1"/>
  <c r="D896" i="1"/>
  <c r="C896" i="2" s="1"/>
  <c r="D897" i="1"/>
  <c r="C897" i="2" s="1"/>
  <c r="D898" i="1"/>
  <c r="C898" i="2" s="1"/>
  <c r="D899" i="1"/>
  <c r="C899" i="2" s="1"/>
  <c r="D900" i="1"/>
  <c r="C900" i="2" s="1"/>
  <c r="D901" i="1"/>
  <c r="C901" i="2" s="1"/>
  <c r="D902" i="1"/>
  <c r="C902" i="2" s="1"/>
  <c r="D903" i="1"/>
  <c r="C903" i="2" s="1"/>
  <c r="D904" i="1"/>
  <c r="C904" i="2" s="1"/>
  <c r="D905" i="1"/>
  <c r="C905" i="2" s="1"/>
  <c r="D906" i="1"/>
  <c r="C906" i="2" s="1"/>
  <c r="D907" i="1"/>
  <c r="C907" i="2" s="1"/>
  <c r="D908" i="1"/>
  <c r="C908" i="2" s="1"/>
  <c r="D909" i="1"/>
  <c r="C909" i="2" s="1"/>
  <c r="D910" i="1"/>
  <c r="C910" i="2" s="1"/>
  <c r="D911" i="1"/>
  <c r="C911" i="2" s="1"/>
  <c r="D912" i="1"/>
  <c r="C912" i="2" s="1"/>
  <c r="D913" i="1"/>
  <c r="C913" i="2" s="1"/>
  <c r="D914" i="1"/>
  <c r="C914" i="2" s="1"/>
  <c r="D915" i="1"/>
  <c r="C915" i="2" s="1"/>
  <c r="D916" i="1"/>
  <c r="C916" i="2" s="1"/>
  <c r="D917" i="1"/>
  <c r="C917" i="2" s="1"/>
  <c r="D918" i="1"/>
  <c r="C918" i="2" s="1"/>
  <c r="D919" i="1"/>
  <c r="C919" i="2" s="1"/>
  <c r="D920" i="1"/>
  <c r="C920" i="2" s="1"/>
  <c r="D921" i="1"/>
  <c r="C921" i="2" s="1"/>
  <c r="D922" i="1"/>
  <c r="C922" i="2" s="1"/>
  <c r="D923" i="1"/>
  <c r="C923" i="2" s="1"/>
  <c r="D924" i="1"/>
  <c r="C924" i="2" s="1"/>
  <c r="D925" i="1"/>
  <c r="C925" i="2" s="1"/>
  <c r="D926" i="1"/>
  <c r="C926" i="2" s="1"/>
  <c r="D927" i="1"/>
  <c r="C927" i="2" s="1"/>
  <c r="D928" i="1"/>
  <c r="C928" i="2" s="1"/>
  <c r="D929" i="1"/>
  <c r="C929" i="2" s="1"/>
  <c r="D930" i="1"/>
  <c r="C930" i="2" s="1"/>
  <c r="D931" i="1"/>
  <c r="C931" i="2" s="1"/>
  <c r="D932" i="1"/>
  <c r="C932" i="2" s="1"/>
  <c r="D933" i="1"/>
  <c r="C933" i="2" s="1"/>
  <c r="D934" i="1"/>
  <c r="C934" i="2" s="1"/>
  <c r="D935" i="1"/>
  <c r="C935" i="2" s="1"/>
  <c r="D936" i="1"/>
  <c r="C936" i="2" s="1"/>
  <c r="D937" i="1"/>
  <c r="C937" i="2" s="1"/>
  <c r="D938" i="1"/>
  <c r="C938" i="2" s="1"/>
  <c r="D939" i="1"/>
  <c r="C939" i="2" s="1"/>
  <c r="D940" i="1"/>
  <c r="C940" i="2" s="1"/>
  <c r="D941" i="1"/>
  <c r="C941" i="2" s="1"/>
  <c r="D942" i="1"/>
  <c r="C942" i="2" s="1"/>
  <c r="D943" i="1"/>
  <c r="C943" i="2" s="1"/>
  <c r="D944" i="1"/>
  <c r="C944" i="2" s="1"/>
  <c r="D945" i="1"/>
  <c r="C945" i="2" s="1"/>
  <c r="D946" i="1"/>
  <c r="C946" i="2" s="1"/>
  <c r="D947" i="1"/>
  <c r="C947" i="2" s="1"/>
  <c r="D948" i="1"/>
  <c r="C948" i="2" s="1"/>
  <c r="D949" i="1"/>
  <c r="C949" i="2" s="1"/>
  <c r="D950" i="1"/>
  <c r="C950" i="2" s="1"/>
  <c r="D951" i="1"/>
  <c r="C951" i="2" s="1"/>
  <c r="D952" i="1"/>
  <c r="C952" i="2" s="1"/>
  <c r="D953" i="1"/>
  <c r="C953" i="2" s="1"/>
  <c r="D954" i="1"/>
  <c r="C954" i="2" s="1"/>
  <c r="D955" i="1"/>
  <c r="C955" i="2" s="1"/>
  <c r="D956" i="1"/>
  <c r="C956" i="2" s="1"/>
  <c r="D957" i="1"/>
  <c r="C957" i="2" s="1"/>
  <c r="D958" i="1"/>
  <c r="C958" i="2" s="1"/>
  <c r="D959" i="1"/>
  <c r="C959" i="2" s="1"/>
  <c r="D960" i="1"/>
  <c r="C960" i="2" s="1"/>
  <c r="D961" i="1"/>
  <c r="C961" i="2" s="1"/>
  <c r="D962" i="1"/>
  <c r="C962" i="2" s="1"/>
  <c r="D963" i="1"/>
  <c r="C963" i="2" s="1"/>
  <c r="D964" i="1"/>
  <c r="C964" i="2" s="1"/>
  <c r="D965" i="1"/>
  <c r="C965" i="2" s="1"/>
  <c r="D966" i="1"/>
  <c r="C966" i="2" s="1"/>
  <c r="D967" i="1"/>
  <c r="C967" i="2" s="1"/>
  <c r="D968" i="1"/>
  <c r="C968" i="2" s="1"/>
  <c r="D969" i="1"/>
  <c r="C969" i="2" s="1"/>
  <c r="D970" i="1"/>
  <c r="C970" i="2" s="1"/>
  <c r="D971" i="1"/>
  <c r="C971" i="2" s="1"/>
  <c r="D972" i="1"/>
  <c r="C972" i="2" s="1"/>
  <c r="D973" i="1"/>
  <c r="C973" i="2" s="1"/>
  <c r="D974" i="1"/>
  <c r="C974" i="2" s="1"/>
  <c r="D975" i="1"/>
  <c r="C975" i="2" s="1"/>
  <c r="D976" i="1"/>
  <c r="C976" i="2" s="1"/>
  <c r="D977" i="1"/>
  <c r="C977" i="2" s="1"/>
  <c r="D978" i="1"/>
  <c r="C978" i="2" s="1"/>
  <c r="D979" i="1"/>
  <c r="C979" i="2" s="1"/>
  <c r="D980" i="1"/>
  <c r="C980" i="2" s="1"/>
  <c r="D981" i="1"/>
  <c r="C981" i="2" s="1"/>
  <c r="D982" i="1"/>
  <c r="C982" i="2" s="1"/>
  <c r="D983" i="1"/>
  <c r="C983" i="2" s="1"/>
  <c r="D984" i="1"/>
  <c r="C984" i="2" s="1"/>
  <c r="D985" i="1"/>
  <c r="C985" i="2" s="1"/>
  <c r="D986" i="1"/>
  <c r="C986" i="2" s="1"/>
  <c r="D987" i="1"/>
  <c r="C987" i="2" s="1"/>
  <c r="D988" i="1"/>
  <c r="C988" i="2" s="1"/>
  <c r="D989" i="1"/>
  <c r="C989" i="2" s="1"/>
  <c r="D990" i="1"/>
  <c r="C990" i="2" s="1"/>
  <c r="D991" i="1"/>
  <c r="C991" i="2" s="1"/>
  <c r="D992" i="1"/>
  <c r="C992" i="2" s="1"/>
  <c r="D993" i="1"/>
  <c r="C993" i="2" s="1"/>
  <c r="D994" i="1"/>
  <c r="C994" i="2" s="1"/>
  <c r="D995" i="1"/>
  <c r="C995" i="2" s="1"/>
  <c r="D996" i="1"/>
  <c r="C996" i="2" s="1"/>
  <c r="D997" i="1"/>
  <c r="C997" i="2" s="1"/>
  <c r="D998" i="1"/>
  <c r="C998" i="2" s="1"/>
  <c r="D999" i="1"/>
  <c r="C999" i="2" s="1"/>
  <c r="D1000" i="1"/>
  <c r="C1000" i="2" s="1"/>
  <c r="D1001" i="1"/>
  <c r="C1001" i="2" s="1"/>
  <c r="D6" i="1"/>
  <c r="C6" i="2" s="1"/>
  <c r="D7" i="1"/>
  <c r="C7" i="2" s="1"/>
  <c r="D8" i="1"/>
  <c r="C8" i="2" s="1"/>
  <c r="D9" i="1"/>
  <c r="C9" i="2" s="1"/>
  <c r="D10" i="1"/>
  <c r="C10" i="2" s="1"/>
  <c r="D11" i="1"/>
  <c r="C11" i="2" s="1"/>
  <c r="D12" i="1"/>
  <c r="C12" i="2" s="1"/>
  <c r="D13" i="1"/>
  <c r="C13" i="2" s="1"/>
  <c r="D14" i="1"/>
  <c r="C14" i="2" s="1"/>
  <c r="D15" i="1"/>
  <c r="C15" i="2" s="1"/>
  <c r="D16" i="1"/>
  <c r="C16" i="2" s="1"/>
  <c r="D17" i="1"/>
  <c r="C17" i="2" s="1"/>
  <c r="D18" i="1"/>
  <c r="C18" i="2" s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3" i="1"/>
  <c r="C3" i="2" s="1"/>
  <c r="D4" i="1"/>
  <c r="C4" i="2" s="1"/>
  <c r="D5" i="1"/>
  <c r="C5" i="2" s="1"/>
  <c r="D2" i="1"/>
  <c r="C2" i="2" s="1"/>
  <c r="S624" i="1" l="1"/>
  <c r="L624" i="2" s="1"/>
  <c r="S53" i="1"/>
  <c r="L53" i="2" s="1"/>
  <c r="S62" i="1"/>
  <c r="L62" i="2" s="1"/>
  <c r="S73" i="1"/>
  <c r="L73" i="2" s="1"/>
  <c r="S81" i="1"/>
  <c r="L81" i="2" s="1"/>
  <c r="S90" i="1"/>
  <c r="L90" i="2" s="1"/>
  <c r="S2" i="1"/>
  <c r="L2" i="2" s="1"/>
  <c r="S113" i="1"/>
  <c r="L113" i="2" s="1"/>
  <c r="S122" i="1"/>
  <c r="L122" i="2" s="1"/>
  <c r="S31" i="1"/>
  <c r="L31" i="2" s="1"/>
  <c r="S40" i="1"/>
  <c r="L40" i="2" s="1"/>
  <c r="S50" i="1"/>
  <c r="L50" i="2" s="1"/>
  <c r="S63" i="1"/>
  <c r="L63" i="2" s="1"/>
  <c r="S69" i="1"/>
  <c r="L69" i="2" s="1"/>
  <c r="S76" i="1"/>
  <c r="L76" i="2" s="1"/>
  <c r="S86" i="1"/>
  <c r="L86" i="2" s="1"/>
  <c r="S116" i="1"/>
  <c r="L116" i="2" s="1"/>
  <c r="S24" i="1"/>
  <c r="L24" i="2" s="1"/>
  <c r="S37" i="1"/>
  <c r="L37" i="2" s="1"/>
  <c r="S44" i="1"/>
  <c r="L44" i="2" s="1"/>
  <c r="S70" i="1"/>
  <c r="L70" i="2" s="1"/>
  <c r="S79" i="1"/>
  <c r="L79" i="2" s="1"/>
  <c r="S88" i="1"/>
  <c r="L88" i="2" s="1"/>
  <c r="S108" i="1"/>
  <c r="L108" i="2" s="1"/>
  <c r="S115" i="1"/>
  <c r="L115" i="2" s="1"/>
  <c r="S120" i="1"/>
  <c r="L120" i="2" s="1"/>
  <c r="S125" i="1"/>
  <c r="L125" i="2" s="1"/>
  <c r="S42" i="1"/>
  <c r="L42" i="2" s="1"/>
  <c r="S32" i="1"/>
  <c r="L32" i="2" s="1"/>
  <c r="S481" i="1"/>
  <c r="L481" i="2" s="1"/>
  <c r="S924" i="1"/>
  <c r="L924" i="2" s="1"/>
  <c r="S925" i="1"/>
  <c r="L925" i="2" s="1"/>
  <c r="S487" i="1"/>
  <c r="L487" i="2" s="1"/>
  <c r="S489" i="1"/>
  <c r="L489" i="2" s="1"/>
  <c r="S929" i="1"/>
  <c r="L929" i="2" s="1"/>
  <c r="S493" i="1"/>
  <c r="L493" i="2" s="1"/>
  <c r="S509" i="1"/>
  <c r="L509" i="2" s="1"/>
  <c r="S516" i="1"/>
  <c r="L516" i="2" s="1"/>
  <c r="S522" i="1"/>
  <c r="L522" i="2" s="1"/>
  <c r="S529" i="1"/>
  <c r="L529" i="2" s="1"/>
  <c r="S534" i="1"/>
  <c r="L534" i="2" s="1"/>
  <c r="S542" i="1"/>
  <c r="L542" i="2" s="1"/>
  <c r="S555" i="1"/>
  <c r="L555" i="2" s="1"/>
  <c r="S557" i="1"/>
  <c r="L557" i="2" s="1"/>
  <c r="S559" i="1"/>
  <c r="L559" i="2" s="1"/>
  <c r="S942" i="1"/>
  <c r="L942" i="2" s="1"/>
  <c r="S566" i="1"/>
  <c r="L566" i="2" s="1"/>
  <c r="S573" i="1"/>
  <c r="L573" i="2" s="1"/>
  <c r="S584" i="1"/>
  <c r="L584" i="2" s="1"/>
  <c r="S588" i="1"/>
  <c r="L588" i="2" s="1"/>
  <c r="S589" i="1"/>
  <c r="L589" i="2" s="1"/>
  <c r="S591" i="1"/>
  <c r="L591" i="2" s="1"/>
  <c r="S593" i="1"/>
  <c r="L593" i="2" s="1"/>
  <c r="S600" i="1"/>
  <c r="L600" i="2" s="1"/>
  <c r="S609" i="1"/>
  <c r="L609" i="2" s="1"/>
  <c r="S613" i="1"/>
  <c r="L613" i="2" s="1"/>
  <c r="S615" i="1"/>
  <c r="L615" i="2" s="1"/>
  <c r="S623" i="1"/>
  <c r="L623" i="2" s="1"/>
  <c r="S633" i="1"/>
  <c r="L633" i="2" s="1"/>
  <c r="S634" i="1"/>
  <c r="L634" i="2" s="1"/>
  <c r="S645" i="1"/>
  <c r="L645" i="2" s="1"/>
  <c r="S653" i="1"/>
  <c r="L653" i="2" s="1"/>
  <c r="S961" i="1"/>
  <c r="L961" i="2" s="1"/>
  <c r="S663" i="1"/>
  <c r="L663" i="2" s="1"/>
  <c r="S664" i="1"/>
  <c r="L664" i="2" s="1"/>
  <c r="S668" i="1"/>
  <c r="L668" i="2" s="1"/>
  <c r="S966" i="1"/>
  <c r="L966" i="2" s="1"/>
  <c r="S676" i="1"/>
  <c r="L676" i="2" s="1"/>
  <c r="S680" i="1"/>
  <c r="L680" i="2" s="1"/>
  <c r="S691" i="1"/>
  <c r="L691" i="2" s="1"/>
  <c r="S970" i="1"/>
  <c r="L970" i="2" s="1"/>
  <c r="S695" i="1"/>
  <c r="L695" i="2" s="1"/>
  <c r="S709" i="1"/>
  <c r="L709" i="2" s="1"/>
  <c r="S711" i="1"/>
  <c r="L711" i="2" s="1"/>
  <c r="S714" i="1"/>
  <c r="L714" i="2" s="1"/>
  <c r="S715" i="1"/>
  <c r="L715" i="2" s="1"/>
  <c r="S717" i="1"/>
  <c r="L717" i="2" s="1"/>
  <c r="S718" i="1"/>
  <c r="L718" i="2" s="1"/>
  <c r="S978" i="1"/>
  <c r="L978" i="2" s="1"/>
  <c r="S719" i="1"/>
  <c r="L719" i="2" s="1"/>
  <c r="S720" i="1"/>
  <c r="L720" i="2" s="1"/>
  <c r="S721" i="1"/>
  <c r="L721" i="2" s="1"/>
  <c r="S982" i="1"/>
  <c r="L982" i="2" s="1"/>
  <c r="S723" i="1"/>
  <c r="L723" i="2" s="1"/>
  <c r="S724" i="1"/>
  <c r="L724" i="2" s="1"/>
  <c r="S744" i="1"/>
  <c r="L744" i="2" s="1"/>
  <c r="S758" i="1"/>
  <c r="L758" i="2" s="1"/>
  <c r="S770" i="1"/>
  <c r="L770" i="2" s="1"/>
  <c r="S783" i="1"/>
  <c r="L783" i="2" s="1"/>
  <c r="S796" i="1"/>
  <c r="L796" i="2" s="1"/>
  <c r="S809" i="1"/>
  <c r="L809" i="2" s="1"/>
  <c r="S811" i="1"/>
  <c r="L811" i="2" s="1"/>
  <c r="S820" i="1"/>
  <c r="L820" i="2" s="1"/>
  <c r="S831" i="1"/>
  <c r="L831" i="2" s="1"/>
  <c r="S140" i="1"/>
  <c r="L140" i="2" s="1"/>
  <c r="S151" i="1"/>
  <c r="L151" i="2" s="1"/>
  <c r="S152" i="1"/>
  <c r="L152" i="2" s="1"/>
  <c r="S7" i="1"/>
  <c r="L7" i="2" s="1"/>
  <c r="S154" i="1"/>
  <c r="L154" i="2" s="1"/>
  <c r="S837" i="1"/>
  <c r="L837" i="2" s="1"/>
  <c r="S158" i="1"/>
  <c r="L158" i="2" s="1"/>
  <c r="S11" i="1"/>
  <c r="L11" i="2" s="1"/>
  <c r="S164" i="1"/>
  <c r="L164" i="2" s="1"/>
  <c r="S174" i="1"/>
  <c r="L174" i="2" s="1"/>
  <c r="S188" i="1"/>
  <c r="L188" i="2" s="1"/>
  <c r="S191" i="1"/>
  <c r="L191" i="2" s="1"/>
  <c r="S844" i="1"/>
  <c r="L844" i="2" s="1"/>
  <c r="S3" i="1"/>
  <c r="L3" i="2" s="1"/>
  <c r="S198" i="1"/>
  <c r="L198" i="2" s="1"/>
  <c r="S221" i="1"/>
  <c r="L221" i="2" s="1"/>
  <c r="S222" i="1"/>
  <c r="L222" i="2" s="1"/>
  <c r="S848" i="1"/>
  <c r="L848" i="2" s="1"/>
  <c r="S227" i="1"/>
  <c r="L227" i="2" s="1"/>
  <c r="S850" i="1"/>
  <c r="L850" i="2" s="1"/>
  <c r="S232" i="1"/>
  <c r="L232" i="2" s="1"/>
  <c r="S853" i="1"/>
  <c r="L853" i="2" s="1"/>
  <c r="S235" i="1"/>
  <c r="L235" i="2" s="1"/>
  <c r="S855" i="1"/>
  <c r="L855" i="2" s="1"/>
  <c r="S856" i="1"/>
  <c r="L856" i="2" s="1"/>
  <c r="S237" i="1"/>
  <c r="L237" i="2" s="1"/>
  <c r="S241" i="1"/>
  <c r="L241" i="2" s="1"/>
  <c r="S242" i="1"/>
  <c r="L242" i="2" s="1"/>
  <c r="S249" i="1"/>
  <c r="L249" i="2" s="1"/>
  <c r="S251" i="1"/>
  <c r="L251" i="2" s="1"/>
  <c r="S255" i="1"/>
  <c r="L255" i="2" s="1"/>
  <c r="S269" i="1"/>
  <c r="L269" i="2" s="1"/>
  <c r="S286" i="1"/>
  <c r="L286" i="2" s="1"/>
  <c r="S287" i="1"/>
  <c r="L287" i="2" s="1"/>
  <c r="S295" i="1"/>
  <c r="L295" i="2" s="1"/>
  <c r="S306" i="1"/>
  <c r="L306" i="2" s="1"/>
  <c r="S869" i="1"/>
  <c r="L869" i="2" s="1"/>
  <c r="S312" i="1"/>
  <c r="L312" i="2" s="1"/>
  <c r="S318" i="1"/>
  <c r="L318" i="2" s="1"/>
  <c r="S320" i="1"/>
  <c r="L320" i="2" s="1"/>
  <c r="S322" i="1"/>
  <c r="L322" i="2" s="1"/>
  <c r="S874" i="1"/>
  <c r="L874" i="2" s="1"/>
  <c r="S323" i="1"/>
  <c r="L323" i="2" s="1"/>
  <c r="S329" i="1"/>
  <c r="L329" i="2" s="1"/>
  <c r="S335" i="1"/>
  <c r="L335" i="2" s="1"/>
  <c r="S341" i="1"/>
  <c r="L341" i="2" s="1"/>
  <c r="S879" i="1"/>
  <c r="L879" i="2" s="1"/>
  <c r="S342" i="1"/>
  <c r="L342" i="2" s="1"/>
  <c r="S881" i="1"/>
  <c r="L881" i="2" s="1"/>
  <c r="S882" i="1"/>
  <c r="L882" i="2" s="1"/>
  <c r="S344" i="1"/>
  <c r="L344" i="2" s="1"/>
  <c r="S350" i="1"/>
  <c r="L350" i="2" s="1"/>
  <c r="S366" i="1"/>
  <c r="L366" i="2" s="1"/>
  <c r="S369" i="1"/>
  <c r="L369" i="2" s="1"/>
  <c r="S371" i="1"/>
  <c r="L371" i="2" s="1"/>
  <c r="S375" i="1"/>
  <c r="L375" i="2" s="1"/>
  <c r="S389" i="1"/>
  <c r="L389" i="2" s="1"/>
  <c r="S392" i="1"/>
  <c r="L392" i="2" s="1"/>
  <c r="S891" i="1"/>
  <c r="L891" i="2" s="1"/>
  <c r="S395" i="1"/>
  <c r="L395" i="2" s="1"/>
  <c r="S396" i="1"/>
  <c r="L396" i="2" s="1"/>
  <c r="S236" i="1"/>
  <c r="L236" i="2" s="1"/>
  <c r="S414" i="1"/>
  <c r="L414" i="2" s="1"/>
  <c r="S899" i="1"/>
  <c r="L899" i="2" s="1"/>
  <c r="S900" i="1"/>
  <c r="L900" i="2" s="1"/>
  <c r="S416" i="1"/>
  <c r="L416" i="2" s="1"/>
  <c r="S425" i="1"/>
  <c r="L425" i="2" s="1"/>
  <c r="S904" i="1"/>
  <c r="L904" i="2" s="1"/>
  <c r="S905" i="1"/>
  <c r="L905" i="2" s="1"/>
  <c r="S426" i="1"/>
  <c r="L426" i="2" s="1"/>
  <c r="S433" i="1"/>
  <c r="L433" i="2" s="1"/>
  <c r="S447" i="1"/>
  <c r="L447" i="2" s="1"/>
  <c r="S454" i="1"/>
  <c r="L454" i="2" s="1"/>
  <c r="S912" i="1"/>
  <c r="L912" i="2" s="1"/>
  <c r="S913" i="1"/>
  <c r="L913" i="2" s="1"/>
  <c r="S456" i="1"/>
  <c r="L456" i="2" s="1"/>
  <c r="S458" i="1"/>
  <c r="L458" i="2" s="1"/>
  <c r="S460" i="1"/>
  <c r="L460" i="2" s="1"/>
  <c r="S466" i="1"/>
  <c r="L466" i="2" s="1"/>
  <c r="S474" i="1"/>
  <c r="L474" i="2" s="1"/>
  <c r="S475" i="1"/>
  <c r="L475" i="2" s="1"/>
  <c r="S478" i="1"/>
  <c r="L478" i="2" s="1"/>
  <c r="S479" i="1"/>
  <c r="L479" i="2" s="1"/>
  <c r="S920" i="1"/>
  <c r="L920" i="2" s="1"/>
</calcChain>
</file>

<file path=xl/sharedStrings.xml><?xml version="1.0" encoding="utf-8"?>
<sst xmlns="http://schemas.openxmlformats.org/spreadsheetml/2006/main" count="8108" uniqueCount="2071">
  <si>
    <t>FL250001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</si>
  <si>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</si>
  <si>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</si>
  <si>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</si>
  <si>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</si>
  <si>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</si>
  <si>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</si>
  <si>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</si>
  <si>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</si>
  <si>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</si>
  <si>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</si>
  <si>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FL250003</t>
  </si>
  <si>
    <t>Juan Nelson</t>
  </si>
  <si>
    <t>male</t>
  </si>
  <si>
    <t>Germany</t>
  </si>
  <si>
    <t>German</t>
  </si>
  <si>
    <t>Graphic Design</t>
  </si>
  <si>
    <t>FL250004</t>
  </si>
  <si>
    <t>Amanda Spencer</t>
  </si>
  <si>
    <t>F</t>
  </si>
  <si>
    <t>Web Development</t>
  </si>
  <si>
    <t>FL250005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</si>
  <si>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</si>
  <si>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</si>
  <si>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</si>
  <si>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</si>
  <si>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</si>
  <si>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</si>
  <si>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</si>
  <si>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</si>
  <si>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</si>
  <si>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</si>
  <si>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</si>
  <si>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</si>
  <si>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</si>
  <si>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</si>
  <si>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</si>
  <si>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</si>
  <si>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</si>
  <si>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</si>
  <si>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</si>
  <si>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</si>
  <si>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</si>
  <si>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</si>
  <si>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FL250011</t>
  </si>
  <si>
    <t>Gavin Randall</t>
  </si>
  <si>
    <t>United Kingdom</t>
  </si>
  <si>
    <t>yes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</si>
  <si>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</si>
  <si>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</si>
  <si>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</si>
  <si>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</si>
  <si>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</si>
  <si>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</si>
  <si>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</si>
  <si>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</si>
  <si>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</si>
  <si>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</si>
  <si>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</si>
  <si>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</si>
  <si>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</si>
  <si>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</si>
  <si>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</si>
  <si>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</si>
  <si>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</si>
  <si>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</si>
  <si>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</si>
  <si>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</si>
  <si>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</si>
  <si>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</si>
  <si>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</si>
  <si>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</si>
  <si>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</si>
  <si>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</si>
  <si>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</si>
  <si>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</si>
  <si>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</si>
  <si>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</si>
  <si>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</si>
  <si>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</si>
  <si>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</si>
  <si>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</si>
  <si>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</si>
  <si>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</si>
  <si>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</si>
  <si>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</si>
  <si>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</si>
  <si>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</si>
  <si>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</si>
  <si>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</si>
  <si>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</si>
  <si>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</si>
  <si>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</si>
  <si>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</si>
  <si>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</si>
  <si>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</si>
  <si>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</si>
  <si>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</si>
  <si>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</si>
  <si>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</si>
  <si>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</si>
  <si>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</si>
  <si>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</si>
  <si>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</si>
  <si>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</si>
  <si>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</si>
  <si>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</si>
  <si>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</si>
  <si>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</si>
  <si>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</si>
  <si>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</si>
  <si>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</si>
  <si>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</si>
  <si>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</si>
  <si>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</si>
  <si>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</si>
  <si>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</si>
  <si>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</si>
  <si>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</si>
  <si>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</si>
  <si>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</si>
  <si>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</si>
  <si>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</si>
  <si>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</si>
  <si>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</si>
  <si>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</si>
  <si>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</si>
  <si>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</si>
  <si>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</si>
  <si>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</si>
  <si>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</si>
  <si>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</si>
  <si>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</si>
  <si>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</si>
  <si>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</si>
  <si>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</si>
  <si>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</si>
  <si>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</si>
  <si>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</si>
  <si>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</si>
  <si>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</si>
  <si>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</si>
  <si>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</si>
  <si>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</si>
  <si>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</si>
  <si>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</si>
  <si>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</si>
  <si>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</si>
  <si>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</si>
  <si>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</si>
  <si>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</si>
  <si>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</si>
  <si>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</si>
  <si>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</si>
  <si>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</si>
  <si>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</si>
  <si>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</si>
  <si>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</si>
  <si>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</si>
  <si>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</si>
  <si>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</si>
  <si>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</si>
  <si>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</si>
  <si>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</si>
  <si>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</si>
  <si>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</si>
  <si>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</si>
  <si>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</si>
  <si>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</si>
  <si>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</si>
  <si>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</si>
  <si>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</si>
  <si>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</si>
  <si>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</si>
  <si>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</si>
  <si>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</si>
  <si>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</si>
  <si>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</si>
  <si>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</si>
  <si>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</si>
  <si>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</si>
  <si>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</si>
  <si>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</si>
  <si>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</si>
  <si>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</si>
  <si>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</si>
  <si>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</si>
  <si>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</si>
  <si>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</si>
  <si>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</si>
  <si>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</si>
  <si>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</si>
  <si>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</si>
  <si>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</si>
  <si>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</si>
  <si>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</si>
  <si>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</si>
  <si>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</si>
  <si>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</si>
  <si>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</si>
  <si>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</si>
  <si>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</si>
  <si>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</si>
  <si>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</si>
  <si>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</si>
  <si>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</si>
  <si>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</si>
  <si>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</si>
  <si>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</si>
  <si>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</si>
  <si>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</si>
  <si>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</si>
  <si>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</si>
  <si>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</si>
  <si>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</si>
  <si>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</si>
  <si>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</si>
  <si>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</si>
  <si>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</si>
  <si>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</si>
  <si>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</si>
  <si>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</si>
  <si>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</si>
  <si>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</si>
  <si>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</si>
  <si>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</si>
  <si>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</si>
  <si>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</si>
  <si>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</si>
  <si>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</si>
  <si>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</si>
  <si>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</si>
  <si>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</si>
  <si>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</si>
  <si>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</si>
  <si>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</si>
  <si>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</si>
  <si>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</si>
  <si>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</si>
  <si>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</si>
  <si>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</si>
  <si>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</si>
  <si>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</si>
  <si>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</si>
  <si>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</si>
  <si>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</si>
  <si>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</si>
  <si>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</si>
  <si>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</si>
  <si>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</si>
  <si>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</si>
  <si>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</si>
  <si>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</si>
  <si>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</si>
  <si>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</si>
  <si>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</si>
  <si>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</si>
  <si>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</si>
  <si>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</si>
  <si>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</si>
  <si>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</si>
  <si>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</si>
  <si>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</si>
  <si>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</si>
  <si>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</si>
  <si>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</si>
  <si>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</si>
  <si>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</si>
  <si>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</si>
  <si>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</si>
  <si>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</si>
  <si>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</si>
  <si>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</si>
  <si>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</si>
  <si>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</si>
  <si>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</si>
  <si>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</si>
  <si>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</si>
  <si>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</si>
  <si>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</si>
  <si>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</si>
  <si>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</si>
  <si>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</si>
  <si>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</si>
  <si>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</si>
  <si>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</si>
  <si>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</si>
  <si>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</si>
  <si>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</si>
  <si>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</si>
  <si>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</si>
  <si>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</si>
  <si>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</si>
  <si>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</si>
  <si>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</si>
  <si>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</si>
  <si>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</si>
  <si>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</si>
  <si>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</si>
  <si>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</si>
  <si>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</si>
  <si>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</si>
  <si>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</si>
  <si>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</si>
  <si>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</si>
  <si>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</si>
  <si>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</si>
  <si>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</si>
  <si>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</si>
  <si>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</si>
  <si>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</si>
  <si>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</si>
  <si>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</si>
  <si>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</si>
  <si>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</si>
  <si>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</si>
  <si>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</si>
  <si>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</si>
  <si>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</si>
  <si>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</si>
  <si>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</si>
  <si>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</si>
  <si>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</si>
  <si>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</si>
  <si>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</si>
  <si>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</si>
  <si>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</si>
  <si>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</si>
  <si>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</si>
  <si>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</si>
  <si>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</si>
  <si>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</si>
  <si>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</si>
  <si>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</si>
  <si>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</si>
  <si>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</si>
  <si>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</si>
  <si>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</si>
  <si>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</si>
  <si>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</si>
  <si>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</si>
  <si>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</si>
  <si>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</si>
  <si>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</si>
  <si>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</si>
  <si>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</si>
  <si>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</si>
  <si>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</si>
  <si>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</si>
  <si>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</si>
  <si>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</si>
  <si>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</si>
  <si>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</si>
  <si>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</si>
  <si>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</si>
  <si>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</si>
  <si>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</si>
  <si>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</si>
  <si>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</si>
  <si>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</si>
  <si>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</si>
  <si>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</si>
  <si>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</si>
  <si>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</si>
  <si>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</si>
  <si>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</si>
  <si>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</si>
  <si>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</si>
  <si>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</si>
  <si>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</si>
  <si>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</si>
  <si>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</si>
  <si>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</si>
  <si>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</si>
  <si>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</si>
  <si>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</si>
  <si>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</si>
  <si>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</si>
  <si>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</si>
  <si>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</si>
  <si>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</si>
  <si>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</si>
  <si>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</si>
  <si>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</si>
  <si>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</si>
  <si>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</si>
  <si>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</si>
  <si>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</si>
  <si>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</si>
  <si>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</si>
  <si>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</si>
  <si>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</si>
  <si>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</si>
  <si>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</si>
  <si>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</si>
  <si>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</si>
  <si>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</si>
  <si>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</si>
  <si>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</si>
  <si>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</si>
  <si>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</si>
  <si>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</si>
  <si>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</si>
  <si>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</si>
  <si>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</si>
  <si>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</si>
  <si>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</si>
  <si>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</si>
  <si>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</si>
  <si>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</si>
  <si>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</si>
  <si>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</si>
  <si>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</si>
  <si>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</si>
  <si>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</si>
  <si>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</si>
  <si>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</si>
  <si>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</si>
  <si>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</si>
  <si>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</si>
  <si>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</si>
  <si>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</si>
  <si>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</si>
  <si>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</si>
  <si>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</si>
  <si>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</si>
  <si>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</si>
  <si>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</si>
  <si>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</si>
  <si>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</si>
  <si>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</si>
  <si>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</si>
  <si>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</si>
  <si>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</si>
  <si>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</si>
  <si>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</si>
  <si>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</si>
  <si>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</si>
  <si>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</si>
  <si>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</si>
  <si>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</si>
  <si>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</si>
  <si>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</si>
  <si>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</si>
  <si>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</si>
  <si>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</si>
  <si>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</si>
  <si>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</si>
  <si>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</si>
  <si>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</si>
  <si>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</si>
  <si>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</si>
  <si>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</si>
  <si>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</si>
  <si>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</si>
  <si>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</si>
  <si>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</si>
  <si>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</si>
  <si>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</si>
  <si>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</si>
  <si>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</si>
  <si>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</si>
  <si>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</si>
  <si>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</si>
  <si>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</si>
  <si>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</si>
  <si>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</si>
  <si>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</si>
  <si>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</si>
  <si>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</si>
  <si>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</si>
  <si>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</si>
  <si>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</si>
  <si>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</si>
  <si>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</si>
  <si>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</si>
  <si>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</si>
  <si>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</si>
  <si>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</si>
  <si>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</si>
  <si>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</si>
  <si>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</si>
  <si>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</si>
  <si>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</si>
  <si>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</si>
  <si>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</si>
  <si>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</si>
  <si>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</si>
  <si>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</si>
  <si>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</si>
  <si>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</si>
  <si>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</si>
  <si>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</si>
  <si>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</si>
  <si>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</si>
  <si>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</si>
  <si>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</si>
  <si>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</si>
  <si>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</si>
  <si>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</si>
  <si>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</si>
  <si>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</si>
  <si>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</si>
  <si>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</si>
  <si>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</si>
  <si>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</si>
  <si>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</si>
  <si>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</si>
  <si>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</si>
  <si>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</si>
  <si>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</si>
  <si>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</si>
  <si>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</si>
  <si>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</si>
  <si>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</si>
  <si>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</si>
  <si>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</si>
  <si>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</si>
  <si>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</si>
  <si>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</si>
  <si>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</si>
  <si>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</si>
  <si>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</si>
  <si>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</si>
  <si>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</si>
  <si>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</si>
  <si>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</si>
  <si>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</si>
  <si>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</si>
  <si>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</si>
  <si>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</si>
  <si>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</si>
  <si>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</si>
  <si>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</si>
  <si>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</si>
  <si>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</si>
  <si>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</si>
  <si>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</si>
  <si>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</si>
  <si>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</si>
  <si>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</si>
  <si>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</si>
  <si>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</si>
  <si>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</si>
  <si>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</si>
  <si>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</si>
  <si>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</si>
  <si>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</si>
  <si>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</si>
  <si>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</si>
  <si>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</si>
  <si>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</si>
  <si>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</si>
  <si>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</si>
  <si>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</si>
  <si>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</si>
  <si>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</si>
  <si>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</si>
  <si>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</si>
  <si>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</si>
  <si>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</si>
  <si>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</si>
  <si>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</si>
  <si>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</si>
  <si>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</si>
  <si>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</si>
  <si>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</si>
  <si>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</si>
  <si>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</si>
  <si>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</si>
  <si>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</si>
  <si>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</si>
  <si>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</si>
  <si>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</si>
  <si>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</si>
  <si>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</si>
  <si>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</si>
  <si>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</si>
  <si>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</si>
  <si>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</si>
  <si>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</si>
  <si>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</si>
  <si>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</si>
  <si>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</si>
  <si>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</si>
  <si>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</si>
  <si>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</si>
  <si>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</si>
  <si>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</si>
  <si>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</si>
  <si>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</si>
  <si>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</si>
  <si>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</si>
  <si>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</si>
  <si>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</si>
  <si>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</si>
  <si>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</si>
  <si>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</si>
  <si>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</si>
  <si>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</si>
  <si>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</si>
  <si>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</si>
  <si>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</si>
  <si>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</si>
  <si>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</si>
  <si>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</si>
  <si>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</si>
  <si>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</si>
  <si>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</si>
  <si>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</si>
  <si>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</si>
  <si>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</si>
  <si>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</si>
  <si>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</si>
  <si>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</si>
  <si>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</si>
  <si>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</si>
  <si>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</si>
  <si>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</si>
  <si>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</si>
  <si>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</si>
  <si>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</si>
  <si>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</si>
  <si>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</si>
  <si>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</si>
  <si>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</si>
  <si>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</si>
  <si>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</si>
  <si>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</si>
  <si>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</si>
  <si>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</si>
  <si>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</si>
  <si>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</si>
  <si>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</si>
  <si>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</si>
  <si>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</si>
  <si>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</si>
  <si>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</si>
  <si>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</si>
  <si>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</si>
  <si>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</si>
  <si>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</si>
  <si>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</si>
  <si>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</si>
  <si>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</si>
  <si>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</si>
  <si>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</si>
  <si>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</si>
  <si>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</si>
  <si>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</si>
  <si>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</si>
  <si>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</si>
  <si>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</si>
  <si>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</si>
  <si>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</si>
  <si>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</si>
  <si>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</si>
  <si>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</si>
  <si>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</si>
  <si>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</si>
  <si>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</si>
  <si>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</si>
  <si>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</si>
  <si>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</si>
  <si>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</si>
  <si>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</si>
  <si>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</si>
  <si>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</si>
  <si>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</si>
  <si>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</si>
  <si>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</si>
  <si>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</si>
  <si>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</si>
  <si>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</si>
  <si>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</si>
  <si>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</si>
  <si>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</si>
  <si>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</si>
  <si>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</si>
  <si>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</si>
  <si>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</si>
  <si>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</si>
  <si>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</si>
  <si>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</si>
  <si>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</si>
  <si>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</si>
  <si>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</si>
  <si>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</si>
  <si>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</si>
  <si>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</si>
  <si>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</si>
  <si>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</si>
  <si>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</si>
  <si>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</si>
  <si>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</si>
  <si>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</si>
  <si>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</si>
  <si>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</si>
  <si>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</si>
  <si>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</si>
  <si>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</si>
  <si>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</si>
  <si>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</si>
  <si>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</si>
  <si>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</si>
  <si>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</si>
  <si>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</si>
  <si>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</si>
  <si>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</si>
  <si>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</si>
  <si>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</si>
  <si>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</si>
  <si>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</si>
  <si>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</si>
  <si>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</si>
  <si>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</si>
  <si>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</si>
  <si>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</si>
  <si>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</si>
  <si>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</si>
  <si>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</si>
  <si>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</si>
  <si>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</si>
  <si>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</si>
  <si>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</si>
  <si>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</si>
  <si>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</si>
  <si>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</si>
  <si>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</si>
  <si>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</si>
  <si>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</si>
  <si>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</si>
  <si>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</si>
  <si>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</si>
  <si>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</si>
  <si>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</si>
  <si>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</si>
  <si>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</si>
  <si>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</si>
  <si>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</si>
  <si>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</si>
  <si>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</si>
  <si>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</si>
  <si>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</si>
  <si>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</si>
  <si>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</si>
  <si>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</si>
  <si>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</si>
  <si>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</si>
  <si>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</si>
  <si>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</si>
  <si>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</si>
  <si>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</si>
  <si>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</si>
  <si>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</si>
  <si>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</si>
  <si>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</si>
  <si>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</si>
  <si>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</si>
  <si>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</si>
  <si>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</si>
  <si>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</si>
  <si>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</si>
  <si>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</si>
  <si>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</si>
  <si>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</si>
  <si>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</si>
  <si>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</si>
  <si>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</si>
  <si>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</si>
  <si>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</si>
  <si>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</si>
  <si>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</si>
  <si>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</si>
  <si>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</si>
  <si>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</si>
  <si>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</si>
  <si>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</si>
  <si>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</si>
  <si>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</si>
  <si>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</si>
  <si>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</si>
  <si>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</si>
  <si>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</si>
  <si>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</si>
  <si>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</si>
  <si>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</si>
  <si>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</si>
  <si>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</si>
  <si>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</si>
  <si>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</si>
  <si>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</si>
  <si>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</si>
  <si>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</si>
  <si>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</si>
  <si>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</si>
  <si>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</si>
  <si>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</si>
  <si>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</si>
  <si>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</si>
  <si>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</si>
  <si>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</si>
  <si>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</si>
  <si>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</si>
  <si>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</si>
  <si>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</si>
  <si>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</si>
  <si>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</si>
  <si>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</si>
  <si>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</si>
  <si>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</si>
  <si>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</si>
  <si>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</si>
  <si>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</si>
  <si>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</si>
  <si>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</si>
  <si>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</si>
  <si>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</si>
  <si>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</si>
  <si>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</si>
  <si>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</si>
  <si>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</si>
  <si>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</si>
  <si>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</si>
  <si>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</si>
  <si>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</si>
  <si>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</si>
  <si>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</si>
  <si>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</si>
  <si>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</si>
  <si>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</si>
  <si>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</si>
  <si>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</si>
  <si>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</si>
  <si>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</si>
  <si>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</si>
  <si>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</si>
  <si>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</si>
  <si>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FL250399</t>
  </si>
  <si>
    <t>Daniel Foster</t>
  </si>
  <si>
    <t>FL250400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</si>
  <si>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</si>
  <si>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</si>
  <si>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</si>
  <si>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</si>
  <si>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</si>
  <si>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</si>
  <si>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</si>
  <si>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</si>
  <si>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</si>
  <si>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</si>
  <si>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</si>
  <si>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</si>
  <si>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</si>
  <si>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</si>
  <si>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</si>
  <si>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</si>
  <si>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</si>
  <si>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</si>
  <si>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</si>
  <si>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</si>
  <si>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</si>
  <si>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</si>
  <si>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</si>
  <si>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</si>
  <si>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</si>
  <si>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</si>
  <si>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</si>
  <si>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</si>
  <si>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</si>
  <si>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</si>
  <si>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</si>
  <si>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</si>
  <si>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</si>
  <si>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</si>
  <si>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</si>
  <si>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</si>
  <si>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</si>
  <si>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</si>
  <si>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</si>
  <si>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</si>
  <si>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</si>
  <si>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</si>
  <si>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</si>
  <si>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</si>
  <si>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</si>
  <si>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</si>
  <si>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</si>
  <si>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</si>
  <si>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</si>
  <si>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</si>
  <si>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</si>
  <si>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</si>
  <si>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</si>
  <si>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</si>
  <si>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</si>
  <si>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</si>
  <si>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</si>
  <si>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</si>
  <si>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</si>
  <si>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</si>
  <si>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</si>
  <si>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</si>
  <si>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</si>
  <si>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</si>
  <si>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</si>
  <si>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</si>
  <si>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</si>
  <si>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</si>
  <si>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</si>
  <si>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</si>
  <si>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</si>
  <si>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</si>
  <si>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</si>
  <si>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</si>
  <si>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</si>
  <si>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</si>
  <si>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</si>
  <si>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</si>
  <si>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</si>
  <si>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</si>
  <si>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</si>
  <si>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</si>
  <si>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</si>
  <si>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</si>
  <si>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</si>
  <si>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</si>
  <si>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</si>
  <si>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</si>
  <si>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</si>
  <si>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</si>
  <si>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</si>
  <si>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</si>
  <si>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</si>
  <si>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</si>
  <si>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</si>
  <si>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</si>
  <si>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</si>
  <si>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</si>
  <si>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</si>
  <si>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</si>
  <si>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</si>
  <si>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</si>
  <si>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</si>
  <si>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</si>
  <si>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</si>
  <si>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</si>
  <si>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</si>
  <si>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</si>
  <si>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</si>
  <si>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</si>
  <si>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</si>
  <si>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</si>
  <si>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</si>
  <si>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</si>
  <si>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</si>
  <si>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</si>
  <si>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</si>
  <si>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</si>
  <si>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</si>
  <si>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</si>
  <si>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</si>
  <si>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</si>
  <si>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</si>
  <si>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</si>
  <si>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</si>
  <si>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</si>
  <si>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</si>
  <si>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</si>
  <si>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</si>
  <si>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</si>
  <si>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</si>
  <si>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</si>
  <si>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</si>
  <si>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</si>
  <si>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</si>
  <si>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</si>
  <si>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</si>
  <si>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</si>
  <si>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</si>
  <si>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</si>
  <si>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</si>
  <si>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</si>
  <si>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</si>
  <si>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</si>
  <si>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</si>
  <si>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</si>
  <si>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</si>
  <si>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</si>
  <si>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</si>
  <si>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</si>
  <si>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</si>
  <si>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</si>
  <si>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</si>
  <si>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</si>
  <si>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</si>
  <si>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</si>
  <si>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</si>
  <si>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</si>
  <si>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</si>
  <si>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</si>
  <si>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</si>
  <si>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</si>
  <si>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</si>
  <si>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</si>
  <si>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</si>
  <si>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</si>
  <si>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</si>
  <si>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</si>
  <si>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</si>
  <si>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</si>
  <si>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</si>
  <si>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</si>
  <si>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</si>
  <si>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</si>
  <si>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</si>
  <si>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</si>
  <si>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</si>
  <si>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</si>
  <si>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</si>
  <si>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</si>
  <si>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</si>
  <si>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</si>
  <si>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</si>
  <si>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</si>
  <si>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</si>
  <si>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</si>
  <si>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</si>
  <si>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</si>
  <si>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</si>
  <si>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</si>
  <si>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</si>
  <si>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</si>
  <si>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</si>
  <si>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</si>
  <si>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</si>
  <si>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</si>
  <si>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</si>
  <si>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</si>
  <si>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</si>
  <si>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</si>
  <si>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</si>
  <si>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</si>
  <si>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</si>
  <si>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</si>
  <si>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</si>
  <si>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</si>
  <si>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</si>
  <si>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FL250509</t>
  </si>
  <si>
    <t>John Rios</t>
  </si>
  <si>
    <t>FL250510</t>
  </si>
  <si>
    <t>Anthony Gaines</t>
  </si>
  <si>
    <t>FL250511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</si>
  <si>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</si>
  <si>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</si>
  <si>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</si>
  <si>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</si>
  <si>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</si>
  <si>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</si>
  <si>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</si>
  <si>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</si>
  <si>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</si>
  <si>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</si>
  <si>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</si>
  <si>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</si>
  <si>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</si>
  <si>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</si>
  <si>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</si>
  <si>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</si>
  <si>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</si>
  <si>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</si>
  <si>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</si>
  <si>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</si>
  <si>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</si>
  <si>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</si>
  <si>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</si>
  <si>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</si>
  <si>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</si>
  <si>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</si>
  <si>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</si>
  <si>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</si>
  <si>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</si>
  <si>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</si>
  <si>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</si>
  <si>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</si>
  <si>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</si>
  <si>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</si>
  <si>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</si>
  <si>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</si>
  <si>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</si>
  <si>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</si>
  <si>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</si>
  <si>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</si>
  <si>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</si>
  <si>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</si>
  <si>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</si>
  <si>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</si>
  <si>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</si>
  <si>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</si>
  <si>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</si>
  <si>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</si>
  <si>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</si>
  <si>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</si>
  <si>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</si>
  <si>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</si>
  <si>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</si>
  <si>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</si>
  <si>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</si>
  <si>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</si>
  <si>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</si>
  <si>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</si>
  <si>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</si>
  <si>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</si>
  <si>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</si>
  <si>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</si>
  <si>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</si>
  <si>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</si>
  <si>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</si>
  <si>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</si>
  <si>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</si>
  <si>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</si>
  <si>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</si>
  <si>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</si>
  <si>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</si>
  <si>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</si>
  <si>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</si>
  <si>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</si>
  <si>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</si>
  <si>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</si>
  <si>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</si>
  <si>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</si>
  <si>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</si>
  <si>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</si>
  <si>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</si>
  <si>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</si>
  <si>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</si>
  <si>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</si>
  <si>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</si>
  <si>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</si>
  <si>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</si>
  <si>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</si>
  <si>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</si>
  <si>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</si>
  <si>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</si>
  <si>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</si>
  <si>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</si>
  <si>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</si>
  <si>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</si>
  <si>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</si>
  <si>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</si>
  <si>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</si>
  <si>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</si>
  <si>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</si>
  <si>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</si>
  <si>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</si>
  <si>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</si>
  <si>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</si>
  <si>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</si>
  <si>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</si>
  <si>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</si>
  <si>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</si>
  <si>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</si>
  <si>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</si>
  <si>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</si>
  <si>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</si>
  <si>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</si>
  <si>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</si>
  <si>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</si>
  <si>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</si>
  <si>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</si>
  <si>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</si>
  <si>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</si>
  <si>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</si>
  <si>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</si>
  <si>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</si>
  <si>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</si>
  <si>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</si>
  <si>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</si>
  <si>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</si>
  <si>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</si>
  <si>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</si>
  <si>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</si>
  <si>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</si>
  <si>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</si>
  <si>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</si>
  <si>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</si>
  <si>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</si>
  <si>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</si>
  <si>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</si>
  <si>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</si>
  <si>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</si>
  <si>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</si>
  <si>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</si>
  <si>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</si>
  <si>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</si>
  <si>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</si>
  <si>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</si>
  <si>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</si>
  <si>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</si>
  <si>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</si>
  <si>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</si>
  <si>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</si>
  <si>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</si>
  <si>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</si>
  <si>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</si>
  <si>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</si>
  <si>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</si>
  <si>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</si>
  <si>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</si>
  <si>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</si>
  <si>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</si>
  <si>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</si>
  <si>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</si>
  <si>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</si>
  <si>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</si>
  <si>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</si>
  <si>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</si>
  <si>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</si>
  <si>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</si>
  <si>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</si>
  <si>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</si>
  <si>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</si>
  <si>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</si>
  <si>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</si>
  <si>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</si>
  <si>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</si>
  <si>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</si>
  <si>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</si>
  <si>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</si>
  <si>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</si>
  <si>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</si>
  <si>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</si>
  <si>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</si>
  <si>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</si>
  <si>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</si>
  <si>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</si>
  <si>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</si>
  <si>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</si>
  <si>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</si>
  <si>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</si>
  <si>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</si>
  <si>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</si>
  <si>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</si>
  <si>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</si>
  <si>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</si>
  <si>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</si>
  <si>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</si>
  <si>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</si>
  <si>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</si>
  <si>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</si>
  <si>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</si>
  <si>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</si>
  <si>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</si>
  <si>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</si>
  <si>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</si>
  <si>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</si>
  <si>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</si>
  <si>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</si>
  <si>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</si>
  <si>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</si>
  <si>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</si>
  <si>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</si>
  <si>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</si>
  <si>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</si>
  <si>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</si>
  <si>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</si>
  <si>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</si>
  <si>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</si>
  <si>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</si>
  <si>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</si>
  <si>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</si>
  <si>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</si>
  <si>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</si>
  <si>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</si>
  <si>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</si>
  <si>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</si>
  <si>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</si>
  <si>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</si>
  <si>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</si>
  <si>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</si>
  <si>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</si>
  <si>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</si>
  <si>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</si>
  <si>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</si>
  <si>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</si>
  <si>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</si>
  <si>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</si>
  <si>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</si>
  <si>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</si>
  <si>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</si>
  <si>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</si>
  <si>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</si>
  <si>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</si>
  <si>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</si>
  <si>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</si>
  <si>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</si>
  <si>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</si>
  <si>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</si>
  <si>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</si>
  <si>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</si>
  <si>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</si>
  <si>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</si>
  <si>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</si>
  <si>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</si>
  <si>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</si>
  <si>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</si>
  <si>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</si>
  <si>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</si>
  <si>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</si>
  <si>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</si>
  <si>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</si>
  <si>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</si>
  <si>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</si>
  <si>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</si>
  <si>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</si>
  <si>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</si>
  <si>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</si>
  <si>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</si>
  <si>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</si>
  <si>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</si>
  <si>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</si>
  <si>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</si>
  <si>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</si>
  <si>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</si>
  <si>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</si>
  <si>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</si>
  <si>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</si>
  <si>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</si>
  <si>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</si>
  <si>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</si>
  <si>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</si>
  <si>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</si>
  <si>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</si>
  <si>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</si>
  <si>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</si>
  <si>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</si>
  <si>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</si>
  <si>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</si>
  <si>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</si>
  <si>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</si>
  <si>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</si>
  <si>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</si>
  <si>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</si>
  <si>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</si>
  <si>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</si>
  <si>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</si>
  <si>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</si>
  <si>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</si>
  <si>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</si>
  <si>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</si>
  <si>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</si>
  <si>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</si>
  <si>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</si>
  <si>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</si>
  <si>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</si>
  <si>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</si>
  <si>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</si>
  <si>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</si>
  <si>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</si>
  <si>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</si>
  <si>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</si>
  <si>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</si>
  <si>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</si>
  <si>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</si>
  <si>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</si>
  <si>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</si>
  <si>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</si>
  <si>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</si>
  <si>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</si>
  <si>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</si>
  <si>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</si>
  <si>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</si>
  <si>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</si>
  <si>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</si>
  <si>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</si>
  <si>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</si>
  <si>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</si>
  <si>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</si>
  <si>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</si>
  <si>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</si>
  <si>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</si>
  <si>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</si>
  <si>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</si>
  <si>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</si>
  <si>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</si>
  <si>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</si>
  <si>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</si>
  <si>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</si>
  <si>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</si>
  <si>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</si>
  <si>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</si>
  <si>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</si>
  <si>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</si>
  <si>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</si>
  <si>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</si>
  <si>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</si>
  <si>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</si>
  <si>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</si>
  <si>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</si>
  <si>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</si>
  <si>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</si>
  <si>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</si>
  <si>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</si>
  <si>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</si>
  <si>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</si>
  <si>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</si>
  <si>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</si>
  <si>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</si>
  <si>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</si>
  <si>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</si>
  <si>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</si>
  <si>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</si>
  <si>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</si>
  <si>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</si>
  <si>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</si>
  <si>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</si>
  <si>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</si>
  <si>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</si>
  <si>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</si>
  <si>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</si>
  <si>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</si>
  <si>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</si>
  <si>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</si>
  <si>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</si>
  <si>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</si>
  <si>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</si>
  <si>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</si>
  <si>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</si>
  <si>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</si>
  <si>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</si>
  <si>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</si>
  <si>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</si>
  <si>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</si>
  <si>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</si>
  <si>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</si>
  <si>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</si>
  <si>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</si>
  <si>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</si>
  <si>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</si>
  <si>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</si>
  <si>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</si>
  <si>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</si>
  <si>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</si>
  <si>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</si>
  <si>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</si>
  <si>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</si>
  <si>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</si>
  <si>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</si>
  <si>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</si>
  <si>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</si>
  <si>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</si>
  <si>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</si>
  <si>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</si>
  <si>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</si>
  <si>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</si>
  <si>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</si>
  <si>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</si>
  <si>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</si>
  <si>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</si>
  <si>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</si>
  <si>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</si>
  <si>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</si>
  <si>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</si>
  <si>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</si>
  <si>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</si>
  <si>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</si>
  <si>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</si>
  <si>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</si>
  <si>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</si>
  <si>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</si>
  <si>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</si>
  <si>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</si>
  <si>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</si>
  <si>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</si>
  <si>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</si>
  <si>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</si>
  <si>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</si>
  <si>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</si>
  <si>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</si>
  <si>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</si>
  <si>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</si>
  <si>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</si>
  <si>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</si>
  <si>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</si>
  <si>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</si>
  <si>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</si>
  <si>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</si>
  <si>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</si>
  <si>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</si>
  <si>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</si>
  <si>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</si>
  <si>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</si>
  <si>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</si>
  <si>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</si>
  <si>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</si>
  <si>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</si>
  <si>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</si>
  <si>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</si>
  <si>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</si>
  <si>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</si>
  <si>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</si>
  <si>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</si>
  <si>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</si>
  <si>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</si>
  <si>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</si>
  <si>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</si>
  <si>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</si>
  <si>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</si>
  <si>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</si>
  <si>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</si>
  <si>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</si>
  <si>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</si>
  <si>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</si>
  <si>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</si>
  <si>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</si>
  <si>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</si>
  <si>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</si>
  <si>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</si>
  <si>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</si>
  <si>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</si>
  <si>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</si>
  <si>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</si>
  <si>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</si>
  <si>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</si>
  <si>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</si>
  <si>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</si>
  <si>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</si>
  <si>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</si>
  <si>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</si>
  <si>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</si>
  <si>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</si>
  <si>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</si>
  <si>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</si>
  <si>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</si>
  <si>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</si>
  <si>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</si>
  <si>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</si>
  <si>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</si>
  <si>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</si>
  <si>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</si>
  <si>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</si>
  <si>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</si>
  <si>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</si>
  <si>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</si>
  <si>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</si>
  <si>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</si>
  <si>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</si>
  <si>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</si>
  <si>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</si>
  <si>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</si>
  <si>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</si>
  <si>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</si>
  <si>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</si>
  <si>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</si>
  <si>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</si>
  <si>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</si>
  <si>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</si>
  <si>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</si>
  <si>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</si>
  <si>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</si>
  <si>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</si>
  <si>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</si>
  <si>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</si>
  <si>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</si>
  <si>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</si>
  <si>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</si>
  <si>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</si>
  <si>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</si>
  <si>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</si>
  <si>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</si>
  <si>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</si>
  <si>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</si>
  <si>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</si>
  <si>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</si>
  <si>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</si>
  <si>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</si>
  <si>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</si>
  <si>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</si>
  <si>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</si>
  <si>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</si>
  <si>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</si>
  <si>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</si>
  <si>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</si>
  <si>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</si>
  <si>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</si>
  <si>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</si>
  <si>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</si>
  <si>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</si>
  <si>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</si>
  <si>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</si>
  <si>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</si>
  <si>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</si>
  <si>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</si>
  <si>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</si>
  <si>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</si>
  <si>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</si>
  <si>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</si>
  <si>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</si>
  <si>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</si>
  <si>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</si>
  <si>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</si>
  <si>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</si>
  <si>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</si>
  <si>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</si>
  <si>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</si>
  <si>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</si>
  <si>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</si>
  <si>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</si>
  <si>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</si>
  <si>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</si>
  <si>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</si>
  <si>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</si>
  <si>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</si>
  <si>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</si>
  <si>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</si>
  <si>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</si>
  <si>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</si>
  <si>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</si>
  <si>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</si>
  <si>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</si>
  <si>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</si>
  <si>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</si>
  <si>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</si>
  <si>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</si>
  <si>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</si>
  <si>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</si>
  <si>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</si>
  <si>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</si>
  <si>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</si>
  <si>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</si>
  <si>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</si>
  <si>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</si>
  <si>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</si>
  <si>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</si>
  <si>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</si>
  <si>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</si>
  <si>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</si>
  <si>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</si>
  <si>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</si>
  <si>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</si>
  <si>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</si>
  <si>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</si>
  <si>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</si>
  <si>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</si>
  <si>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</si>
  <si>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</si>
  <si>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</si>
  <si>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</si>
  <si>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</si>
  <si>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</si>
  <si>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</si>
  <si>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</si>
  <si>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</si>
  <si>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</si>
  <si>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</si>
  <si>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</si>
  <si>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</si>
  <si>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</si>
  <si>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</si>
  <si>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</si>
  <si>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</si>
  <si>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</si>
  <si>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</si>
  <si>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</si>
  <si>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</si>
  <si>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</si>
  <si>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</si>
  <si>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</si>
  <si>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</si>
  <si>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</si>
  <si>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</si>
  <si>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</si>
  <si>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</si>
  <si>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</si>
  <si>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</si>
  <si>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</si>
  <si>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</si>
  <si>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</si>
  <si>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</si>
  <si>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</si>
  <si>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</si>
  <si>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</si>
  <si>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</si>
  <si>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</si>
  <si>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</si>
  <si>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</si>
  <si>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</si>
  <si>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</si>
  <si>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</si>
  <si>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</si>
  <si>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</si>
  <si>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</si>
  <si>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</si>
  <si>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</si>
  <si>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</si>
  <si>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</si>
  <si>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</si>
  <si>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</si>
  <si>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</si>
  <si>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</si>
  <si>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</si>
  <si>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</si>
  <si>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</si>
  <si>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</si>
  <si>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</si>
  <si>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</si>
  <si>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</si>
  <si>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</si>
  <si>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</si>
  <si>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</si>
  <si>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</si>
  <si>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</si>
  <si>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</si>
  <si>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</si>
  <si>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</si>
  <si>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</si>
  <si>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</si>
  <si>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</si>
  <si>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</si>
  <si>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</si>
  <si>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</si>
  <si>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</si>
  <si>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</si>
  <si>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</si>
  <si>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</si>
  <si>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</si>
  <si>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</si>
  <si>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</si>
  <si>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</si>
  <si>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</si>
  <si>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</si>
  <si>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</si>
  <si>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</si>
  <si>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</si>
  <si>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</si>
  <si>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</si>
  <si>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</si>
  <si>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</si>
  <si>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</si>
  <si>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</si>
  <si>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</si>
  <si>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</si>
  <si>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</si>
  <si>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</si>
  <si>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</si>
  <si>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</si>
  <si>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</si>
  <si>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</si>
  <si>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</si>
  <si>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</si>
  <si>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</si>
  <si>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</si>
  <si>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</si>
  <si>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</si>
  <si>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</si>
  <si>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</si>
  <si>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</si>
  <si>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</si>
  <si>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</si>
  <si>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</si>
  <si>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</si>
  <si>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</si>
  <si>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</si>
  <si>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</si>
  <si>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</si>
  <si>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</si>
  <si>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</si>
  <si>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</si>
  <si>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</si>
  <si>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</si>
  <si>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</si>
  <si>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</si>
  <si>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</si>
  <si>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</si>
  <si>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</si>
  <si>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FL250878</t>
  </si>
  <si>
    <t>Larry Wallace</t>
  </si>
  <si>
    <t>FL250879</t>
  </si>
  <si>
    <t>Jeremiah Thompson</t>
  </si>
  <si>
    <t>FL250880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</si>
  <si>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</si>
  <si>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</si>
  <si>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</si>
  <si>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</si>
  <si>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</si>
  <si>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</si>
  <si>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</si>
  <si>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</si>
  <si>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</si>
  <si>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</si>
  <si>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</si>
  <si>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</si>
  <si>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</si>
  <si>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</si>
  <si>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</si>
  <si>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</si>
  <si>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</si>
  <si>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</si>
  <si>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</si>
  <si>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</si>
  <si>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</si>
  <si>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</si>
  <si>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</si>
  <si>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</si>
  <si>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</si>
  <si>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</si>
  <si>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</si>
  <si>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</si>
  <si>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</si>
  <si>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</si>
  <si>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</si>
  <si>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</si>
  <si>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</si>
  <si>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</si>
  <si>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</si>
  <si>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</si>
  <si>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</si>
  <si>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</si>
  <si>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</si>
  <si>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</si>
  <si>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</si>
  <si>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</si>
  <si>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</si>
  <si>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</si>
  <si>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</si>
  <si>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</si>
  <si>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</si>
  <si>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</si>
  <si>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</si>
  <si>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</si>
  <si>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</si>
  <si>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</si>
  <si>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</si>
  <si>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</si>
  <si>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</si>
  <si>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</si>
  <si>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</si>
  <si>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</si>
  <si>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</si>
  <si>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</si>
  <si>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</si>
  <si>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</si>
  <si>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</si>
  <si>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</si>
  <si>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</si>
  <si>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</si>
  <si>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</si>
  <si>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</si>
  <si>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</si>
  <si>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</si>
  <si>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</si>
  <si>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</si>
  <si>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</si>
  <si>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</si>
  <si>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</si>
  <si>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</si>
  <si>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</si>
  <si>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</si>
  <si>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</si>
  <si>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</si>
  <si>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</si>
  <si>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</si>
  <si>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</si>
  <si>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</si>
  <si>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</si>
  <si>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</si>
  <si>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</si>
  <si>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</si>
  <si>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</si>
  <si>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</si>
  <si>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</si>
  <si>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</si>
  <si>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</si>
  <si>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</si>
  <si>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</si>
  <si>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</si>
  <si>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</si>
  <si>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</si>
  <si>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</si>
  <si>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</si>
  <si>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</si>
  <si>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</si>
  <si>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</si>
  <si>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</si>
  <si>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</si>
  <si>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</si>
  <si>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</si>
  <si>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</si>
  <si>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</si>
  <si>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</si>
  <si>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</si>
  <si>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</si>
  <si>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</si>
  <si>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</si>
  <si>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</si>
  <si>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</si>
  <si>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</si>
  <si>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</si>
  <si>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</si>
  <si>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</si>
  <si>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</si>
  <si>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</si>
  <si>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</si>
  <si>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</si>
  <si>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</si>
  <si>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</si>
  <si>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</si>
  <si>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</si>
  <si>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</si>
  <si>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</si>
  <si>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</si>
  <si>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</si>
  <si>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</si>
  <si>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</si>
  <si>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</si>
  <si>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</si>
  <si>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</si>
  <si>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</si>
  <si>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</si>
  <si>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</si>
  <si>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</si>
  <si>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</si>
  <si>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</si>
  <si>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</si>
  <si>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</si>
  <si>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</si>
  <si>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</si>
  <si>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</si>
  <si>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</si>
  <si>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</si>
  <si>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</si>
  <si>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</si>
  <si>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</si>
  <si>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</si>
  <si>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</si>
  <si>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</si>
  <si>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</si>
  <si>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</si>
  <si>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</si>
  <si>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</si>
  <si>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</si>
  <si>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</si>
  <si>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</si>
  <si>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</si>
  <si>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FL250965</t>
  </si>
  <si>
    <t>Latoya Brown</t>
  </si>
  <si>
    <t>FL250966</t>
  </si>
  <si>
    <t>FL250967</t>
  </si>
  <si>
    <t>David Hooper</t>
  </si>
  <si>
    <t>FL250968</t>
  </si>
  <si>
    <t>Sarah Miller</t>
  </si>
  <si>
    <t>FL250969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</si>
  <si>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</si>
  <si>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</si>
  <si>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</si>
  <si>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</si>
  <si>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</si>
  <si>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</si>
  <si>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</si>
  <si>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</si>
  <si>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</si>
  <si>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</si>
  <si>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</si>
  <si>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</si>
  <si>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</si>
  <si>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</si>
  <si>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</si>
  <si>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</si>
  <si>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</si>
  <si>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</si>
  <si>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</si>
  <si>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</si>
  <si>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</si>
  <si>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</si>
  <si>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</si>
  <si>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</si>
  <si>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</si>
  <si>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</si>
  <si>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</si>
  <si>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</si>
  <si>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</si>
  <si>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</si>
  <si>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</si>
  <si>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</si>
  <si>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</si>
  <si>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</si>
  <si>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</si>
  <si>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</si>
  <si>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</si>
  <si>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</si>
  <si>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</si>
  <si>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</si>
  <si>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</si>
  <si>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</si>
  <si>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</si>
  <si>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</si>
  <si>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</si>
  <si>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</si>
  <si>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</si>
  <si>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</si>
  <si>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</si>
  <si>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</si>
  <si>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</si>
  <si>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</si>
  <si>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</si>
  <si>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</si>
  <si>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</si>
  <si>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</si>
  <si>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</si>
  <si>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</si>
  <si>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</si>
  <si>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</si>
  <si>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</si>
  <si>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 xml:space="preserve"> Christine Cherry</t>
  </si>
  <si>
    <t xml:space="preserve"> Juan Mitchell</t>
  </si>
  <si>
    <t xml:space="preserve"> David Valencia</t>
  </si>
  <si>
    <t xml:space="preserve"> Robert Meza</t>
  </si>
  <si>
    <t xml:space="preserve"> Michael Aguilar</t>
  </si>
  <si>
    <t xml:space="preserve"> Paul Williamson</t>
  </si>
  <si>
    <t xml:space="preserve"> Jessica Campbell</t>
  </si>
  <si>
    <t xml:space="preserve"> Pamela Larson</t>
  </si>
  <si>
    <t xml:space="preserve"> Rhonda Hernandez</t>
  </si>
  <si>
    <t xml:space="preserve">Allison Tucker </t>
  </si>
  <si>
    <t xml:space="preserve">Anthony Huynh </t>
  </si>
  <si>
    <t xml:space="preserve">Natalie Frank </t>
  </si>
  <si>
    <t xml:space="preserve">Clifford Moore </t>
  </si>
  <si>
    <t xml:space="preserve">Catherine Mccoy </t>
  </si>
  <si>
    <t xml:space="preserve">Miss Janet Donovan </t>
  </si>
  <si>
    <t xml:space="preserve">Scott Alexander </t>
  </si>
  <si>
    <t xml:space="preserve">Lisa Werner </t>
  </si>
  <si>
    <t xml:space="preserve">Lynn Curtis </t>
  </si>
  <si>
    <t xml:space="preserve">Anthony Goodwin </t>
  </si>
  <si>
    <t xml:space="preserve"> Danny Morris </t>
  </si>
  <si>
    <t xml:space="preserve">Laura Wong </t>
  </si>
  <si>
    <t xml:space="preserve"> Samantha Simmons</t>
  </si>
  <si>
    <t xml:space="preserve"> Angela Ward</t>
  </si>
  <si>
    <t xml:space="preserve"> Amy Brooks</t>
  </si>
  <si>
    <t xml:space="preserve">Steven Jones </t>
  </si>
  <si>
    <t xml:space="preserve">William Moore </t>
  </si>
  <si>
    <t xml:space="preserve">Michael Williams </t>
  </si>
  <si>
    <t xml:space="preserve">Richard Velasquez </t>
  </si>
  <si>
    <t xml:space="preserve">Kristi Brown </t>
  </si>
  <si>
    <t xml:space="preserve"> Lisa Beard </t>
  </si>
  <si>
    <t xml:space="preserve"> Jessica Williams </t>
  </si>
  <si>
    <t xml:space="preserve">Joel Brown </t>
  </si>
  <si>
    <t xml:space="preserve">Marvin Woods </t>
  </si>
  <si>
    <t xml:space="preserve">David Osborne </t>
  </si>
  <si>
    <t xml:space="preserve">Adam Kelly </t>
  </si>
  <si>
    <t xml:space="preserve">Aaron Stewart </t>
  </si>
  <si>
    <t>Nicole Kidd</t>
  </si>
  <si>
    <t>No</t>
  </si>
  <si>
    <t>Yes</t>
  </si>
  <si>
    <t>Freelancer_ID</t>
  </si>
  <si>
    <t>Name</t>
  </si>
  <si>
    <t>Gender</t>
  </si>
  <si>
    <t>Age</t>
  </si>
  <si>
    <t xml:space="preserve">Age </t>
  </si>
  <si>
    <t>Country</t>
  </si>
  <si>
    <t>Language</t>
  </si>
  <si>
    <t>Primary Skill</t>
  </si>
  <si>
    <t>Years Of Experience</t>
  </si>
  <si>
    <t>Hourly Rate (USD)</t>
  </si>
  <si>
    <t>Rating</t>
  </si>
  <si>
    <t>Is Active</t>
  </si>
  <si>
    <t>Client Satisfaction</t>
  </si>
  <si>
    <t>Count of Freelancer_ID</t>
  </si>
  <si>
    <t>Row Labels</t>
  </si>
  <si>
    <t>Grand Total</t>
  </si>
  <si>
    <t>Average of Rating</t>
  </si>
  <si>
    <t>Average of Hourly Rate (USD)</t>
  </si>
  <si>
    <t xml:space="preserve">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</si>
</sst>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/>
    <xf numFmtId="0" fontId="2" fillId="3" borderId="0" xfId="0" applyFont="1" applyFill="1" applyAlignment="1"/>
    <xf numFmtId="2" fontId="0" fillId="0" borderId="0" xfId="0" applyNumberFormat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9" fontId="2" fillId="3" borderId="0" xfId="1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</cellXfs>
  <cellStyles count="2">
    <cellStyle name="Normal" xfId="0" builtinId="0"/>
    <cellStyle name="Percent" xfId="1" builtinId="5"/>
  </cellStyles>
  <dxfs count="3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165" formatCode="0.0"/>
    </dxf>
    <dxf>
      <numFmt numFmtId="2" formatCode="0.0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167" formatCode="0.000"/>
    </dxf>
    <dxf>
      <numFmt numFmtId="166" formatCode="0.0000"/>
    </dxf>
    <dxf>
      <numFmt numFmtId="166" formatCode="0.0000"/>
    </dxf>
    <dxf>
      <numFmt numFmtId="171" formatCode="0.00000"/>
    </dxf>
    <dxf>
      <numFmt numFmtId="171" formatCode="0.00000"/>
    </dxf>
    <dxf>
      <numFmt numFmtId="170" formatCode="0.000000"/>
    </dxf>
    <dxf>
      <numFmt numFmtId="170" formatCode="0.000000"/>
    </dxf>
    <dxf>
      <numFmt numFmtId="169" formatCode="0.0000000"/>
    </dxf>
    <dxf>
      <numFmt numFmtId="169" formatCode="0.0000000"/>
    </dxf>
    <dxf>
      <numFmt numFmtId="168" formatCode="0.00000000"/>
    </dxf>
    <dxf>
      <numFmt numFmtId="168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2.993864814816" createdVersion="8" refreshedVersion="8" minRefreshableVersion="3" recordCount="1000" xr:uid="{EA77BF27-BED9-47B4-BC3B-46893AACF185}">
  <cacheSource type="worksheet">
    <worksheetSource ref="A1:L1001" sheet="Cleaned Data"/>
  </cacheSource>
  <cacheFields count="12">
    <cacheField name="Freelancer_ID" numFmtId="0">
      <sharedItems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0" maxValue="60"/>
    </cacheField>
    <cacheField name="Country" numFmtId="0">
      <sharedItems count="21">
        <s v="Italy"/>
        <s v="Australia"/>
        <s v="Germany"/>
        <s v="Netherlands"/>
        <s v="Indonesia"/>
        <s v="United States"/>
        <s v="Turkey"/>
        <s v="United Kingdom"/>
        <s v="Argentina"/>
        <s v="Japan"/>
        <s v="India"/>
        <s v="Brazil"/>
        <s v="South Korea"/>
        <s v="Russia"/>
        <s v="Canada"/>
        <s v="France"/>
        <s v="Egypt"/>
        <s v="South Africa"/>
        <s v="China"/>
        <s v="Mexico"/>
        <s v="Spain"/>
      </sharedItems>
    </cacheField>
    <cacheField name="Language" numFmtId="0">
      <sharedItems count="16">
        <s v="Italian"/>
        <s v="English"/>
        <s v="German"/>
        <s v="Dutch"/>
        <s v="Indonesian"/>
        <s v="Turkish"/>
        <s v="Spanish"/>
        <s v="Japanese"/>
        <s v="Hindi"/>
        <s v="Portuguese"/>
        <s v="Korean"/>
        <s v="Russian"/>
        <s v="French"/>
        <s v="Arabic"/>
        <s v="Afrikaans"/>
        <s v="Mandarin"/>
      </sharedItems>
    </cacheField>
    <cacheField name="Primary Skill" numFmtId="0">
      <sharedItems count="10">
        <s v="Blockchain Development"/>
        <s v="Mobile Apps"/>
        <s v="Graphic Design"/>
        <s v="Web Development"/>
        <s v="AI"/>
        <s v="Data Analysis"/>
        <s v="UI/UX Design"/>
        <s v="Cybersecurity"/>
        <s v="DevOps"/>
        <s v="Machine Learning"/>
      </sharedItems>
    </cacheField>
    <cacheField name="Years Of Experience" numFmtId="0">
      <sharedItems containsSemiMixedTypes="0" containsString="0" containsNumber="1" containsInteger="1" minValue="0" maxValue="41" count="41">
        <n v="11"/>
        <n v="34"/>
        <n v="31"/>
        <n v="4"/>
        <n v="27"/>
        <n v="14"/>
        <n v="10"/>
        <n v="22"/>
        <n v="17"/>
        <n v="15"/>
        <n v="18"/>
        <n v="20"/>
        <n v="0"/>
        <n v="13"/>
        <n v="9"/>
        <n v="3"/>
        <n v="21"/>
        <n v="8"/>
        <n v="19"/>
        <n v="32"/>
        <n v="28"/>
        <n v="6"/>
        <n v="23"/>
        <n v="7"/>
        <n v="1"/>
        <n v="33"/>
        <n v="16"/>
        <n v="35"/>
        <n v="12"/>
        <n v="38"/>
        <n v="5"/>
        <n v="30"/>
        <n v="2"/>
        <n v="25"/>
        <n v="39"/>
        <n v="29"/>
        <n v="40"/>
        <n v="26"/>
        <n v="24"/>
        <n v="37"/>
        <n v="41"/>
      </sharedItems>
    </cacheField>
    <cacheField name="Hourly Rate (USD)" numFmtId="164">
      <sharedItems containsSemiMixedTypes="0" containsString="0" containsNumber="1" containsInteger="1" minValue="20" maxValue="100" count="6">
        <n v="100"/>
        <n v="50"/>
        <n v="40"/>
        <n v="30"/>
        <n v="75"/>
        <n v="20"/>
      </sharedItems>
    </cacheField>
    <cacheField name="Rating" numFmtId="0">
      <sharedItems containsSemiMixedTypes="0" containsString="0" containsNumber="1" minValue="0" maxValue="5"/>
    </cacheField>
    <cacheField name="Is Active" numFmtId="0">
      <sharedItems/>
    </cacheField>
    <cacheField name="Client Satisfaction" numFmtId="9">
      <sharedItems containsSemiMixedTypes="0" containsString="0" containsNumber="1" minValue="0.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L250001"/>
    <s v="Nicole Kidd"/>
    <x v="0"/>
    <n v="52"/>
    <x v="0"/>
    <x v="0"/>
    <x v="0"/>
    <x v="0"/>
    <x v="0"/>
    <n v="2.5125695216907653"/>
    <s v="No"/>
    <n v="0.79269417475728277"/>
  </r>
  <r>
    <s v="FL250002"/>
    <s v="Vanessa Garcia"/>
    <x v="0"/>
    <n v="52"/>
    <x v="1"/>
    <x v="1"/>
    <x v="1"/>
    <x v="1"/>
    <x v="0"/>
    <n v="3.3"/>
    <s v="Yes"/>
    <n v="0.84"/>
  </r>
  <r>
    <s v="FL250003"/>
    <s v="Juan Nelson"/>
    <x v="1"/>
    <n v="53"/>
    <x v="2"/>
    <x v="2"/>
    <x v="2"/>
    <x v="2"/>
    <x v="1"/>
    <n v="0"/>
    <s v="No"/>
    <n v="0.71"/>
  </r>
  <r>
    <s v="FL250004"/>
    <s v="Amanda Spencer"/>
    <x v="0"/>
    <n v="38"/>
    <x v="1"/>
    <x v="1"/>
    <x v="3"/>
    <x v="3"/>
    <x v="2"/>
    <n v="1.5"/>
    <s v="No"/>
    <n v="0.9"/>
  </r>
  <r>
    <s v="FL250005"/>
    <s v="Lynn Curtis "/>
    <x v="0"/>
    <n v="53"/>
    <x v="2"/>
    <x v="2"/>
    <x v="3"/>
    <x v="4"/>
    <x v="3"/>
    <n v="4.8"/>
    <s v="No"/>
    <n v="0.83"/>
  </r>
  <r>
    <s v="FL250006"/>
    <s v="Lisa Johnson"/>
    <x v="0"/>
    <n v="59"/>
    <x v="3"/>
    <x v="3"/>
    <x v="4"/>
    <x v="5"/>
    <x v="3"/>
    <n v="2.4"/>
    <s v="No"/>
    <n v="0.79269417475728277"/>
  </r>
  <r>
    <s v="FL250007"/>
    <s v="Eric Myers"/>
    <x v="1"/>
    <n v="52"/>
    <x v="4"/>
    <x v="4"/>
    <x v="5"/>
    <x v="6"/>
    <x v="4"/>
    <n v="3.1"/>
    <s v="No"/>
    <n v="0.94"/>
  </r>
  <r>
    <s v="FL250008"/>
    <s v="Ricky Graham"/>
    <x v="1"/>
    <n v="43"/>
    <x v="0"/>
    <x v="0"/>
    <x v="0"/>
    <x v="5"/>
    <x v="2"/>
    <n v="4.5999999999999996"/>
    <s v="No"/>
    <n v="0.94"/>
  </r>
  <r>
    <s v="FL250009"/>
    <s v="Sean Martin"/>
    <x v="1"/>
    <n v="26"/>
    <x v="5"/>
    <x v="1"/>
    <x v="0"/>
    <x v="3"/>
    <x v="2"/>
    <n v="4"/>
    <s v="Yes"/>
    <n v="0.76"/>
  </r>
  <r>
    <s v="FL250010"/>
    <s v="Matthew Lloyd"/>
    <x v="1"/>
    <n v="52"/>
    <x v="6"/>
    <x v="5"/>
    <x v="4"/>
    <x v="7"/>
    <x v="1"/>
    <n v="2.5125695216907653"/>
    <s v="Yes"/>
    <n v="0.79269417475728277"/>
  </r>
  <r>
    <s v="FL250011"/>
    <s v="Gavin Randall"/>
    <x v="1"/>
    <n v="40"/>
    <x v="7"/>
    <x v="1"/>
    <x v="5"/>
    <x v="8"/>
    <x v="2"/>
    <n v="3.6"/>
    <s v="Yes"/>
    <n v="0.77"/>
  </r>
  <r>
    <s v="FL250012"/>
    <s v="Michelle Curtis"/>
    <x v="0"/>
    <n v="55"/>
    <x v="8"/>
    <x v="6"/>
    <x v="6"/>
    <x v="9"/>
    <x v="2"/>
    <n v="2.5125695216907653"/>
    <s v="Yes"/>
    <n v="0.86"/>
  </r>
  <r>
    <s v="FL250013"/>
    <s v="Alice Schneider"/>
    <x v="0"/>
    <n v="57"/>
    <x v="7"/>
    <x v="1"/>
    <x v="7"/>
    <x v="10"/>
    <x v="2"/>
    <n v="2"/>
    <s v="No"/>
    <n v="0.86"/>
  </r>
  <r>
    <s v="FL250014"/>
    <s v="Phillip Shelton"/>
    <x v="1"/>
    <n v="38"/>
    <x v="8"/>
    <x v="6"/>
    <x v="2"/>
    <x v="11"/>
    <x v="4"/>
    <n v="2.9"/>
    <s v="Yes"/>
    <n v="0.93"/>
  </r>
  <r>
    <s v="FL250015"/>
    <s v="Edward Ferguson"/>
    <x v="1"/>
    <n v="50"/>
    <x v="2"/>
    <x v="2"/>
    <x v="5"/>
    <x v="7"/>
    <x v="4"/>
    <n v="3.7"/>
    <s v="Yes"/>
    <n v="0.7"/>
  </r>
  <r>
    <s v="FL250016"/>
    <s v="Wyatt Stout"/>
    <x v="1"/>
    <n v="42"/>
    <x v="9"/>
    <x v="7"/>
    <x v="5"/>
    <x v="12"/>
    <x v="3"/>
    <n v="1.2"/>
    <s v="No"/>
    <n v="0.69"/>
  </r>
  <r>
    <s v="FL250017"/>
    <s v="Laura Johnson"/>
    <x v="0"/>
    <n v="39"/>
    <x v="1"/>
    <x v="1"/>
    <x v="8"/>
    <x v="13"/>
    <x v="3"/>
    <n v="2.5"/>
    <s v="No"/>
    <n v="0.6"/>
  </r>
  <r>
    <s v="FL250018"/>
    <s v="Scott Burns"/>
    <x v="1"/>
    <n v="56"/>
    <x v="10"/>
    <x v="8"/>
    <x v="0"/>
    <x v="14"/>
    <x v="2"/>
    <n v="2.5125695216907653"/>
    <s v="No"/>
    <n v="0.87"/>
  </r>
  <r>
    <s v="FL250019"/>
    <s v="Tyler Aguirre"/>
    <x v="1"/>
    <n v="56"/>
    <x v="5"/>
    <x v="1"/>
    <x v="6"/>
    <x v="2"/>
    <x v="1"/>
    <n v="1.1000000000000001"/>
    <s v="No"/>
    <n v="0.75"/>
  </r>
  <r>
    <s v="FL250020"/>
    <s v="Matthew Lawson"/>
    <x v="1"/>
    <n v="57"/>
    <x v="0"/>
    <x v="0"/>
    <x v="3"/>
    <x v="15"/>
    <x v="0"/>
    <n v="1.8"/>
    <s v="Yes"/>
    <n v="0.68"/>
  </r>
  <r>
    <s v="FL250021"/>
    <s v="James Cherry"/>
    <x v="1"/>
    <n v="41"/>
    <x v="4"/>
    <x v="4"/>
    <x v="4"/>
    <x v="14"/>
    <x v="1"/>
    <n v="1.8"/>
    <s v="No"/>
    <n v="0.65"/>
  </r>
  <r>
    <s v="FL250022"/>
    <s v="Samuel Sanford"/>
    <x v="1"/>
    <n v="51"/>
    <x v="9"/>
    <x v="7"/>
    <x v="8"/>
    <x v="14"/>
    <x v="2"/>
    <n v="2.4"/>
    <s v="No"/>
    <n v="0.69"/>
  </r>
  <r>
    <s v="FL250023"/>
    <s v="Cesar Greene"/>
    <x v="1"/>
    <n v="51"/>
    <x v="11"/>
    <x v="9"/>
    <x v="7"/>
    <x v="16"/>
    <x v="3"/>
    <n v="4.7"/>
    <s v="No"/>
    <n v="0.79269417475728277"/>
  </r>
  <r>
    <s v="FL250024"/>
    <s v="Melanie Carter"/>
    <x v="0"/>
    <n v="51"/>
    <x v="12"/>
    <x v="10"/>
    <x v="9"/>
    <x v="9"/>
    <x v="1"/>
    <n v="1.3"/>
    <s v="Yes"/>
    <n v="1"/>
  </r>
  <r>
    <s v="FL250025"/>
    <s v="Jennifer Martin"/>
    <x v="0"/>
    <n v="54"/>
    <x v="4"/>
    <x v="4"/>
    <x v="9"/>
    <x v="13"/>
    <x v="4"/>
    <n v="2.9"/>
    <s v="No"/>
    <n v="0.92"/>
  </r>
  <r>
    <s v="FL250026"/>
    <s v="Anna Mccann"/>
    <x v="0"/>
    <n v="22"/>
    <x v="12"/>
    <x v="10"/>
    <x v="8"/>
    <x v="12"/>
    <x v="3"/>
    <n v="1.2"/>
    <s v="Yes"/>
    <n v="0.7"/>
  </r>
  <r>
    <s v="FL250027"/>
    <s v="Marissa Bass"/>
    <x v="0"/>
    <n v="34"/>
    <x v="9"/>
    <x v="7"/>
    <x v="0"/>
    <x v="17"/>
    <x v="5"/>
    <n v="0"/>
    <s v="Yes"/>
    <n v="0.89"/>
  </r>
  <r>
    <s v="FL250028"/>
    <s v="Alexis Day"/>
    <x v="0"/>
    <n v="36"/>
    <x v="13"/>
    <x v="11"/>
    <x v="2"/>
    <x v="0"/>
    <x v="2"/>
    <n v="1.8"/>
    <s v="Yes"/>
    <n v="0.86"/>
  </r>
  <r>
    <s v="FL250029"/>
    <s v="Megan Jones"/>
    <x v="0"/>
    <n v="47"/>
    <x v="14"/>
    <x v="1"/>
    <x v="4"/>
    <x v="7"/>
    <x v="3"/>
    <n v="1.3"/>
    <s v="No"/>
    <n v="0.62"/>
  </r>
  <r>
    <s v="FL250030"/>
    <s v="Lori Smith"/>
    <x v="0"/>
    <n v="41"/>
    <x v="3"/>
    <x v="3"/>
    <x v="5"/>
    <x v="5"/>
    <x v="4"/>
    <n v="1.2"/>
    <s v="No"/>
    <n v="0.79269417475728277"/>
  </r>
  <r>
    <s v="FL250031"/>
    <s v="Eric Carpenter"/>
    <x v="1"/>
    <n v="22"/>
    <x v="3"/>
    <x v="3"/>
    <x v="8"/>
    <x v="3"/>
    <x v="2"/>
    <n v="1"/>
    <s v="Yes"/>
    <n v="0.79269417475728277"/>
  </r>
  <r>
    <s v="FL250032"/>
    <s v="Timothy Daniels"/>
    <x v="1"/>
    <n v="38"/>
    <x v="15"/>
    <x v="12"/>
    <x v="9"/>
    <x v="18"/>
    <x v="0"/>
    <n v="4.2"/>
    <s v="No"/>
    <n v="0.68"/>
  </r>
  <r>
    <s v="FL250033"/>
    <s v="Robert Nelson"/>
    <x v="1"/>
    <n v="46"/>
    <x v="16"/>
    <x v="13"/>
    <x v="4"/>
    <x v="14"/>
    <x v="5"/>
    <n v="1.4"/>
    <s v="Yes"/>
    <n v="0.76"/>
  </r>
  <r>
    <s v="FL250034"/>
    <s v="Michael Anderson"/>
    <x v="1"/>
    <n v="41"/>
    <x v="12"/>
    <x v="10"/>
    <x v="4"/>
    <x v="14"/>
    <x v="2"/>
    <n v="2.4"/>
    <s v="Yes"/>
    <n v="0.82"/>
  </r>
  <r>
    <s v="FL250035"/>
    <s v="Jessica Snyder"/>
    <x v="0"/>
    <n v="54"/>
    <x v="5"/>
    <x v="1"/>
    <x v="3"/>
    <x v="19"/>
    <x v="4"/>
    <n v="1"/>
    <s v="Yes"/>
    <n v="0.81"/>
  </r>
  <r>
    <s v="FL250036"/>
    <s v="Emily Daniels"/>
    <x v="0"/>
    <n v="52"/>
    <x v="12"/>
    <x v="10"/>
    <x v="3"/>
    <x v="20"/>
    <x v="5"/>
    <n v="2.5125695216907653"/>
    <s v="No"/>
    <n v="0.79269417475728277"/>
  </r>
  <r>
    <s v="FL250037"/>
    <s v="Jamie Ramirez"/>
    <x v="0"/>
    <n v="42"/>
    <x v="9"/>
    <x v="7"/>
    <x v="1"/>
    <x v="21"/>
    <x v="2"/>
    <n v="2.5125695216907653"/>
    <s v="No"/>
    <n v="0.63"/>
  </r>
  <r>
    <s v="FL250038"/>
    <s v="Amy Harrison"/>
    <x v="0"/>
    <n v="29"/>
    <x v="3"/>
    <x v="3"/>
    <x v="2"/>
    <x v="6"/>
    <x v="2"/>
    <n v="2.2000000000000002"/>
    <s v="No"/>
    <n v="0.67"/>
  </r>
  <r>
    <s v="FL250039"/>
    <s v="Melinda White"/>
    <x v="0"/>
    <n v="42"/>
    <x v="17"/>
    <x v="14"/>
    <x v="1"/>
    <x v="22"/>
    <x v="1"/>
    <n v="3.2"/>
    <s v="Yes"/>
    <n v="0.79269417475728277"/>
  </r>
  <r>
    <s v="FL250040"/>
    <s v="James Hernandez"/>
    <x v="1"/>
    <n v="60"/>
    <x v="9"/>
    <x v="7"/>
    <x v="3"/>
    <x v="13"/>
    <x v="5"/>
    <n v="3.6"/>
    <s v="No"/>
    <n v="0.8"/>
  </r>
  <r>
    <s v="FL250041"/>
    <s v="Angelica Rogers"/>
    <x v="0"/>
    <n v="59"/>
    <x v="7"/>
    <x v="1"/>
    <x v="4"/>
    <x v="15"/>
    <x v="1"/>
    <n v="0"/>
    <s v="No"/>
    <n v="0.79269417475728277"/>
  </r>
  <r>
    <s v="FL250042"/>
    <s v="Savannah Williams"/>
    <x v="0"/>
    <n v="21"/>
    <x v="14"/>
    <x v="1"/>
    <x v="3"/>
    <x v="12"/>
    <x v="3"/>
    <n v="2.7"/>
    <s v="Yes"/>
    <n v="0.84"/>
  </r>
  <r>
    <s v="FL250043"/>
    <s v="Kaitlyn Schmidt"/>
    <x v="0"/>
    <n v="35"/>
    <x v="2"/>
    <x v="2"/>
    <x v="8"/>
    <x v="6"/>
    <x v="1"/>
    <n v="0"/>
    <s v="No"/>
    <n v="0.79269417475728277"/>
  </r>
  <r>
    <s v="FL250044"/>
    <s v="Jason Singh"/>
    <x v="1"/>
    <n v="41"/>
    <x v="7"/>
    <x v="1"/>
    <x v="5"/>
    <x v="14"/>
    <x v="5"/>
    <n v="2.8"/>
    <s v="Yes"/>
    <n v="0.63"/>
  </r>
  <r>
    <s v="FL250045"/>
    <s v="Michelle Ramirez"/>
    <x v="0"/>
    <n v="51"/>
    <x v="3"/>
    <x v="3"/>
    <x v="9"/>
    <x v="22"/>
    <x v="5"/>
    <n v="2.5"/>
    <s v="No"/>
    <n v="0.8"/>
  </r>
  <r>
    <s v="FL250046"/>
    <s v="James Brown"/>
    <x v="1"/>
    <n v="41"/>
    <x v="17"/>
    <x v="14"/>
    <x v="3"/>
    <x v="14"/>
    <x v="4"/>
    <n v="4.9000000000000004"/>
    <s v="Yes"/>
    <n v="0.74"/>
  </r>
  <r>
    <s v="FL250047"/>
    <s v=" Samantha Simmons"/>
    <x v="0"/>
    <n v="47"/>
    <x v="16"/>
    <x v="13"/>
    <x v="8"/>
    <x v="9"/>
    <x v="3"/>
    <n v="4.5"/>
    <s v="Yes"/>
    <n v="0.85"/>
  </r>
  <r>
    <s v="FL250048"/>
    <s v="Chase Mason"/>
    <x v="1"/>
    <n v="25"/>
    <x v="18"/>
    <x v="15"/>
    <x v="2"/>
    <x v="3"/>
    <x v="1"/>
    <n v="2.7"/>
    <s v="No"/>
    <n v="0.77"/>
  </r>
  <r>
    <s v="FL250049"/>
    <s v="Dominique Ward"/>
    <x v="0"/>
    <n v="25"/>
    <x v="19"/>
    <x v="6"/>
    <x v="1"/>
    <x v="23"/>
    <x v="5"/>
    <n v="1.9"/>
    <s v="No"/>
    <n v="0.79269417475728277"/>
  </r>
  <r>
    <s v="FL250050"/>
    <s v="Lance Griffin"/>
    <x v="1"/>
    <n v="29"/>
    <x v="3"/>
    <x v="3"/>
    <x v="6"/>
    <x v="24"/>
    <x v="5"/>
    <n v="1.4"/>
    <s v="Yes"/>
    <n v="0.63"/>
  </r>
  <r>
    <s v="FL250051"/>
    <s v="Julie Burgess"/>
    <x v="0"/>
    <n v="23"/>
    <x v="8"/>
    <x v="6"/>
    <x v="7"/>
    <x v="12"/>
    <x v="4"/>
    <n v="1.9"/>
    <s v="Yes"/>
    <n v="0.79"/>
  </r>
  <r>
    <s v="FL250052"/>
    <s v="Don Scott"/>
    <x v="1"/>
    <n v="31"/>
    <x v="15"/>
    <x v="12"/>
    <x v="5"/>
    <x v="17"/>
    <x v="1"/>
    <n v="3.4"/>
    <s v="No"/>
    <n v="0.79269417475728277"/>
  </r>
  <r>
    <s v="FL250053"/>
    <s v="Kyle Atkinson"/>
    <x v="1"/>
    <n v="51"/>
    <x v="2"/>
    <x v="2"/>
    <x v="9"/>
    <x v="25"/>
    <x v="4"/>
    <n v="3.3"/>
    <s v="No"/>
    <n v="0.68"/>
  </r>
  <r>
    <s v="FL250054"/>
    <s v="Jimmy Hogan"/>
    <x v="1"/>
    <n v="41"/>
    <x v="20"/>
    <x v="6"/>
    <x v="6"/>
    <x v="24"/>
    <x v="3"/>
    <n v="0"/>
    <s v="No"/>
    <n v="0.68"/>
  </r>
  <r>
    <s v="FL250055"/>
    <s v="Jennifer Mcintyre"/>
    <x v="0"/>
    <n v="29"/>
    <x v="6"/>
    <x v="5"/>
    <x v="7"/>
    <x v="0"/>
    <x v="0"/>
    <n v="2.2999999999999998"/>
    <s v="Yes"/>
    <n v="0.72"/>
  </r>
  <r>
    <s v="FL250056"/>
    <s v="Larry Simpson"/>
    <x v="1"/>
    <n v="50"/>
    <x v="7"/>
    <x v="1"/>
    <x v="4"/>
    <x v="9"/>
    <x v="2"/>
    <n v="2"/>
    <s v="Yes"/>
    <n v="0.65"/>
  </r>
  <r>
    <s v="FL250057"/>
    <s v="Laura Price"/>
    <x v="0"/>
    <n v="26"/>
    <x v="7"/>
    <x v="1"/>
    <x v="8"/>
    <x v="17"/>
    <x v="1"/>
    <n v="1.3"/>
    <s v="No"/>
    <n v="0.76"/>
  </r>
  <r>
    <s v="FL250058"/>
    <s v="Mark Wright"/>
    <x v="1"/>
    <n v="38"/>
    <x v="14"/>
    <x v="1"/>
    <x v="4"/>
    <x v="8"/>
    <x v="2"/>
    <n v="4"/>
    <s v="Yes"/>
    <n v="0.9"/>
  </r>
  <r>
    <s v="FL250059"/>
    <s v="Samantha Mcdaniel"/>
    <x v="0"/>
    <n v="23"/>
    <x v="10"/>
    <x v="8"/>
    <x v="1"/>
    <x v="14"/>
    <x v="4"/>
    <n v="3.6"/>
    <s v="Yes"/>
    <n v="0.65"/>
  </r>
  <r>
    <s v="FL250060"/>
    <s v="Barbara Foster"/>
    <x v="0"/>
    <n v="51"/>
    <x v="17"/>
    <x v="14"/>
    <x v="8"/>
    <x v="20"/>
    <x v="2"/>
    <n v="3.9"/>
    <s v="No"/>
    <n v="0.63"/>
  </r>
  <r>
    <s v="FL250061"/>
    <s v="Courtney Tran"/>
    <x v="0"/>
    <n v="51"/>
    <x v="4"/>
    <x v="4"/>
    <x v="4"/>
    <x v="25"/>
    <x v="4"/>
    <n v="0"/>
    <s v="Yes"/>
    <n v="0.79269417475728277"/>
  </r>
  <r>
    <s v="FL250062"/>
    <s v="Eddie Todd"/>
    <x v="1"/>
    <n v="47"/>
    <x v="2"/>
    <x v="2"/>
    <x v="4"/>
    <x v="10"/>
    <x v="4"/>
    <n v="0"/>
    <s v="No"/>
    <n v="0.79269417475728277"/>
  </r>
  <r>
    <s v="FL250063"/>
    <s v="Christine Johnson"/>
    <x v="0"/>
    <n v="34"/>
    <x v="13"/>
    <x v="11"/>
    <x v="6"/>
    <x v="26"/>
    <x v="5"/>
    <n v="2.2999999999999998"/>
    <s v="Yes"/>
    <n v="0.93"/>
  </r>
  <r>
    <s v="FL250064"/>
    <s v="Leah Phelps"/>
    <x v="0"/>
    <n v="58"/>
    <x v="4"/>
    <x v="4"/>
    <x v="5"/>
    <x v="27"/>
    <x v="1"/>
    <n v="4.7"/>
    <s v="No"/>
    <n v="0.7"/>
  </r>
  <r>
    <s v="FL250065"/>
    <s v="Rebekah Williams"/>
    <x v="0"/>
    <n v="50"/>
    <x v="13"/>
    <x v="11"/>
    <x v="4"/>
    <x v="5"/>
    <x v="2"/>
    <n v="3.5"/>
    <s v="Yes"/>
    <n v="0.83"/>
  </r>
  <r>
    <s v="FL250066"/>
    <s v="Crystal Wilson"/>
    <x v="0"/>
    <n v="34"/>
    <x v="20"/>
    <x v="6"/>
    <x v="3"/>
    <x v="28"/>
    <x v="2"/>
    <n v="2.4"/>
    <s v="Yes"/>
    <n v="0.64"/>
  </r>
  <r>
    <s v="FL250067"/>
    <s v="Ashley Cordova"/>
    <x v="0"/>
    <n v="45"/>
    <x v="11"/>
    <x v="9"/>
    <x v="4"/>
    <x v="0"/>
    <x v="4"/>
    <n v="4"/>
    <s v="No"/>
    <n v="1"/>
  </r>
  <r>
    <s v="FL250068"/>
    <s v="Vicki Kelly"/>
    <x v="0"/>
    <n v="55"/>
    <x v="11"/>
    <x v="9"/>
    <x v="3"/>
    <x v="12"/>
    <x v="2"/>
    <n v="0"/>
    <s v="Yes"/>
    <n v="0.79269417475728277"/>
  </r>
  <r>
    <s v="FL250069"/>
    <s v="Corey Warren"/>
    <x v="1"/>
    <n v="41"/>
    <x v="8"/>
    <x v="6"/>
    <x v="6"/>
    <x v="21"/>
    <x v="0"/>
    <n v="1.5"/>
    <s v="No"/>
    <n v="0.79269417475728277"/>
  </r>
  <r>
    <s v="FL250070"/>
    <s v="Gina Thompson"/>
    <x v="0"/>
    <n v="60"/>
    <x v="18"/>
    <x v="15"/>
    <x v="6"/>
    <x v="29"/>
    <x v="5"/>
    <n v="2"/>
    <s v="No"/>
    <n v="0.71"/>
  </r>
  <r>
    <s v="FL250071"/>
    <s v="Yvonne Berg"/>
    <x v="0"/>
    <n v="33"/>
    <x v="17"/>
    <x v="14"/>
    <x v="1"/>
    <x v="0"/>
    <x v="2"/>
    <n v="2.5125695216907653"/>
    <s v="Yes"/>
    <n v="0.84"/>
  </r>
  <r>
    <s v="FL250072"/>
    <s v="Thomas Miller"/>
    <x v="1"/>
    <n v="60"/>
    <x v="0"/>
    <x v="0"/>
    <x v="8"/>
    <x v="13"/>
    <x v="1"/>
    <n v="1"/>
    <s v="No"/>
    <n v="0.79269417475728277"/>
  </r>
  <r>
    <s v="FL250073"/>
    <s v="Nicholas Burton"/>
    <x v="1"/>
    <n v="40"/>
    <x v="5"/>
    <x v="1"/>
    <x v="3"/>
    <x v="14"/>
    <x v="0"/>
    <n v="4.5"/>
    <s v="Yes"/>
    <n v="0.69"/>
  </r>
  <r>
    <s v="FL250074"/>
    <s v="Jorge Riley"/>
    <x v="1"/>
    <n v="59"/>
    <x v="1"/>
    <x v="1"/>
    <x v="0"/>
    <x v="3"/>
    <x v="2"/>
    <n v="1.9"/>
    <s v="No"/>
    <n v="0.88"/>
  </r>
  <r>
    <s v="FL250075"/>
    <s v="Melvin Harris"/>
    <x v="1"/>
    <n v="36"/>
    <x v="0"/>
    <x v="0"/>
    <x v="9"/>
    <x v="5"/>
    <x v="0"/>
    <n v="3.7"/>
    <s v="No"/>
    <n v="0.79269417475728277"/>
  </r>
  <r>
    <s v="FL250076"/>
    <s v="Jeremy Meyer"/>
    <x v="1"/>
    <n v="32"/>
    <x v="10"/>
    <x v="8"/>
    <x v="5"/>
    <x v="14"/>
    <x v="3"/>
    <n v="1.9"/>
    <s v="Yes"/>
    <n v="0.96"/>
  </r>
  <r>
    <s v="FL250077"/>
    <s v="Timothy Lee"/>
    <x v="1"/>
    <n v="59"/>
    <x v="1"/>
    <x v="1"/>
    <x v="4"/>
    <x v="14"/>
    <x v="4"/>
    <n v="4"/>
    <s v="Yes"/>
    <n v="0.96"/>
  </r>
  <r>
    <s v="FL250078"/>
    <s v="Diana Bautista"/>
    <x v="0"/>
    <n v="54"/>
    <x v="20"/>
    <x v="6"/>
    <x v="8"/>
    <x v="19"/>
    <x v="2"/>
    <n v="1.8"/>
    <s v="No"/>
    <n v="0.79269417475728277"/>
  </r>
  <r>
    <s v="FL250079"/>
    <s v="Leslie Rodriguez"/>
    <x v="0"/>
    <n v="37"/>
    <x v="14"/>
    <x v="1"/>
    <x v="2"/>
    <x v="14"/>
    <x v="2"/>
    <n v="0"/>
    <s v="Yes"/>
    <n v="0.89"/>
  </r>
  <r>
    <s v="FL250080"/>
    <s v="Noah Wiggins"/>
    <x v="1"/>
    <n v="54"/>
    <x v="10"/>
    <x v="8"/>
    <x v="9"/>
    <x v="16"/>
    <x v="0"/>
    <n v="4.5999999999999996"/>
    <s v="No"/>
    <n v="0.79269417475728277"/>
  </r>
  <r>
    <s v="FL250081"/>
    <s v="Bridget Williams"/>
    <x v="0"/>
    <n v="33"/>
    <x v="8"/>
    <x v="6"/>
    <x v="6"/>
    <x v="28"/>
    <x v="0"/>
    <n v="3.6"/>
    <s v="No"/>
    <n v="0.63"/>
  </r>
  <r>
    <s v="FL250082"/>
    <s v="Veronica Baker"/>
    <x v="0"/>
    <n v="25"/>
    <x v="16"/>
    <x v="13"/>
    <x v="3"/>
    <x v="23"/>
    <x v="2"/>
    <n v="4.4000000000000004"/>
    <s v="No"/>
    <n v="0.81"/>
  </r>
  <r>
    <s v="FL250083"/>
    <s v="Andrew Avila"/>
    <x v="1"/>
    <n v="41"/>
    <x v="18"/>
    <x v="15"/>
    <x v="8"/>
    <x v="15"/>
    <x v="2"/>
    <n v="4.5999999999999996"/>
    <s v="No"/>
    <n v="0.74"/>
  </r>
  <r>
    <s v="FL250084"/>
    <s v="Michael Roberson"/>
    <x v="1"/>
    <n v="35"/>
    <x v="12"/>
    <x v="10"/>
    <x v="3"/>
    <x v="30"/>
    <x v="4"/>
    <n v="3.2"/>
    <s v="No"/>
    <n v="0.72"/>
  </r>
  <r>
    <s v="FL250085"/>
    <s v="Austin Jenkins"/>
    <x v="1"/>
    <n v="59"/>
    <x v="12"/>
    <x v="10"/>
    <x v="4"/>
    <x v="31"/>
    <x v="2"/>
    <n v="0"/>
    <s v="Yes"/>
    <n v="0.79269417475728277"/>
  </r>
  <r>
    <s v="FL250086"/>
    <s v="Brenda Green"/>
    <x v="0"/>
    <n v="21"/>
    <x v="18"/>
    <x v="15"/>
    <x v="8"/>
    <x v="32"/>
    <x v="0"/>
    <n v="2.6"/>
    <s v="Yes"/>
    <n v="0.85"/>
  </r>
  <r>
    <s v="FL250087"/>
    <s v="Samuel Pierce"/>
    <x v="1"/>
    <n v="25"/>
    <x v="5"/>
    <x v="1"/>
    <x v="1"/>
    <x v="32"/>
    <x v="4"/>
    <n v="3.7"/>
    <s v="No"/>
    <n v="0.79269417475728277"/>
  </r>
  <r>
    <s v="FL250088"/>
    <s v="Briana Smith"/>
    <x v="0"/>
    <n v="38"/>
    <x v="19"/>
    <x v="6"/>
    <x v="3"/>
    <x v="18"/>
    <x v="4"/>
    <n v="2.2999999999999998"/>
    <s v="No"/>
    <n v="0.61"/>
  </r>
  <r>
    <s v="FL250089"/>
    <s v="Ronald Barrett"/>
    <x v="1"/>
    <n v="57"/>
    <x v="13"/>
    <x v="11"/>
    <x v="4"/>
    <x v="26"/>
    <x v="0"/>
    <n v="3.1"/>
    <s v="No"/>
    <n v="0.79269417475728277"/>
  </r>
  <r>
    <s v="FL250090"/>
    <s v="Matthew Smith"/>
    <x v="1"/>
    <n v="32"/>
    <x v="10"/>
    <x v="8"/>
    <x v="1"/>
    <x v="6"/>
    <x v="5"/>
    <n v="2.4"/>
    <s v="No"/>
    <n v="0.86"/>
  </r>
  <r>
    <s v="FL250091"/>
    <s v="Logan Huang"/>
    <x v="1"/>
    <n v="21"/>
    <x v="0"/>
    <x v="0"/>
    <x v="8"/>
    <x v="32"/>
    <x v="0"/>
    <n v="1.6"/>
    <s v="Yes"/>
    <n v="0.97"/>
  </r>
  <r>
    <s v="FL250092"/>
    <s v="Miranda Hutchinson"/>
    <x v="0"/>
    <n v="57"/>
    <x v="14"/>
    <x v="1"/>
    <x v="7"/>
    <x v="10"/>
    <x v="1"/>
    <n v="2.4"/>
    <s v="Yes"/>
    <n v="0.63"/>
  </r>
  <r>
    <s v="FL250093"/>
    <s v="Paul Richardson"/>
    <x v="1"/>
    <n v="53"/>
    <x v="18"/>
    <x v="15"/>
    <x v="6"/>
    <x v="16"/>
    <x v="0"/>
    <n v="2.5125695216907653"/>
    <s v="Yes"/>
    <n v="0.97"/>
  </r>
  <r>
    <s v="FL250094"/>
    <s v="Jose Jones"/>
    <x v="1"/>
    <n v="35"/>
    <x v="13"/>
    <x v="11"/>
    <x v="0"/>
    <x v="15"/>
    <x v="3"/>
    <n v="3.8"/>
    <s v="Yes"/>
    <n v="0.81"/>
  </r>
  <r>
    <s v="FL250095"/>
    <s v="Denise Smith"/>
    <x v="0"/>
    <n v="54"/>
    <x v="18"/>
    <x v="15"/>
    <x v="9"/>
    <x v="8"/>
    <x v="5"/>
    <n v="1.7"/>
    <s v="No"/>
    <n v="0.69"/>
  </r>
  <r>
    <s v="FL250096"/>
    <s v="Shelby Mcmahon"/>
    <x v="0"/>
    <n v="36"/>
    <x v="0"/>
    <x v="0"/>
    <x v="6"/>
    <x v="12"/>
    <x v="5"/>
    <n v="1.3"/>
    <s v="Yes"/>
    <n v="0.64"/>
  </r>
  <r>
    <s v="FL250097"/>
    <s v="Bethany Wright"/>
    <x v="0"/>
    <n v="49"/>
    <x v="20"/>
    <x v="6"/>
    <x v="7"/>
    <x v="33"/>
    <x v="1"/>
    <n v="5"/>
    <s v="No"/>
    <n v="0.77"/>
  </r>
  <r>
    <s v="FL250098"/>
    <s v="David Ortiz"/>
    <x v="1"/>
    <n v="37"/>
    <x v="5"/>
    <x v="1"/>
    <x v="0"/>
    <x v="8"/>
    <x v="5"/>
    <n v="3.3"/>
    <s v="No"/>
    <n v="0.96"/>
  </r>
  <r>
    <s v="FL250099"/>
    <s v="Andrew Lynch"/>
    <x v="1"/>
    <n v="41"/>
    <x v="5"/>
    <x v="1"/>
    <x v="6"/>
    <x v="30"/>
    <x v="5"/>
    <n v="1.1000000000000001"/>
    <s v="No"/>
    <n v="0.74"/>
  </r>
  <r>
    <s v="FL250100"/>
    <s v="Kristopher Meyers"/>
    <x v="1"/>
    <n v="32"/>
    <x v="16"/>
    <x v="13"/>
    <x v="6"/>
    <x v="6"/>
    <x v="1"/>
    <n v="1.2"/>
    <s v="No"/>
    <n v="0.89"/>
  </r>
  <r>
    <s v="FL250101"/>
    <s v="Thomas Roth"/>
    <x v="1"/>
    <n v="35"/>
    <x v="10"/>
    <x v="8"/>
    <x v="1"/>
    <x v="12"/>
    <x v="2"/>
    <n v="2"/>
    <s v="Yes"/>
    <n v="0.64"/>
  </r>
  <r>
    <s v="FL250102"/>
    <s v="Vicki Brown"/>
    <x v="0"/>
    <n v="51"/>
    <x v="13"/>
    <x v="11"/>
    <x v="2"/>
    <x v="32"/>
    <x v="3"/>
    <n v="4.5"/>
    <s v="No"/>
    <n v="0.64"/>
  </r>
  <r>
    <s v="FL250103"/>
    <s v="Stacy Sutton"/>
    <x v="0"/>
    <n v="50"/>
    <x v="13"/>
    <x v="11"/>
    <x v="8"/>
    <x v="31"/>
    <x v="0"/>
    <n v="3"/>
    <s v="Yes"/>
    <n v="0.73"/>
  </r>
  <r>
    <s v="FL250104"/>
    <s v="Kimberly Holland"/>
    <x v="0"/>
    <n v="21"/>
    <x v="6"/>
    <x v="5"/>
    <x v="0"/>
    <x v="32"/>
    <x v="1"/>
    <n v="4.9000000000000004"/>
    <s v="Yes"/>
    <n v="0.68"/>
  </r>
  <r>
    <s v="FL250105"/>
    <s v="Travis Richardson"/>
    <x v="1"/>
    <n v="25"/>
    <x v="5"/>
    <x v="1"/>
    <x v="2"/>
    <x v="15"/>
    <x v="3"/>
    <n v="2.5125695216907653"/>
    <s v="No"/>
    <n v="0.88"/>
  </r>
  <r>
    <s v="FL250106"/>
    <s v="Jasmin Ho"/>
    <x v="0"/>
    <n v="57"/>
    <x v="15"/>
    <x v="12"/>
    <x v="8"/>
    <x v="16"/>
    <x v="2"/>
    <n v="2.5"/>
    <s v="No"/>
    <n v="0.77"/>
  </r>
  <r>
    <s v="FL250107"/>
    <s v="Mark Paul"/>
    <x v="1"/>
    <n v="58"/>
    <x v="13"/>
    <x v="11"/>
    <x v="0"/>
    <x v="15"/>
    <x v="2"/>
    <n v="0"/>
    <s v="Yes"/>
    <n v="0.79269417475728277"/>
  </r>
  <r>
    <s v="FL250108"/>
    <s v="Jennifer Lewis"/>
    <x v="0"/>
    <n v="45"/>
    <x v="4"/>
    <x v="4"/>
    <x v="1"/>
    <x v="18"/>
    <x v="2"/>
    <n v="2.5125695216907653"/>
    <s v="Yes"/>
    <n v="0.72"/>
  </r>
  <r>
    <s v="FL250109"/>
    <s v="Elizabeth Lester"/>
    <x v="0"/>
    <n v="23"/>
    <x v="5"/>
    <x v="1"/>
    <x v="3"/>
    <x v="12"/>
    <x v="5"/>
    <n v="4.7"/>
    <s v="Yes"/>
    <n v="0.6"/>
  </r>
  <r>
    <s v="FL250110"/>
    <s v="Kimberly Griffin"/>
    <x v="0"/>
    <n v="46"/>
    <x v="5"/>
    <x v="1"/>
    <x v="4"/>
    <x v="14"/>
    <x v="3"/>
    <n v="3.5"/>
    <s v="No"/>
    <n v="0.72"/>
  </r>
  <r>
    <s v="FL250111"/>
    <s v="Tyler Warner"/>
    <x v="1"/>
    <n v="27"/>
    <x v="8"/>
    <x v="6"/>
    <x v="6"/>
    <x v="30"/>
    <x v="3"/>
    <n v="2.5125695216907653"/>
    <s v="No"/>
    <n v="0.92"/>
  </r>
  <r>
    <s v="FL250112"/>
    <s v="Jane Cox"/>
    <x v="0"/>
    <n v="32"/>
    <x v="5"/>
    <x v="1"/>
    <x v="9"/>
    <x v="21"/>
    <x v="1"/>
    <n v="3.4"/>
    <s v="Yes"/>
    <n v="0.79269417475728277"/>
  </r>
  <r>
    <s v="FL250113"/>
    <s v="Leah Williams"/>
    <x v="0"/>
    <n v="48"/>
    <x v="8"/>
    <x v="6"/>
    <x v="9"/>
    <x v="21"/>
    <x v="4"/>
    <n v="2.5"/>
    <s v="No"/>
    <n v="0.92"/>
  </r>
  <r>
    <s v="FL250114"/>
    <s v="Kevin Wong"/>
    <x v="1"/>
    <n v="30"/>
    <x v="6"/>
    <x v="5"/>
    <x v="1"/>
    <x v="15"/>
    <x v="3"/>
    <n v="1.1000000000000001"/>
    <s v="Yes"/>
    <n v="0.79269417475728277"/>
  </r>
  <r>
    <s v="FL250115"/>
    <s v="Robert Andrews"/>
    <x v="1"/>
    <n v="59"/>
    <x v="6"/>
    <x v="5"/>
    <x v="4"/>
    <x v="13"/>
    <x v="5"/>
    <n v="4.8"/>
    <s v="No"/>
    <n v="0.79269417475728277"/>
  </r>
  <r>
    <s v="FL250116"/>
    <s v="Jessica Torres"/>
    <x v="0"/>
    <n v="32"/>
    <x v="19"/>
    <x v="6"/>
    <x v="4"/>
    <x v="30"/>
    <x v="3"/>
    <n v="2.5125695216907653"/>
    <s v="No"/>
    <n v="0.86"/>
  </r>
  <r>
    <s v="FL250117"/>
    <s v="Teresa Kim"/>
    <x v="0"/>
    <n v="57"/>
    <x v="16"/>
    <x v="13"/>
    <x v="6"/>
    <x v="3"/>
    <x v="2"/>
    <n v="3.4"/>
    <s v="Yes"/>
    <n v="0.68"/>
  </r>
  <r>
    <s v="FL250118"/>
    <s v="Jon Morgan"/>
    <x v="1"/>
    <n v="27"/>
    <x v="1"/>
    <x v="1"/>
    <x v="9"/>
    <x v="23"/>
    <x v="5"/>
    <n v="3.2"/>
    <s v="Yes"/>
    <n v="0.62"/>
  </r>
  <r>
    <s v="FL250119"/>
    <s v="Gloria Chaney"/>
    <x v="0"/>
    <n v="33"/>
    <x v="4"/>
    <x v="4"/>
    <x v="9"/>
    <x v="13"/>
    <x v="5"/>
    <n v="3.2"/>
    <s v="No"/>
    <n v="0.79269417475728277"/>
  </r>
  <r>
    <s v="FL250120"/>
    <s v="Jesse Campbell"/>
    <x v="1"/>
    <n v="29"/>
    <x v="12"/>
    <x v="10"/>
    <x v="5"/>
    <x v="3"/>
    <x v="3"/>
    <n v="0"/>
    <s v="Yes"/>
    <n v="0.82"/>
  </r>
  <r>
    <s v="FL250121"/>
    <s v="Allison Tucker "/>
    <x v="0"/>
    <n v="36"/>
    <x v="4"/>
    <x v="4"/>
    <x v="6"/>
    <x v="13"/>
    <x v="4"/>
    <n v="2.5125695216907653"/>
    <s v="Yes"/>
    <n v="0.79269417475728277"/>
  </r>
  <r>
    <s v="FL250122"/>
    <s v="Candice Petersen"/>
    <x v="0"/>
    <n v="47"/>
    <x v="0"/>
    <x v="0"/>
    <x v="8"/>
    <x v="30"/>
    <x v="2"/>
    <n v="3.7"/>
    <s v="No"/>
    <n v="0.93"/>
  </r>
  <r>
    <s v="FL250123"/>
    <s v="Christopher Nichols"/>
    <x v="1"/>
    <n v="48"/>
    <x v="14"/>
    <x v="1"/>
    <x v="9"/>
    <x v="9"/>
    <x v="1"/>
    <n v="1"/>
    <s v="Yes"/>
    <n v="0.64"/>
  </r>
  <r>
    <s v="FL250124"/>
    <s v="Debra Garcia"/>
    <x v="0"/>
    <n v="27"/>
    <x v="18"/>
    <x v="15"/>
    <x v="6"/>
    <x v="17"/>
    <x v="1"/>
    <n v="0"/>
    <s v="No"/>
    <n v="0.79269417475728277"/>
  </r>
  <r>
    <s v="FL250125"/>
    <s v="Andrew Fuentes"/>
    <x v="1"/>
    <n v="34"/>
    <x v="1"/>
    <x v="1"/>
    <x v="3"/>
    <x v="6"/>
    <x v="2"/>
    <n v="1.7"/>
    <s v="No"/>
    <n v="0.96"/>
  </r>
  <r>
    <s v="FL250126"/>
    <s v="Jason Carter"/>
    <x v="1"/>
    <n v="49"/>
    <x v="12"/>
    <x v="10"/>
    <x v="5"/>
    <x v="18"/>
    <x v="2"/>
    <n v="5"/>
    <s v="Yes"/>
    <n v="0.83"/>
  </r>
  <r>
    <s v="FL250127"/>
    <s v="Austin Romero"/>
    <x v="1"/>
    <n v="30"/>
    <x v="11"/>
    <x v="9"/>
    <x v="1"/>
    <x v="6"/>
    <x v="0"/>
    <n v="1.7"/>
    <s v="Yes"/>
    <n v="0.64"/>
  </r>
  <r>
    <s v="FL250128"/>
    <s v="Clayton Burns"/>
    <x v="1"/>
    <n v="31"/>
    <x v="16"/>
    <x v="13"/>
    <x v="2"/>
    <x v="17"/>
    <x v="2"/>
    <n v="4.4000000000000004"/>
    <s v="No"/>
    <n v="0.7"/>
  </r>
  <r>
    <s v="FL250129"/>
    <s v="Jonathan Clark"/>
    <x v="1"/>
    <n v="58"/>
    <x v="18"/>
    <x v="15"/>
    <x v="9"/>
    <x v="14"/>
    <x v="5"/>
    <n v="0"/>
    <s v="No"/>
    <n v="0.65"/>
  </r>
  <r>
    <s v="FL250130"/>
    <s v="Alexander Griffin"/>
    <x v="1"/>
    <n v="47"/>
    <x v="15"/>
    <x v="12"/>
    <x v="9"/>
    <x v="13"/>
    <x v="2"/>
    <n v="3.4"/>
    <s v="No"/>
    <n v="0.67"/>
  </r>
  <r>
    <s v="FL250131"/>
    <s v="Shelly Whitehead"/>
    <x v="0"/>
    <n v="45"/>
    <x v="7"/>
    <x v="1"/>
    <x v="7"/>
    <x v="5"/>
    <x v="0"/>
    <n v="1.1000000000000001"/>
    <s v="No"/>
    <n v="0.93"/>
  </r>
  <r>
    <s v="FL250132"/>
    <s v="Kaitlyn Davis"/>
    <x v="0"/>
    <n v="57"/>
    <x v="15"/>
    <x v="12"/>
    <x v="9"/>
    <x v="12"/>
    <x v="1"/>
    <n v="1.6"/>
    <s v="No"/>
    <n v="0.6"/>
  </r>
  <r>
    <s v="FL250133"/>
    <s v="Christopher Jones"/>
    <x v="1"/>
    <n v="50"/>
    <x v="10"/>
    <x v="8"/>
    <x v="3"/>
    <x v="7"/>
    <x v="0"/>
    <n v="4.0999999999999996"/>
    <s v="No"/>
    <n v="0.62"/>
  </r>
  <r>
    <s v="FL250134"/>
    <s v="Cindy Jacobs"/>
    <x v="0"/>
    <n v="41"/>
    <x v="11"/>
    <x v="9"/>
    <x v="9"/>
    <x v="3"/>
    <x v="2"/>
    <n v="2.5"/>
    <s v="No"/>
    <n v="0.7"/>
  </r>
  <r>
    <s v="FL250135"/>
    <s v="Penny Day"/>
    <x v="0"/>
    <n v="45"/>
    <x v="4"/>
    <x v="4"/>
    <x v="0"/>
    <x v="7"/>
    <x v="0"/>
    <n v="4"/>
    <s v="Yes"/>
    <n v="0.75"/>
  </r>
  <r>
    <s v="FL250136"/>
    <s v="Thomas Ingram"/>
    <x v="1"/>
    <n v="60"/>
    <x v="17"/>
    <x v="14"/>
    <x v="7"/>
    <x v="34"/>
    <x v="4"/>
    <n v="1.4"/>
    <s v="No"/>
    <n v="0.7"/>
  </r>
  <r>
    <s v="FL250137"/>
    <s v="Donna Hansen"/>
    <x v="0"/>
    <n v="43"/>
    <x v="7"/>
    <x v="1"/>
    <x v="7"/>
    <x v="30"/>
    <x v="1"/>
    <n v="2.5125695216907653"/>
    <s v="Yes"/>
    <n v="0.84"/>
  </r>
  <r>
    <s v="FL250138"/>
    <s v="Donna Bailey"/>
    <x v="0"/>
    <n v="39"/>
    <x v="15"/>
    <x v="12"/>
    <x v="7"/>
    <x v="30"/>
    <x v="2"/>
    <n v="1.2"/>
    <s v="No"/>
    <n v="0.83"/>
  </r>
  <r>
    <s v="FL250139"/>
    <s v="Joshua Armstrong"/>
    <x v="1"/>
    <n v="26"/>
    <x v="19"/>
    <x v="6"/>
    <x v="6"/>
    <x v="30"/>
    <x v="1"/>
    <n v="0"/>
    <s v="No"/>
    <n v="0.79269417475728277"/>
  </r>
  <r>
    <s v="FL250140"/>
    <s v="Jonathan Garza"/>
    <x v="1"/>
    <n v="31"/>
    <x v="2"/>
    <x v="2"/>
    <x v="7"/>
    <x v="0"/>
    <x v="1"/>
    <n v="3.1"/>
    <s v="No"/>
    <n v="0.88"/>
  </r>
  <r>
    <s v="FL250141"/>
    <s v="Charles Jones"/>
    <x v="1"/>
    <n v="52"/>
    <x v="15"/>
    <x v="12"/>
    <x v="6"/>
    <x v="9"/>
    <x v="1"/>
    <n v="0"/>
    <s v="Yes"/>
    <n v="0.81"/>
  </r>
  <r>
    <s v="FL250142"/>
    <s v="Lindsey Miles"/>
    <x v="0"/>
    <n v="34"/>
    <x v="10"/>
    <x v="8"/>
    <x v="5"/>
    <x v="30"/>
    <x v="5"/>
    <n v="2.2000000000000002"/>
    <s v="Yes"/>
    <n v="0.8"/>
  </r>
  <r>
    <s v="FL250143"/>
    <s v="Eduardo Reed"/>
    <x v="1"/>
    <n v="45"/>
    <x v="7"/>
    <x v="1"/>
    <x v="3"/>
    <x v="23"/>
    <x v="4"/>
    <n v="3"/>
    <s v="Yes"/>
    <n v="0.67"/>
  </r>
  <r>
    <s v="FL250144"/>
    <s v="Lee Fowler"/>
    <x v="1"/>
    <n v="46"/>
    <x v="7"/>
    <x v="1"/>
    <x v="7"/>
    <x v="14"/>
    <x v="5"/>
    <n v="0"/>
    <s v="No"/>
    <n v="0.82"/>
  </r>
  <r>
    <s v="FL250145"/>
    <s v="Steven Jones "/>
    <x v="1"/>
    <n v="56"/>
    <x v="15"/>
    <x v="12"/>
    <x v="6"/>
    <x v="16"/>
    <x v="0"/>
    <n v="0"/>
    <s v="Yes"/>
    <n v="0.78"/>
  </r>
  <r>
    <s v="FL250146"/>
    <s v="Ashley Chen"/>
    <x v="0"/>
    <n v="59"/>
    <x v="2"/>
    <x v="2"/>
    <x v="4"/>
    <x v="23"/>
    <x v="2"/>
    <n v="1.4"/>
    <s v="No"/>
    <n v="0.81"/>
  </r>
  <r>
    <s v="FL250147"/>
    <s v="Erica Davis"/>
    <x v="0"/>
    <n v="54"/>
    <x v="16"/>
    <x v="13"/>
    <x v="0"/>
    <x v="3"/>
    <x v="2"/>
    <n v="1.4"/>
    <s v="Yes"/>
    <n v="0.74"/>
  </r>
  <r>
    <s v="FL250148"/>
    <s v="Wayne Gonzales"/>
    <x v="1"/>
    <n v="36"/>
    <x v="2"/>
    <x v="2"/>
    <x v="6"/>
    <x v="23"/>
    <x v="3"/>
    <n v="0"/>
    <s v="No"/>
    <n v="0.88"/>
  </r>
  <r>
    <s v="FL250149"/>
    <s v="Gary Ballard"/>
    <x v="1"/>
    <n v="25"/>
    <x v="19"/>
    <x v="6"/>
    <x v="5"/>
    <x v="12"/>
    <x v="2"/>
    <n v="0"/>
    <s v="No"/>
    <n v="0.9"/>
  </r>
  <r>
    <s v="FL250150"/>
    <s v="Maria Mcguire"/>
    <x v="0"/>
    <n v="37"/>
    <x v="13"/>
    <x v="11"/>
    <x v="5"/>
    <x v="9"/>
    <x v="2"/>
    <n v="2.9"/>
    <s v="No"/>
    <n v="0.79269417475728277"/>
  </r>
  <r>
    <s v="FL250151"/>
    <s v="Matthew Richards"/>
    <x v="1"/>
    <n v="41"/>
    <x v="6"/>
    <x v="5"/>
    <x v="5"/>
    <x v="6"/>
    <x v="2"/>
    <n v="0"/>
    <s v="No"/>
    <n v="0.79269417475728277"/>
  </r>
  <r>
    <s v="FL250152"/>
    <s v="Patrick Malone"/>
    <x v="1"/>
    <n v="29"/>
    <x v="20"/>
    <x v="6"/>
    <x v="5"/>
    <x v="0"/>
    <x v="5"/>
    <n v="2.7"/>
    <s v="No"/>
    <n v="0.93"/>
  </r>
  <r>
    <s v="FL250153"/>
    <s v="Cindy Martin"/>
    <x v="0"/>
    <n v="55"/>
    <x v="8"/>
    <x v="6"/>
    <x v="1"/>
    <x v="28"/>
    <x v="0"/>
    <n v="1.8"/>
    <s v="Yes"/>
    <n v="0.79269417475728277"/>
  </r>
  <r>
    <s v="FL250154"/>
    <s v="Anne Edwards"/>
    <x v="0"/>
    <n v="38"/>
    <x v="9"/>
    <x v="7"/>
    <x v="8"/>
    <x v="11"/>
    <x v="4"/>
    <n v="1.1000000000000001"/>
    <s v="No"/>
    <n v="0.71"/>
  </r>
  <r>
    <s v="FL250155"/>
    <s v="Mitchell Martin"/>
    <x v="1"/>
    <n v="47"/>
    <x v="12"/>
    <x v="10"/>
    <x v="8"/>
    <x v="35"/>
    <x v="2"/>
    <n v="4.3"/>
    <s v="Yes"/>
    <n v="0.95"/>
  </r>
  <r>
    <s v="FL250156"/>
    <s v="Mitchell Patrick"/>
    <x v="1"/>
    <n v="60"/>
    <x v="11"/>
    <x v="9"/>
    <x v="3"/>
    <x v="9"/>
    <x v="0"/>
    <n v="1.5"/>
    <s v="No"/>
    <n v="0.8"/>
  </r>
  <r>
    <s v="FL250157"/>
    <s v="Rebecca Lyons"/>
    <x v="0"/>
    <n v="43"/>
    <x v="0"/>
    <x v="0"/>
    <x v="5"/>
    <x v="14"/>
    <x v="5"/>
    <n v="2.2000000000000002"/>
    <s v="No"/>
    <n v="0.79269417475728277"/>
  </r>
  <r>
    <s v="FL250158"/>
    <s v="Christian Lopez"/>
    <x v="1"/>
    <n v="56"/>
    <x v="17"/>
    <x v="14"/>
    <x v="5"/>
    <x v="14"/>
    <x v="0"/>
    <n v="3.2"/>
    <s v="No"/>
    <n v="0.62"/>
  </r>
  <r>
    <s v="FL250159"/>
    <s v="Nathan Blair"/>
    <x v="1"/>
    <n v="42"/>
    <x v="13"/>
    <x v="11"/>
    <x v="8"/>
    <x v="32"/>
    <x v="1"/>
    <n v="1.9"/>
    <s v="No"/>
    <n v="0.95"/>
  </r>
  <r>
    <s v="FL250160"/>
    <s v="Patricia Lopez"/>
    <x v="0"/>
    <n v="20"/>
    <x v="20"/>
    <x v="6"/>
    <x v="2"/>
    <x v="12"/>
    <x v="2"/>
    <n v="2.5"/>
    <s v="No"/>
    <n v="0.79"/>
  </r>
  <r>
    <s v="FL250161"/>
    <s v="Michelle Wu"/>
    <x v="0"/>
    <n v="47"/>
    <x v="4"/>
    <x v="4"/>
    <x v="6"/>
    <x v="28"/>
    <x v="2"/>
    <n v="4.5"/>
    <s v="No"/>
    <n v="0.62"/>
  </r>
  <r>
    <s v="FL250162"/>
    <s v="Donald Mitchell"/>
    <x v="1"/>
    <n v="41"/>
    <x v="8"/>
    <x v="6"/>
    <x v="5"/>
    <x v="28"/>
    <x v="3"/>
    <n v="4.0999999999999996"/>
    <s v="No"/>
    <n v="0.68"/>
  </r>
  <r>
    <s v="FL250163"/>
    <s v="Sean Gordon"/>
    <x v="1"/>
    <n v="56"/>
    <x v="4"/>
    <x v="4"/>
    <x v="8"/>
    <x v="9"/>
    <x v="4"/>
    <n v="0"/>
    <s v="No"/>
    <n v="0.79269417475728277"/>
  </r>
  <r>
    <s v="FL250164"/>
    <s v="Gregory Clarke"/>
    <x v="1"/>
    <n v="59"/>
    <x v="7"/>
    <x v="1"/>
    <x v="8"/>
    <x v="35"/>
    <x v="4"/>
    <n v="2.5125695216907653"/>
    <s v="No"/>
    <n v="0.8"/>
  </r>
  <r>
    <s v="FL250165"/>
    <s v="Steven Whitney"/>
    <x v="1"/>
    <n v="56"/>
    <x v="9"/>
    <x v="7"/>
    <x v="7"/>
    <x v="9"/>
    <x v="2"/>
    <n v="3.7"/>
    <s v="No"/>
    <n v="0.92"/>
  </r>
  <r>
    <s v="FL250166"/>
    <s v="Robin Acosta"/>
    <x v="0"/>
    <n v="31"/>
    <x v="17"/>
    <x v="14"/>
    <x v="3"/>
    <x v="14"/>
    <x v="4"/>
    <n v="1.3"/>
    <s v="Yes"/>
    <n v="0.65"/>
  </r>
  <r>
    <s v="FL250167"/>
    <s v="John Smith"/>
    <x v="1"/>
    <n v="60"/>
    <x v="12"/>
    <x v="10"/>
    <x v="1"/>
    <x v="25"/>
    <x v="2"/>
    <n v="3.6"/>
    <s v="Yes"/>
    <n v="0.87"/>
  </r>
  <r>
    <s v="FL250168"/>
    <s v="Susan Baker"/>
    <x v="0"/>
    <n v="31"/>
    <x v="14"/>
    <x v="1"/>
    <x v="3"/>
    <x v="6"/>
    <x v="4"/>
    <n v="0"/>
    <s v="No"/>
    <n v="0.7"/>
  </r>
  <r>
    <s v="FL250169"/>
    <s v="Anthony Larsen"/>
    <x v="1"/>
    <n v="60"/>
    <x v="8"/>
    <x v="6"/>
    <x v="7"/>
    <x v="11"/>
    <x v="2"/>
    <n v="1.4"/>
    <s v="No"/>
    <n v="0.87"/>
  </r>
  <r>
    <s v="FL250170"/>
    <s v="Nicholas Carpenter"/>
    <x v="1"/>
    <n v="46"/>
    <x v="15"/>
    <x v="12"/>
    <x v="8"/>
    <x v="22"/>
    <x v="5"/>
    <n v="2.9"/>
    <s v="No"/>
    <n v="0.72"/>
  </r>
  <r>
    <s v="FL250171"/>
    <s v="Debra Salazar"/>
    <x v="0"/>
    <n v="41"/>
    <x v="3"/>
    <x v="3"/>
    <x v="0"/>
    <x v="14"/>
    <x v="2"/>
    <n v="2.8"/>
    <s v="No"/>
    <n v="0.8"/>
  </r>
  <r>
    <s v="FL250172"/>
    <s v="William Smith"/>
    <x v="1"/>
    <n v="34"/>
    <x v="9"/>
    <x v="7"/>
    <x v="6"/>
    <x v="12"/>
    <x v="5"/>
    <n v="1.7"/>
    <s v="No"/>
    <n v="0.66"/>
  </r>
  <r>
    <s v="FL250173"/>
    <s v="Caroline Gross"/>
    <x v="0"/>
    <n v="42"/>
    <x v="3"/>
    <x v="3"/>
    <x v="2"/>
    <x v="23"/>
    <x v="2"/>
    <n v="0"/>
    <s v="Yes"/>
    <n v="0.79269417475728277"/>
  </r>
  <r>
    <s v="FL250174"/>
    <s v="Jeremy Sawyer"/>
    <x v="1"/>
    <n v="31"/>
    <x v="7"/>
    <x v="1"/>
    <x v="5"/>
    <x v="3"/>
    <x v="4"/>
    <n v="1.1000000000000001"/>
    <s v="Yes"/>
    <n v="0.64"/>
  </r>
  <r>
    <s v="FL250175"/>
    <s v="Eduardo Burns"/>
    <x v="1"/>
    <n v="29"/>
    <x v="11"/>
    <x v="9"/>
    <x v="6"/>
    <x v="14"/>
    <x v="5"/>
    <n v="2.5125695216907653"/>
    <s v="No"/>
    <n v="0.68"/>
  </r>
  <r>
    <s v="FL250176"/>
    <s v="Amanda Jones"/>
    <x v="0"/>
    <n v="57"/>
    <x v="1"/>
    <x v="1"/>
    <x v="2"/>
    <x v="8"/>
    <x v="5"/>
    <n v="3.6"/>
    <s v="No"/>
    <n v="0.63"/>
  </r>
  <r>
    <s v="FL250177"/>
    <s v="Frederick Ware"/>
    <x v="1"/>
    <n v="47"/>
    <x v="10"/>
    <x v="8"/>
    <x v="8"/>
    <x v="17"/>
    <x v="5"/>
    <n v="4.5"/>
    <s v="Yes"/>
    <n v="0.72"/>
  </r>
  <r>
    <s v="FL250178"/>
    <s v="Michael Black"/>
    <x v="1"/>
    <n v="47"/>
    <x v="17"/>
    <x v="14"/>
    <x v="4"/>
    <x v="5"/>
    <x v="3"/>
    <n v="0"/>
    <s v="Yes"/>
    <n v="0.86"/>
  </r>
  <r>
    <s v="FL250179"/>
    <s v="Patricia Sanders"/>
    <x v="0"/>
    <n v="45"/>
    <x v="15"/>
    <x v="12"/>
    <x v="2"/>
    <x v="16"/>
    <x v="3"/>
    <n v="1.5"/>
    <s v="Yes"/>
    <n v="0.73"/>
  </r>
  <r>
    <s v="FL250180"/>
    <s v="Marc Joseph"/>
    <x v="1"/>
    <n v="24"/>
    <x v="6"/>
    <x v="5"/>
    <x v="9"/>
    <x v="24"/>
    <x v="3"/>
    <n v="3.7"/>
    <s v="No"/>
    <n v="0.95"/>
  </r>
  <r>
    <s v="FL250181"/>
    <s v="Vanessa White"/>
    <x v="0"/>
    <n v="31"/>
    <x v="8"/>
    <x v="6"/>
    <x v="1"/>
    <x v="28"/>
    <x v="5"/>
    <n v="2.2999999999999998"/>
    <s v="No"/>
    <n v="0.9"/>
  </r>
  <r>
    <s v="FL250182"/>
    <s v="Jennifer Garcia"/>
    <x v="0"/>
    <n v="20"/>
    <x v="19"/>
    <x v="6"/>
    <x v="2"/>
    <x v="32"/>
    <x v="5"/>
    <n v="2.8"/>
    <s v="No"/>
    <n v="0.78"/>
  </r>
  <r>
    <s v="FL250183"/>
    <s v="Michael Zavala"/>
    <x v="1"/>
    <n v="38"/>
    <x v="9"/>
    <x v="7"/>
    <x v="3"/>
    <x v="15"/>
    <x v="3"/>
    <n v="3.5"/>
    <s v="No"/>
    <n v="0.97"/>
  </r>
  <r>
    <s v="FL250184"/>
    <s v="Kimberly Williams"/>
    <x v="0"/>
    <n v="33"/>
    <x v="2"/>
    <x v="2"/>
    <x v="6"/>
    <x v="0"/>
    <x v="2"/>
    <n v="0"/>
    <s v="Yes"/>
    <n v="0.65"/>
  </r>
  <r>
    <s v="FL250185"/>
    <s v="Elizabeth Jenkins"/>
    <x v="0"/>
    <n v="31"/>
    <x v="1"/>
    <x v="1"/>
    <x v="3"/>
    <x v="3"/>
    <x v="2"/>
    <n v="3.2"/>
    <s v="Yes"/>
    <n v="0.78"/>
  </r>
  <r>
    <s v="FL250186"/>
    <s v="Brandon Ford"/>
    <x v="1"/>
    <n v="41"/>
    <x v="20"/>
    <x v="6"/>
    <x v="9"/>
    <x v="16"/>
    <x v="1"/>
    <n v="3.3"/>
    <s v="Yes"/>
    <n v="0.65"/>
  </r>
  <r>
    <s v="FL250187"/>
    <s v="Justin House"/>
    <x v="1"/>
    <n v="54"/>
    <x v="6"/>
    <x v="5"/>
    <x v="3"/>
    <x v="12"/>
    <x v="5"/>
    <n v="4.9000000000000004"/>
    <s v="No"/>
    <n v="0.79269417475728277"/>
  </r>
  <r>
    <s v="FL250188"/>
    <s v="Henry Mullen"/>
    <x v="1"/>
    <n v="50"/>
    <x v="19"/>
    <x v="6"/>
    <x v="5"/>
    <x v="21"/>
    <x v="3"/>
    <n v="2.2000000000000002"/>
    <s v="Yes"/>
    <n v="0.95"/>
  </r>
  <r>
    <s v="FL250189"/>
    <s v="Jesse Cochran"/>
    <x v="1"/>
    <n v="48"/>
    <x v="11"/>
    <x v="9"/>
    <x v="9"/>
    <x v="10"/>
    <x v="2"/>
    <n v="2.5125695216907653"/>
    <s v="Yes"/>
    <n v="0.88"/>
  </r>
  <r>
    <s v="FL250190"/>
    <s v="Melissa Rich"/>
    <x v="0"/>
    <n v="49"/>
    <x v="19"/>
    <x v="6"/>
    <x v="2"/>
    <x v="14"/>
    <x v="2"/>
    <n v="1.8"/>
    <s v="No"/>
    <n v="0.79269417475728277"/>
  </r>
  <r>
    <s v="FL250191"/>
    <s v="Patrick Dunlap"/>
    <x v="1"/>
    <n v="21"/>
    <x v="12"/>
    <x v="10"/>
    <x v="2"/>
    <x v="24"/>
    <x v="4"/>
    <n v="4.5999999999999996"/>
    <s v="No"/>
    <n v="0.92"/>
  </r>
  <r>
    <s v="FL250192"/>
    <s v="Troy Carson"/>
    <x v="1"/>
    <n v="58"/>
    <x v="1"/>
    <x v="1"/>
    <x v="2"/>
    <x v="11"/>
    <x v="4"/>
    <n v="2.8"/>
    <s v="No"/>
    <n v="0.75"/>
  </r>
  <r>
    <s v="FL250193"/>
    <s v="Matthew Smith"/>
    <x v="1"/>
    <n v="41"/>
    <x v="0"/>
    <x v="0"/>
    <x v="8"/>
    <x v="14"/>
    <x v="3"/>
    <n v="1.4"/>
    <s v="No"/>
    <n v="0.74"/>
  </r>
  <r>
    <s v="FL250194"/>
    <s v="Jennifer Cherry"/>
    <x v="0"/>
    <n v="58"/>
    <x v="13"/>
    <x v="11"/>
    <x v="0"/>
    <x v="33"/>
    <x v="3"/>
    <n v="4.2"/>
    <s v="Yes"/>
    <n v="0.71"/>
  </r>
  <r>
    <s v="FL250195"/>
    <s v="Brandi Tucker"/>
    <x v="0"/>
    <n v="50"/>
    <x v="17"/>
    <x v="14"/>
    <x v="2"/>
    <x v="11"/>
    <x v="2"/>
    <n v="3.6"/>
    <s v="Yes"/>
    <n v="0.89"/>
  </r>
  <r>
    <s v="FL250196"/>
    <s v="Zachary Burke"/>
    <x v="1"/>
    <n v="52"/>
    <x v="4"/>
    <x v="4"/>
    <x v="3"/>
    <x v="25"/>
    <x v="0"/>
    <n v="1.6"/>
    <s v="No"/>
    <n v="0.66"/>
  </r>
  <r>
    <s v="FL250197"/>
    <s v="Thomas Jones"/>
    <x v="1"/>
    <n v="34"/>
    <x v="3"/>
    <x v="3"/>
    <x v="5"/>
    <x v="21"/>
    <x v="0"/>
    <n v="2"/>
    <s v="No"/>
    <n v="0.79269417475728277"/>
  </r>
  <r>
    <s v="FL250198"/>
    <s v="Brian Dunn"/>
    <x v="1"/>
    <n v="32"/>
    <x v="15"/>
    <x v="12"/>
    <x v="9"/>
    <x v="0"/>
    <x v="2"/>
    <n v="4.3"/>
    <s v="Yes"/>
    <n v="0.86"/>
  </r>
  <r>
    <s v="FL250199"/>
    <s v="Shirley Strickland"/>
    <x v="0"/>
    <n v="50"/>
    <x v="10"/>
    <x v="8"/>
    <x v="2"/>
    <x v="20"/>
    <x v="0"/>
    <n v="4.9000000000000004"/>
    <s v="Yes"/>
    <n v="0.86"/>
  </r>
  <r>
    <s v="FL250200"/>
    <s v="Nicole Meyers"/>
    <x v="0"/>
    <n v="39"/>
    <x v="8"/>
    <x v="6"/>
    <x v="5"/>
    <x v="0"/>
    <x v="0"/>
    <n v="3.5"/>
    <s v="Yes"/>
    <n v="0.82"/>
  </r>
  <r>
    <s v="FL250201"/>
    <s v="Jill Stephens"/>
    <x v="0"/>
    <n v="25"/>
    <x v="20"/>
    <x v="6"/>
    <x v="4"/>
    <x v="32"/>
    <x v="0"/>
    <n v="2.5"/>
    <s v="No"/>
    <n v="0.87"/>
  </r>
  <r>
    <s v="FL250202"/>
    <s v="Heidi Miranda"/>
    <x v="0"/>
    <n v="55"/>
    <x v="18"/>
    <x v="15"/>
    <x v="9"/>
    <x v="23"/>
    <x v="0"/>
    <n v="1.7"/>
    <s v="Yes"/>
    <n v="0.8"/>
  </r>
  <r>
    <s v="FL250203"/>
    <s v="Jesus Martinez"/>
    <x v="1"/>
    <n v="42"/>
    <x v="0"/>
    <x v="0"/>
    <x v="8"/>
    <x v="6"/>
    <x v="0"/>
    <n v="4.5999999999999996"/>
    <s v="Yes"/>
    <n v="0.71"/>
  </r>
  <r>
    <s v="FL250204"/>
    <s v="Adam Payne"/>
    <x v="1"/>
    <n v="43"/>
    <x v="13"/>
    <x v="11"/>
    <x v="1"/>
    <x v="21"/>
    <x v="1"/>
    <n v="2.5125695216907653"/>
    <s v="No"/>
    <n v="0.77"/>
  </r>
  <r>
    <s v="FL250205"/>
    <s v="Walter Williams"/>
    <x v="1"/>
    <n v="54"/>
    <x v="0"/>
    <x v="0"/>
    <x v="8"/>
    <x v="35"/>
    <x v="3"/>
    <n v="1.7"/>
    <s v="No"/>
    <n v="0.68"/>
  </r>
  <r>
    <s v="FL250206"/>
    <s v="Shannon Farmer"/>
    <x v="0"/>
    <n v="21"/>
    <x v="16"/>
    <x v="13"/>
    <x v="2"/>
    <x v="12"/>
    <x v="5"/>
    <n v="1.8"/>
    <s v="No"/>
    <n v="0.91"/>
  </r>
  <r>
    <s v="FL250207"/>
    <s v="Peter Reyes"/>
    <x v="1"/>
    <n v="46"/>
    <x v="14"/>
    <x v="1"/>
    <x v="6"/>
    <x v="30"/>
    <x v="5"/>
    <n v="2.2000000000000002"/>
    <s v="No"/>
    <n v="0.75"/>
  </r>
  <r>
    <s v="FL250208"/>
    <s v="Kristen Knight"/>
    <x v="0"/>
    <n v="30"/>
    <x v="20"/>
    <x v="6"/>
    <x v="0"/>
    <x v="0"/>
    <x v="2"/>
    <n v="1"/>
    <s v="No"/>
    <n v="0.9"/>
  </r>
  <r>
    <s v="FL250209"/>
    <s v="William Moore "/>
    <x v="1"/>
    <n v="36"/>
    <x v="18"/>
    <x v="15"/>
    <x v="9"/>
    <x v="0"/>
    <x v="4"/>
    <n v="3.2"/>
    <s v="No"/>
    <n v="0.93"/>
  </r>
  <r>
    <s v="FL250210"/>
    <s v="Jennifer Rowe"/>
    <x v="0"/>
    <n v="47"/>
    <x v="2"/>
    <x v="2"/>
    <x v="5"/>
    <x v="9"/>
    <x v="2"/>
    <n v="2.1"/>
    <s v="Yes"/>
    <n v="0.94"/>
  </r>
  <r>
    <s v="FL250211"/>
    <s v="Mikayla Henry"/>
    <x v="0"/>
    <n v="43"/>
    <x v="14"/>
    <x v="1"/>
    <x v="1"/>
    <x v="24"/>
    <x v="1"/>
    <n v="4.5999999999999996"/>
    <s v="Yes"/>
    <n v="0.64"/>
  </r>
  <r>
    <s v="FL250212"/>
    <s v="Jacob Kerr"/>
    <x v="1"/>
    <n v="57"/>
    <x v="12"/>
    <x v="10"/>
    <x v="7"/>
    <x v="17"/>
    <x v="5"/>
    <n v="0"/>
    <s v="Yes"/>
    <n v="0.84"/>
  </r>
  <r>
    <s v="FL250213"/>
    <s v="Ryan Johnson"/>
    <x v="1"/>
    <n v="52"/>
    <x v="0"/>
    <x v="0"/>
    <x v="9"/>
    <x v="31"/>
    <x v="5"/>
    <n v="2.8"/>
    <s v="No"/>
    <n v="0.87"/>
  </r>
  <r>
    <s v="FL250214"/>
    <s v="Michael Ruiz"/>
    <x v="1"/>
    <n v="41"/>
    <x v="2"/>
    <x v="2"/>
    <x v="0"/>
    <x v="17"/>
    <x v="2"/>
    <n v="0"/>
    <s v="No"/>
    <n v="0.64"/>
  </r>
  <r>
    <s v="FL250215"/>
    <s v="Monica Roberts"/>
    <x v="0"/>
    <n v="22"/>
    <x v="4"/>
    <x v="4"/>
    <x v="9"/>
    <x v="12"/>
    <x v="0"/>
    <n v="2.7"/>
    <s v="Yes"/>
    <n v="0.64"/>
  </r>
  <r>
    <s v="FL250216"/>
    <s v="Danny Brown"/>
    <x v="1"/>
    <n v="41"/>
    <x v="10"/>
    <x v="8"/>
    <x v="9"/>
    <x v="28"/>
    <x v="5"/>
    <n v="0"/>
    <s v="Yes"/>
    <n v="0.8"/>
  </r>
  <r>
    <s v="FL250217"/>
    <s v="Karen Larsen"/>
    <x v="0"/>
    <n v="58"/>
    <x v="20"/>
    <x v="6"/>
    <x v="1"/>
    <x v="3"/>
    <x v="1"/>
    <n v="3.1"/>
    <s v="No"/>
    <n v="0.9"/>
  </r>
  <r>
    <s v="FL250218"/>
    <s v="Robert Evans"/>
    <x v="1"/>
    <n v="39"/>
    <x v="12"/>
    <x v="10"/>
    <x v="3"/>
    <x v="5"/>
    <x v="0"/>
    <n v="0"/>
    <s v="Yes"/>
    <n v="0.92"/>
  </r>
  <r>
    <s v="FL250219"/>
    <s v="Sean Poole"/>
    <x v="1"/>
    <n v="32"/>
    <x v="4"/>
    <x v="4"/>
    <x v="2"/>
    <x v="5"/>
    <x v="2"/>
    <n v="2.5125695216907653"/>
    <s v="No"/>
    <n v="0.96"/>
  </r>
  <r>
    <s v="FL250220"/>
    <s v="Richard Quinn"/>
    <x v="1"/>
    <n v="37"/>
    <x v="14"/>
    <x v="1"/>
    <x v="6"/>
    <x v="32"/>
    <x v="3"/>
    <n v="2.2999999999999998"/>
    <s v="Yes"/>
    <n v="0.79269417475728277"/>
  </r>
  <r>
    <s v="FL250221"/>
    <s v="Jennifer Gonzalez"/>
    <x v="0"/>
    <n v="21"/>
    <x v="18"/>
    <x v="15"/>
    <x v="7"/>
    <x v="32"/>
    <x v="0"/>
    <n v="2.4"/>
    <s v="Yes"/>
    <n v="0.79269417475728277"/>
  </r>
  <r>
    <s v="FL250222"/>
    <s v="James Skinner"/>
    <x v="1"/>
    <n v="41"/>
    <x v="12"/>
    <x v="10"/>
    <x v="9"/>
    <x v="3"/>
    <x v="4"/>
    <n v="2.6"/>
    <s v="No"/>
    <n v="0.85"/>
  </r>
  <r>
    <s v="FL250223"/>
    <s v="Michelle Hill"/>
    <x v="0"/>
    <n v="21"/>
    <x v="14"/>
    <x v="1"/>
    <x v="4"/>
    <x v="12"/>
    <x v="2"/>
    <n v="1.1000000000000001"/>
    <s v="No"/>
    <n v="0.79"/>
  </r>
  <r>
    <s v="FL250224"/>
    <s v="Jacqueline Williams"/>
    <x v="0"/>
    <n v="58"/>
    <x v="18"/>
    <x v="15"/>
    <x v="9"/>
    <x v="14"/>
    <x v="3"/>
    <n v="0"/>
    <s v="Yes"/>
    <n v="0.65"/>
  </r>
  <r>
    <s v="FL250225"/>
    <s v="Darrell Johnson"/>
    <x v="1"/>
    <n v="60"/>
    <x v="14"/>
    <x v="1"/>
    <x v="9"/>
    <x v="15"/>
    <x v="2"/>
    <n v="4.7"/>
    <s v="No"/>
    <n v="0.63"/>
  </r>
  <r>
    <s v="FL250226"/>
    <s v="Ryan Crawford"/>
    <x v="1"/>
    <n v="27"/>
    <x v="17"/>
    <x v="14"/>
    <x v="3"/>
    <x v="32"/>
    <x v="2"/>
    <n v="1.2"/>
    <s v="No"/>
    <n v="0.79269417475728277"/>
  </r>
  <r>
    <s v="FL250227"/>
    <s v="Chelsea Barber"/>
    <x v="0"/>
    <n v="29"/>
    <x v="2"/>
    <x v="2"/>
    <x v="9"/>
    <x v="6"/>
    <x v="2"/>
    <n v="1.2"/>
    <s v="No"/>
    <n v="0.78"/>
  </r>
  <r>
    <s v="FL250228"/>
    <s v="Elaine Martinez"/>
    <x v="0"/>
    <n v="54"/>
    <x v="14"/>
    <x v="1"/>
    <x v="2"/>
    <x v="25"/>
    <x v="4"/>
    <n v="0"/>
    <s v="Yes"/>
    <n v="0.62"/>
  </r>
  <r>
    <s v="FL250229"/>
    <s v="Joseph Kent"/>
    <x v="1"/>
    <n v="52"/>
    <x v="19"/>
    <x v="6"/>
    <x v="9"/>
    <x v="28"/>
    <x v="2"/>
    <n v="1.2"/>
    <s v="No"/>
    <n v="0.76"/>
  </r>
  <r>
    <s v="FL250230"/>
    <s v="Megan Welch"/>
    <x v="0"/>
    <n v="55"/>
    <x v="4"/>
    <x v="4"/>
    <x v="0"/>
    <x v="10"/>
    <x v="0"/>
    <n v="2.9"/>
    <s v="No"/>
    <n v="0.97"/>
  </r>
  <r>
    <s v="FL250231"/>
    <s v="Stephen Ramirez"/>
    <x v="1"/>
    <n v="37"/>
    <x v="11"/>
    <x v="9"/>
    <x v="0"/>
    <x v="3"/>
    <x v="2"/>
    <n v="2.5125695216907653"/>
    <s v="No"/>
    <n v="0.79269417475728277"/>
  </r>
  <r>
    <s v="FL250232"/>
    <s v="Chloe Gray"/>
    <x v="0"/>
    <n v="34"/>
    <x v="16"/>
    <x v="13"/>
    <x v="5"/>
    <x v="0"/>
    <x v="1"/>
    <n v="3.9"/>
    <s v="Yes"/>
    <n v="0.82"/>
  </r>
  <r>
    <s v="FL250233"/>
    <s v="Michael Williams "/>
    <x v="1"/>
    <n v="20"/>
    <x v="15"/>
    <x v="12"/>
    <x v="5"/>
    <x v="24"/>
    <x v="1"/>
    <n v="3.1"/>
    <s v="No"/>
    <n v="0.71"/>
  </r>
  <r>
    <s v="FL250234"/>
    <s v="Matthew Martin"/>
    <x v="1"/>
    <n v="22"/>
    <x v="19"/>
    <x v="6"/>
    <x v="6"/>
    <x v="32"/>
    <x v="2"/>
    <n v="0"/>
    <s v="Yes"/>
    <n v="0.79269417475728277"/>
  </r>
  <r>
    <s v="FL250235"/>
    <s v="Julia Murphy"/>
    <x v="0"/>
    <n v="23"/>
    <x v="12"/>
    <x v="10"/>
    <x v="2"/>
    <x v="32"/>
    <x v="1"/>
    <n v="3.2"/>
    <s v="Yes"/>
    <n v="0.79269417475728277"/>
  </r>
  <r>
    <s v="FL250236"/>
    <s v="Anna Evans"/>
    <x v="0"/>
    <n v="53"/>
    <x v="12"/>
    <x v="10"/>
    <x v="0"/>
    <x v="1"/>
    <x v="3"/>
    <n v="2.5125695216907653"/>
    <s v="Yes"/>
    <n v="0.79269417475728277"/>
  </r>
  <r>
    <s v="FL250237"/>
    <s v="Brenda Fleming"/>
    <x v="0"/>
    <n v="56"/>
    <x v="12"/>
    <x v="10"/>
    <x v="2"/>
    <x v="4"/>
    <x v="0"/>
    <n v="4.7"/>
    <s v="Yes"/>
    <n v="0.69"/>
  </r>
  <r>
    <s v="FL250238"/>
    <s v="Daniel Harrington"/>
    <x v="1"/>
    <n v="27"/>
    <x v="14"/>
    <x v="1"/>
    <x v="4"/>
    <x v="3"/>
    <x v="4"/>
    <n v="5"/>
    <s v="No"/>
    <n v="0.88"/>
  </r>
  <r>
    <s v="FL250239"/>
    <s v="Daniel Barnett"/>
    <x v="1"/>
    <n v="34"/>
    <x v="0"/>
    <x v="0"/>
    <x v="1"/>
    <x v="0"/>
    <x v="2"/>
    <n v="2.5125695216907653"/>
    <s v="No"/>
    <n v="0.67"/>
  </r>
  <r>
    <s v="FL250240"/>
    <s v="Mark Cummings"/>
    <x v="1"/>
    <n v="29"/>
    <x v="5"/>
    <x v="1"/>
    <x v="3"/>
    <x v="3"/>
    <x v="1"/>
    <n v="4"/>
    <s v="No"/>
    <n v="0.79269417475728277"/>
  </r>
  <r>
    <s v="FL250241"/>
    <s v="Christopher Guerra"/>
    <x v="1"/>
    <n v="34"/>
    <x v="10"/>
    <x v="8"/>
    <x v="4"/>
    <x v="0"/>
    <x v="2"/>
    <n v="1.2"/>
    <s v="Yes"/>
    <n v="0.79269417475728277"/>
  </r>
  <r>
    <s v="FL250242"/>
    <s v="Sarah Ho"/>
    <x v="0"/>
    <n v="32"/>
    <x v="19"/>
    <x v="6"/>
    <x v="4"/>
    <x v="24"/>
    <x v="0"/>
    <n v="4.7"/>
    <s v="No"/>
    <n v="0.67"/>
  </r>
  <r>
    <s v="FL250243"/>
    <s v="Veronica Thomas"/>
    <x v="0"/>
    <n v="21"/>
    <x v="17"/>
    <x v="14"/>
    <x v="9"/>
    <x v="32"/>
    <x v="5"/>
    <n v="2.4"/>
    <s v="No"/>
    <n v="0.86"/>
  </r>
  <r>
    <s v="FL250244"/>
    <s v="Mitchell Watson"/>
    <x v="1"/>
    <n v="20"/>
    <x v="19"/>
    <x v="6"/>
    <x v="2"/>
    <x v="32"/>
    <x v="2"/>
    <n v="1.1000000000000001"/>
    <s v="No"/>
    <n v="0.69"/>
  </r>
  <r>
    <s v="FL250245"/>
    <s v="Monica Murphy"/>
    <x v="0"/>
    <n v="35"/>
    <x v="5"/>
    <x v="1"/>
    <x v="1"/>
    <x v="6"/>
    <x v="1"/>
    <n v="1.4"/>
    <s v="Yes"/>
    <n v="0.85"/>
  </r>
  <r>
    <s v="FL250246"/>
    <s v="Kristen Williams"/>
    <x v="0"/>
    <n v="47"/>
    <x v="5"/>
    <x v="1"/>
    <x v="6"/>
    <x v="10"/>
    <x v="2"/>
    <n v="3.4"/>
    <s v="No"/>
    <n v="0.6"/>
  </r>
  <r>
    <s v="FL250247"/>
    <s v="Nicole Wright"/>
    <x v="0"/>
    <n v="41"/>
    <x v="6"/>
    <x v="5"/>
    <x v="0"/>
    <x v="3"/>
    <x v="2"/>
    <n v="2.7"/>
    <s v="Yes"/>
    <n v="0.7"/>
  </r>
  <r>
    <s v="FL250248"/>
    <s v="Andrew Ruiz"/>
    <x v="1"/>
    <n v="58"/>
    <x v="8"/>
    <x v="6"/>
    <x v="3"/>
    <x v="22"/>
    <x v="2"/>
    <n v="4.9000000000000004"/>
    <s v="No"/>
    <n v="0.79269417475728277"/>
  </r>
  <r>
    <s v="FL250249"/>
    <s v="Zachary Jackson"/>
    <x v="1"/>
    <n v="34"/>
    <x v="18"/>
    <x v="15"/>
    <x v="5"/>
    <x v="21"/>
    <x v="4"/>
    <n v="1.9"/>
    <s v="Yes"/>
    <n v="0.81"/>
  </r>
  <r>
    <s v="FL250250"/>
    <s v="Stephanie Carter"/>
    <x v="0"/>
    <n v="50"/>
    <x v="10"/>
    <x v="8"/>
    <x v="1"/>
    <x v="30"/>
    <x v="0"/>
    <n v="2.5125695216907653"/>
    <s v="Yes"/>
    <n v="0.79269417475728277"/>
  </r>
  <r>
    <s v="FL250251"/>
    <s v="Amy Olson"/>
    <x v="0"/>
    <n v="42"/>
    <x v="19"/>
    <x v="6"/>
    <x v="8"/>
    <x v="18"/>
    <x v="4"/>
    <n v="4.5999999999999996"/>
    <s v="No"/>
    <n v="0.78"/>
  </r>
  <r>
    <s v="FL250252"/>
    <s v="Fred Stark"/>
    <x v="1"/>
    <n v="43"/>
    <x v="2"/>
    <x v="2"/>
    <x v="6"/>
    <x v="21"/>
    <x v="1"/>
    <n v="0"/>
    <s v="No"/>
    <n v="0.81"/>
  </r>
  <r>
    <s v="FL250253"/>
    <s v="Jacob Gill"/>
    <x v="1"/>
    <n v="34"/>
    <x v="2"/>
    <x v="2"/>
    <x v="5"/>
    <x v="17"/>
    <x v="4"/>
    <n v="1.8"/>
    <s v="Yes"/>
    <n v="0.71"/>
  </r>
  <r>
    <s v="FL250254"/>
    <s v="Anthony Nichols"/>
    <x v="1"/>
    <n v="24"/>
    <x v="20"/>
    <x v="6"/>
    <x v="1"/>
    <x v="15"/>
    <x v="4"/>
    <n v="2"/>
    <s v="No"/>
    <n v="0.79269417475728277"/>
  </r>
  <r>
    <s v="FL250255"/>
    <s v="William Knapp"/>
    <x v="1"/>
    <n v="48"/>
    <x v="17"/>
    <x v="14"/>
    <x v="6"/>
    <x v="17"/>
    <x v="3"/>
    <n v="5"/>
    <s v="Yes"/>
    <n v="0.99"/>
  </r>
  <r>
    <s v="FL250256"/>
    <s v="Elizabeth Walker"/>
    <x v="0"/>
    <n v="39"/>
    <x v="12"/>
    <x v="10"/>
    <x v="5"/>
    <x v="28"/>
    <x v="5"/>
    <n v="3.2"/>
    <s v="Yes"/>
    <n v="0.66"/>
  </r>
  <r>
    <s v="FL250257"/>
    <s v="Brenda Reeves"/>
    <x v="0"/>
    <n v="57"/>
    <x v="1"/>
    <x v="1"/>
    <x v="0"/>
    <x v="31"/>
    <x v="3"/>
    <n v="2.4"/>
    <s v="No"/>
    <n v="0.8"/>
  </r>
  <r>
    <s v="FL250258"/>
    <s v="Carrie Little"/>
    <x v="0"/>
    <n v="44"/>
    <x v="14"/>
    <x v="1"/>
    <x v="3"/>
    <x v="16"/>
    <x v="0"/>
    <n v="2.9"/>
    <s v="No"/>
    <n v="0.83"/>
  </r>
  <r>
    <s v="FL250259"/>
    <s v="Steven Jackson"/>
    <x v="1"/>
    <n v="37"/>
    <x v="11"/>
    <x v="9"/>
    <x v="6"/>
    <x v="8"/>
    <x v="5"/>
    <n v="0"/>
    <s v="Yes"/>
    <n v="0.87"/>
  </r>
  <r>
    <s v="FL250260"/>
    <s v="Mark Perry"/>
    <x v="1"/>
    <n v="50"/>
    <x v="6"/>
    <x v="5"/>
    <x v="5"/>
    <x v="14"/>
    <x v="3"/>
    <n v="3"/>
    <s v="No"/>
    <n v="0.76"/>
  </r>
  <r>
    <s v="FL250261"/>
    <s v="Cameron Spencer"/>
    <x v="1"/>
    <n v="50"/>
    <x v="20"/>
    <x v="6"/>
    <x v="6"/>
    <x v="32"/>
    <x v="1"/>
    <n v="1.6"/>
    <s v="No"/>
    <n v="0.89"/>
  </r>
  <r>
    <s v="FL250262"/>
    <s v="Jennifer Holmes"/>
    <x v="0"/>
    <n v="28"/>
    <x v="15"/>
    <x v="12"/>
    <x v="2"/>
    <x v="24"/>
    <x v="5"/>
    <n v="3.6"/>
    <s v="Yes"/>
    <n v="0.94"/>
  </r>
  <r>
    <s v="FL250263"/>
    <s v="Jacob Joseph"/>
    <x v="1"/>
    <n v="48"/>
    <x v="0"/>
    <x v="0"/>
    <x v="3"/>
    <x v="22"/>
    <x v="2"/>
    <n v="2.1"/>
    <s v="No"/>
    <n v="0.68"/>
  </r>
  <r>
    <s v="FL250264"/>
    <s v="Jeffery Tucker"/>
    <x v="1"/>
    <n v="42"/>
    <x v="2"/>
    <x v="2"/>
    <x v="8"/>
    <x v="17"/>
    <x v="3"/>
    <n v="3.6"/>
    <s v="Yes"/>
    <n v="0.96"/>
  </r>
  <r>
    <s v="FL250265"/>
    <s v="Jacqueline Drake"/>
    <x v="0"/>
    <n v="37"/>
    <x v="14"/>
    <x v="1"/>
    <x v="5"/>
    <x v="21"/>
    <x v="5"/>
    <n v="2.7"/>
    <s v="Yes"/>
    <n v="0.91"/>
  </r>
  <r>
    <s v="FL250266"/>
    <s v="Brian Bautista"/>
    <x v="1"/>
    <n v="21"/>
    <x v="10"/>
    <x v="8"/>
    <x v="0"/>
    <x v="24"/>
    <x v="0"/>
    <n v="2.1"/>
    <s v="Yes"/>
    <n v="0.92"/>
  </r>
  <r>
    <s v="FL250267"/>
    <s v="Dakota Wells"/>
    <x v="1"/>
    <n v="50"/>
    <x v="12"/>
    <x v="10"/>
    <x v="3"/>
    <x v="18"/>
    <x v="2"/>
    <n v="4.9000000000000004"/>
    <s v="No"/>
    <n v="0.82"/>
  </r>
  <r>
    <s v="FL250268"/>
    <s v="Julie White"/>
    <x v="0"/>
    <n v="22"/>
    <x v="8"/>
    <x v="6"/>
    <x v="4"/>
    <x v="32"/>
    <x v="3"/>
    <n v="2.1"/>
    <s v="No"/>
    <n v="0.79269417475728277"/>
  </r>
  <r>
    <s v="FL250269"/>
    <s v="Barbara Keith"/>
    <x v="0"/>
    <n v="39"/>
    <x v="9"/>
    <x v="7"/>
    <x v="3"/>
    <x v="16"/>
    <x v="0"/>
    <n v="0"/>
    <s v="No"/>
    <n v="0.91"/>
  </r>
  <r>
    <s v="FL250270"/>
    <s v="Heather Camacho"/>
    <x v="0"/>
    <n v="25"/>
    <x v="9"/>
    <x v="7"/>
    <x v="9"/>
    <x v="15"/>
    <x v="1"/>
    <n v="2.8"/>
    <s v="Yes"/>
    <n v="0.86"/>
  </r>
  <r>
    <s v="FL250271"/>
    <s v="Melanie Harris"/>
    <x v="0"/>
    <n v="47"/>
    <x v="17"/>
    <x v="14"/>
    <x v="1"/>
    <x v="5"/>
    <x v="2"/>
    <n v="2.5125695216907653"/>
    <s v="No"/>
    <n v="0.69"/>
  </r>
  <r>
    <s v="FL250272"/>
    <s v="Jacqueline Peterson"/>
    <x v="0"/>
    <n v="35"/>
    <x v="17"/>
    <x v="14"/>
    <x v="6"/>
    <x v="6"/>
    <x v="0"/>
    <n v="4.7"/>
    <s v="Yes"/>
    <n v="0.84"/>
  </r>
  <r>
    <s v="FL250273"/>
    <s v="Nancy Long"/>
    <x v="0"/>
    <n v="41"/>
    <x v="7"/>
    <x v="1"/>
    <x v="7"/>
    <x v="30"/>
    <x v="0"/>
    <n v="1.3"/>
    <s v="No"/>
    <n v="0.6"/>
  </r>
  <r>
    <s v="FL250274"/>
    <s v=" Juan Mitchell"/>
    <x v="1"/>
    <n v="35"/>
    <x v="3"/>
    <x v="3"/>
    <x v="0"/>
    <x v="21"/>
    <x v="4"/>
    <n v="1.6"/>
    <s v="Yes"/>
    <n v="0.97"/>
  </r>
  <r>
    <s v="FL250275"/>
    <s v="William Gaines"/>
    <x v="1"/>
    <n v="59"/>
    <x v="15"/>
    <x v="12"/>
    <x v="3"/>
    <x v="16"/>
    <x v="0"/>
    <n v="0"/>
    <s v="No"/>
    <n v="0.7"/>
  </r>
  <r>
    <s v="FL250276"/>
    <s v="Haley Yates"/>
    <x v="0"/>
    <n v="26"/>
    <x v="18"/>
    <x v="15"/>
    <x v="6"/>
    <x v="3"/>
    <x v="0"/>
    <n v="3.6"/>
    <s v="No"/>
    <n v="0.81"/>
  </r>
  <r>
    <s v="FL250277"/>
    <s v="Richard Mcguire"/>
    <x v="1"/>
    <n v="44"/>
    <x v="13"/>
    <x v="11"/>
    <x v="9"/>
    <x v="10"/>
    <x v="5"/>
    <n v="4.7"/>
    <s v="Yes"/>
    <n v="0.88"/>
  </r>
  <r>
    <s v="FL250278"/>
    <s v="Stephanie Fisher"/>
    <x v="0"/>
    <n v="31"/>
    <x v="17"/>
    <x v="14"/>
    <x v="6"/>
    <x v="28"/>
    <x v="2"/>
    <n v="2.5125695216907653"/>
    <s v="Yes"/>
    <n v="1"/>
  </r>
  <r>
    <s v="FL250279"/>
    <s v="Anthony Goodwin "/>
    <x v="1"/>
    <n v="60"/>
    <x v="6"/>
    <x v="5"/>
    <x v="5"/>
    <x v="21"/>
    <x v="2"/>
    <n v="3.2"/>
    <s v="No"/>
    <n v="0.95"/>
  </r>
  <r>
    <s v="FL250280"/>
    <s v="Meagan Walters"/>
    <x v="0"/>
    <n v="23"/>
    <x v="7"/>
    <x v="1"/>
    <x v="0"/>
    <x v="3"/>
    <x v="5"/>
    <n v="2.5125695216907653"/>
    <s v="No"/>
    <n v="0.71"/>
  </r>
  <r>
    <s v="FL250281"/>
    <s v="David Powell"/>
    <x v="1"/>
    <n v="42"/>
    <x v="4"/>
    <x v="4"/>
    <x v="6"/>
    <x v="13"/>
    <x v="5"/>
    <n v="4.7"/>
    <s v="No"/>
    <n v="0.85"/>
  </r>
  <r>
    <s v="FL250282"/>
    <s v="Kelly Jones"/>
    <x v="0"/>
    <n v="48"/>
    <x v="10"/>
    <x v="8"/>
    <x v="1"/>
    <x v="21"/>
    <x v="3"/>
    <n v="2.5125695216907653"/>
    <s v="No"/>
    <n v="0.96"/>
  </r>
  <r>
    <s v="FL250283"/>
    <s v=" Michael Aguilar"/>
    <x v="1"/>
    <n v="42"/>
    <x v="3"/>
    <x v="3"/>
    <x v="2"/>
    <x v="6"/>
    <x v="5"/>
    <n v="2.4"/>
    <s v="Yes"/>
    <n v="0.92"/>
  </r>
  <r>
    <s v="FL250284"/>
    <s v="Alex Novak"/>
    <x v="1"/>
    <n v="52"/>
    <x v="12"/>
    <x v="10"/>
    <x v="7"/>
    <x v="11"/>
    <x v="1"/>
    <n v="2.5125695216907653"/>
    <s v="No"/>
    <n v="0.79"/>
  </r>
  <r>
    <s v="FL250285"/>
    <s v="Ann Contreras"/>
    <x v="0"/>
    <n v="55"/>
    <x v="9"/>
    <x v="7"/>
    <x v="3"/>
    <x v="11"/>
    <x v="4"/>
    <n v="2.9"/>
    <s v="No"/>
    <n v="0.79269417475728277"/>
  </r>
  <r>
    <s v="FL250286"/>
    <s v="Mary Reed"/>
    <x v="0"/>
    <n v="58"/>
    <x v="17"/>
    <x v="14"/>
    <x v="7"/>
    <x v="0"/>
    <x v="1"/>
    <n v="0"/>
    <s v="No"/>
    <n v="0.79269417475728277"/>
  </r>
  <r>
    <s v="FL250287"/>
    <s v="Lauren Ross"/>
    <x v="0"/>
    <n v="46"/>
    <x v="12"/>
    <x v="10"/>
    <x v="9"/>
    <x v="28"/>
    <x v="5"/>
    <n v="0"/>
    <s v="No"/>
    <n v="0.89"/>
  </r>
  <r>
    <s v="FL250288"/>
    <s v="Candice Wise"/>
    <x v="0"/>
    <n v="45"/>
    <x v="20"/>
    <x v="6"/>
    <x v="9"/>
    <x v="24"/>
    <x v="0"/>
    <n v="1.5"/>
    <s v="Yes"/>
    <n v="1"/>
  </r>
  <r>
    <s v="FL250289"/>
    <s v="Joyce Humphrey"/>
    <x v="0"/>
    <n v="56"/>
    <x v="10"/>
    <x v="8"/>
    <x v="9"/>
    <x v="32"/>
    <x v="3"/>
    <n v="1.9"/>
    <s v="Yes"/>
    <n v="0.81"/>
  </r>
  <r>
    <s v="FL250290"/>
    <s v="James Carr"/>
    <x v="1"/>
    <n v="44"/>
    <x v="7"/>
    <x v="1"/>
    <x v="0"/>
    <x v="13"/>
    <x v="0"/>
    <n v="3.1"/>
    <s v="Yes"/>
    <n v="0.95"/>
  </r>
  <r>
    <s v="FL250291"/>
    <s v="Joseph Mendoza"/>
    <x v="1"/>
    <n v="46"/>
    <x v="4"/>
    <x v="4"/>
    <x v="6"/>
    <x v="12"/>
    <x v="2"/>
    <n v="1.8"/>
    <s v="No"/>
    <n v="0.88"/>
  </r>
  <r>
    <s v="FL250292"/>
    <s v="Cathy Baldwin"/>
    <x v="0"/>
    <n v="27"/>
    <x v="9"/>
    <x v="7"/>
    <x v="3"/>
    <x v="23"/>
    <x v="3"/>
    <n v="2.4"/>
    <s v="Yes"/>
    <n v="0.66"/>
  </r>
  <r>
    <s v="FL250293"/>
    <s v="Christine Hart"/>
    <x v="0"/>
    <n v="49"/>
    <x v="10"/>
    <x v="8"/>
    <x v="0"/>
    <x v="13"/>
    <x v="0"/>
    <n v="4.2"/>
    <s v="Yes"/>
    <n v="0.84"/>
  </r>
  <r>
    <s v="FL250294"/>
    <s v="Mike Stanley"/>
    <x v="1"/>
    <n v="53"/>
    <x v="19"/>
    <x v="6"/>
    <x v="3"/>
    <x v="16"/>
    <x v="1"/>
    <n v="1.4"/>
    <s v="No"/>
    <n v="0.79269417475728277"/>
  </r>
  <r>
    <s v="FL250295"/>
    <s v="Jeffrey Edwards"/>
    <x v="1"/>
    <n v="56"/>
    <x v="1"/>
    <x v="1"/>
    <x v="3"/>
    <x v="18"/>
    <x v="2"/>
    <n v="1.2"/>
    <s v="Yes"/>
    <n v="0.82"/>
  </r>
  <r>
    <s v="FL250296"/>
    <s v="Amy Lee"/>
    <x v="0"/>
    <n v="56"/>
    <x v="7"/>
    <x v="1"/>
    <x v="8"/>
    <x v="1"/>
    <x v="2"/>
    <n v="2.1"/>
    <s v="Yes"/>
    <n v="0.84"/>
  </r>
  <r>
    <s v="FL250297"/>
    <s v="Mark Thompson"/>
    <x v="1"/>
    <n v="38"/>
    <x v="17"/>
    <x v="14"/>
    <x v="5"/>
    <x v="15"/>
    <x v="0"/>
    <n v="1.4"/>
    <s v="No"/>
    <n v="0.73"/>
  </r>
  <r>
    <s v="FL250298"/>
    <s v="Alex Wilson"/>
    <x v="1"/>
    <n v="20"/>
    <x v="12"/>
    <x v="10"/>
    <x v="1"/>
    <x v="12"/>
    <x v="3"/>
    <n v="3.8"/>
    <s v="No"/>
    <n v="0.93"/>
  </r>
  <r>
    <s v="FL250299"/>
    <s v="Nancy Mendez"/>
    <x v="0"/>
    <n v="38"/>
    <x v="14"/>
    <x v="1"/>
    <x v="9"/>
    <x v="11"/>
    <x v="1"/>
    <n v="0"/>
    <s v="No"/>
    <n v="0.64"/>
  </r>
  <r>
    <s v="FL250300"/>
    <s v="Beth Crane"/>
    <x v="0"/>
    <n v="41"/>
    <x v="3"/>
    <x v="3"/>
    <x v="1"/>
    <x v="21"/>
    <x v="2"/>
    <n v="3.5"/>
    <s v="No"/>
    <n v="0.76"/>
  </r>
  <r>
    <s v="FL250301"/>
    <s v="Miguel Rogers"/>
    <x v="1"/>
    <n v="46"/>
    <x v="10"/>
    <x v="8"/>
    <x v="9"/>
    <x v="13"/>
    <x v="0"/>
    <n v="0"/>
    <s v="Yes"/>
    <n v="0.97"/>
  </r>
  <r>
    <s v="FL250302"/>
    <s v="Thomas Robles"/>
    <x v="1"/>
    <n v="36"/>
    <x v="17"/>
    <x v="14"/>
    <x v="5"/>
    <x v="14"/>
    <x v="4"/>
    <n v="2.2000000000000002"/>
    <s v="No"/>
    <n v="0.95"/>
  </r>
  <r>
    <s v="FL250303"/>
    <s v="Joel Brown "/>
    <x v="1"/>
    <n v="33"/>
    <x v="13"/>
    <x v="11"/>
    <x v="3"/>
    <x v="32"/>
    <x v="4"/>
    <n v="2.5"/>
    <s v="No"/>
    <n v="0.65"/>
  </r>
  <r>
    <s v="FL250304"/>
    <s v="Olivia Schultz"/>
    <x v="0"/>
    <n v="37"/>
    <x v="14"/>
    <x v="1"/>
    <x v="2"/>
    <x v="12"/>
    <x v="1"/>
    <n v="4.7"/>
    <s v="No"/>
    <n v="0.77"/>
  </r>
  <r>
    <s v="FL250305"/>
    <s v="Clayton Pena"/>
    <x v="1"/>
    <n v="20"/>
    <x v="16"/>
    <x v="13"/>
    <x v="5"/>
    <x v="12"/>
    <x v="5"/>
    <n v="3.9"/>
    <s v="No"/>
    <n v="0.79269417475728277"/>
  </r>
  <r>
    <s v="FL250306"/>
    <s v="Ashley Salazar"/>
    <x v="0"/>
    <n v="48"/>
    <x v="18"/>
    <x v="15"/>
    <x v="5"/>
    <x v="32"/>
    <x v="4"/>
    <n v="1.6"/>
    <s v="No"/>
    <n v="0.67"/>
  </r>
  <r>
    <s v="FL250307"/>
    <s v="Robert Lucas"/>
    <x v="1"/>
    <n v="27"/>
    <x v="15"/>
    <x v="12"/>
    <x v="7"/>
    <x v="32"/>
    <x v="1"/>
    <n v="2.5125695216907653"/>
    <s v="No"/>
    <n v="0.84"/>
  </r>
  <r>
    <s v="FL250308"/>
    <s v="David Cox"/>
    <x v="1"/>
    <n v="34"/>
    <x v="12"/>
    <x v="10"/>
    <x v="1"/>
    <x v="24"/>
    <x v="3"/>
    <n v="3.6"/>
    <s v="Yes"/>
    <n v="0.87"/>
  </r>
  <r>
    <s v="FL250309"/>
    <s v="Christian Campbell"/>
    <x v="1"/>
    <n v="55"/>
    <x v="11"/>
    <x v="9"/>
    <x v="9"/>
    <x v="5"/>
    <x v="3"/>
    <n v="1.2"/>
    <s v="Yes"/>
    <n v="0.91"/>
  </r>
  <r>
    <s v="FL250310"/>
    <s v=" Angela Ward"/>
    <x v="0"/>
    <n v="44"/>
    <x v="17"/>
    <x v="14"/>
    <x v="9"/>
    <x v="5"/>
    <x v="4"/>
    <n v="3"/>
    <s v="No"/>
    <n v="0.78"/>
  </r>
  <r>
    <s v="FL250311"/>
    <s v="Lucas Chen"/>
    <x v="1"/>
    <n v="31"/>
    <x v="3"/>
    <x v="3"/>
    <x v="6"/>
    <x v="32"/>
    <x v="1"/>
    <n v="3.9"/>
    <s v="No"/>
    <n v="0.79269417475728277"/>
  </r>
  <r>
    <s v="FL250312"/>
    <s v="Ruben Nelson"/>
    <x v="1"/>
    <n v="34"/>
    <x v="1"/>
    <x v="1"/>
    <x v="8"/>
    <x v="24"/>
    <x v="2"/>
    <n v="1.7"/>
    <s v="No"/>
    <n v="0.74"/>
  </r>
  <r>
    <s v="FL250313"/>
    <s v="Brenda Briggs"/>
    <x v="0"/>
    <n v="47"/>
    <x v="11"/>
    <x v="9"/>
    <x v="8"/>
    <x v="13"/>
    <x v="5"/>
    <n v="4.5"/>
    <s v="No"/>
    <n v="0.91"/>
  </r>
  <r>
    <s v="FL250314"/>
    <s v="Ronald Smith"/>
    <x v="1"/>
    <n v="50"/>
    <x v="5"/>
    <x v="1"/>
    <x v="2"/>
    <x v="22"/>
    <x v="2"/>
    <n v="3.6"/>
    <s v="Yes"/>
    <n v="0.71"/>
  </r>
  <r>
    <s v="FL250315"/>
    <s v="Dakota Giles"/>
    <x v="1"/>
    <n v="39"/>
    <x v="2"/>
    <x v="2"/>
    <x v="7"/>
    <x v="14"/>
    <x v="4"/>
    <n v="3.6"/>
    <s v="Yes"/>
    <n v="0.87"/>
  </r>
  <r>
    <s v="FL250316"/>
    <s v="Angela Castillo"/>
    <x v="0"/>
    <n v="26"/>
    <x v="8"/>
    <x v="6"/>
    <x v="0"/>
    <x v="15"/>
    <x v="0"/>
    <n v="2.8"/>
    <s v="Yes"/>
    <n v="0.61"/>
  </r>
  <r>
    <s v="FL250317"/>
    <s v="Allen Lee"/>
    <x v="1"/>
    <n v="41"/>
    <x v="3"/>
    <x v="3"/>
    <x v="8"/>
    <x v="12"/>
    <x v="0"/>
    <n v="5"/>
    <s v="No"/>
    <n v="0.79269417475728277"/>
  </r>
  <r>
    <s v="FL250318"/>
    <s v="Michael Rogers"/>
    <x v="1"/>
    <n v="32"/>
    <x v="2"/>
    <x v="2"/>
    <x v="2"/>
    <x v="12"/>
    <x v="0"/>
    <n v="1.4"/>
    <s v="Yes"/>
    <n v="0.81"/>
  </r>
  <r>
    <s v="FL250319"/>
    <s v="Danielle Costa"/>
    <x v="0"/>
    <n v="55"/>
    <x v="13"/>
    <x v="11"/>
    <x v="5"/>
    <x v="8"/>
    <x v="3"/>
    <n v="2.5125695216907653"/>
    <s v="No"/>
    <n v="0.79269417475728277"/>
  </r>
  <r>
    <s v="FL250320"/>
    <s v="William Nunez"/>
    <x v="1"/>
    <n v="32"/>
    <x v="8"/>
    <x v="6"/>
    <x v="9"/>
    <x v="14"/>
    <x v="2"/>
    <n v="4.5999999999999996"/>
    <s v="Yes"/>
    <n v="0.84"/>
  </r>
  <r>
    <s v="FL250321"/>
    <s v="Christopher Riggs"/>
    <x v="1"/>
    <n v="30"/>
    <x v="12"/>
    <x v="10"/>
    <x v="0"/>
    <x v="3"/>
    <x v="5"/>
    <n v="3.3"/>
    <s v="No"/>
    <n v="0.79269417475728277"/>
  </r>
  <r>
    <s v="FL250322"/>
    <s v="Kathryn Myers"/>
    <x v="0"/>
    <n v="37"/>
    <x v="14"/>
    <x v="1"/>
    <x v="7"/>
    <x v="12"/>
    <x v="2"/>
    <n v="3.7"/>
    <s v="Yes"/>
    <n v="0.79269417475728277"/>
  </r>
  <r>
    <s v="FL250323"/>
    <s v="Robert Walls"/>
    <x v="1"/>
    <n v="52"/>
    <x v="11"/>
    <x v="9"/>
    <x v="2"/>
    <x v="25"/>
    <x v="2"/>
    <n v="0"/>
    <s v="Yes"/>
    <n v="0.6"/>
  </r>
  <r>
    <s v="FL250324"/>
    <s v="Justin Johnson"/>
    <x v="1"/>
    <n v="48"/>
    <x v="10"/>
    <x v="8"/>
    <x v="7"/>
    <x v="10"/>
    <x v="1"/>
    <n v="0"/>
    <s v="Yes"/>
    <n v="0.64"/>
  </r>
  <r>
    <s v="FL250325"/>
    <s v="Paula Stevens"/>
    <x v="0"/>
    <n v="28"/>
    <x v="9"/>
    <x v="7"/>
    <x v="1"/>
    <x v="14"/>
    <x v="2"/>
    <n v="2.5125695216907653"/>
    <s v="Yes"/>
    <n v="0.64"/>
  </r>
  <r>
    <s v="FL250326"/>
    <s v="Jennifer Allen"/>
    <x v="0"/>
    <n v="58"/>
    <x v="20"/>
    <x v="6"/>
    <x v="5"/>
    <x v="36"/>
    <x v="4"/>
    <n v="3.4"/>
    <s v="Yes"/>
    <n v="1"/>
  </r>
  <r>
    <s v="FL250327"/>
    <s v="Mark Hudson"/>
    <x v="1"/>
    <n v="30"/>
    <x v="8"/>
    <x v="6"/>
    <x v="3"/>
    <x v="24"/>
    <x v="2"/>
    <n v="1.6"/>
    <s v="Yes"/>
    <n v="1"/>
  </r>
  <r>
    <s v="FL250328"/>
    <s v="Jessica Smith"/>
    <x v="0"/>
    <n v="47"/>
    <x v="18"/>
    <x v="15"/>
    <x v="1"/>
    <x v="30"/>
    <x v="5"/>
    <n v="1.9"/>
    <s v="No"/>
    <n v="0.79269417475728277"/>
  </r>
  <r>
    <s v="FL250329"/>
    <s v="Mike Dean"/>
    <x v="1"/>
    <n v="44"/>
    <x v="8"/>
    <x v="6"/>
    <x v="4"/>
    <x v="3"/>
    <x v="1"/>
    <n v="0"/>
    <s v="Yes"/>
    <n v="0.83"/>
  </r>
  <r>
    <s v="FL250330"/>
    <s v="Jose Wilson"/>
    <x v="1"/>
    <n v="56"/>
    <x v="0"/>
    <x v="0"/>
    <x v="9"/>
    <x v="13"/>
    <x v="2"/>
    <n v="2.5125695216907653"/>
    <s v="Yes"/>
    <n v="0.87"/>
  </r>
  <r>
    <s v="FL250331"/>
    <s v="Tammy Hill"/>
    <x v="0"/>
    <n v="53"/>
    <x v="5"/>
    <x v="1"/>
    <x v="1"/>
    <x v="25"/>
    <x v="0"/>
    <n v="2.5125695216907653"/>
    <s v="No"/>
    <n v="0.75"/>
  </r>
  <r>
    <s v="FL250332"/>
    <s v="Nathaniel Flores"/>
    <x v="1"/>
    <n v="59"/>
    <x v="7"/>
    <x v="1"/>
    <x v="1"/>
    <x v="7"/>
    <x v="2"/>
    <n v="1.1000000000000001"/>
    <s v="Yes"/>
    <n v="0.61"/>
  </r>
  <r>
    <s v="FL250333"/>
    <s v="Edwin Carter"/>
    <x v="1"/>
    <n v="60"/>
    <x v="5"/>
    <x v="1"/>
    <x v="8"/>
    <x v="1"/>
    <x v="2"/>
    <n v="2.5"/>
    <s v="No"/>
    <n v="0.93"/>
  </r>
  <r>
    <s v="FL250334"/>
    <s v="Patricia Miller"/>
    <x v="0"/>
    <n v="33"/>
    <x v="2"/>
    <x v="2"/>
    <x v="1"/>
    <x v="17"/>
    <x v="3"/>
    <n v="3.6"/>
    <s v="Yes"/>
    <n v="0.79269417475728277"/>
  </r>
  <r>
    <s v="FL250335"/>
    <s v="Rebecca Schneider"/>
    <x v="0"/>
    <n v="21"/>
    <x v="8"/>
    <x v="6"/>
    <x v="3"/>
    <x v="24"/>
    <x v="5"/>
    <n v="2.5125695216907653"/>
    <s v="No"/>
    <n v="0.99"/>
  </r>
  <r>
    <s v="FL250336"/>
    <s v="John Greene"/>
    <x v="1"/>
    <n v="54"/>
    <x v="7"/>
    <x v="1"/>
    <x v="6"/>
    <x v="11"/>
    <x v="1"/>
    <n v="4.4000000000000004"/>
    <s v="No"/>
    <n v="0.73"/>
  </r>
  <r>
    <s v="FL250337"/>
    <s v="Brittany Mcdowell"/>
    <x v="0"/>
    <n v="33"/>
    <x v="5"/>
    <x v="1"/>
    <x v="2"/>
    <x v="0"/>
    <x v="4"/>
    <n v="2.1"/>
    <s v="No"/>
    <n v="0.96"/>
  </r>
  <r>
    <s v="FL250338"/>
    <s v="Lori Miller"/>
    <x v="0"/>
    <n v="57"/>
    <x v="6"/>
    <x v="5"/>
    <x v="5"/>
    <x v="32"/>
    <x v="2"/>
    <n v="0"/>
    <s v="No"/>
    <n v="0.6"/>
  </r>
  <r>
    <s v="FL250339"/>
    <s v="Joseph Robinson"/>
    <x v="1"/>
    <n v="36"/>
    <x v="12"/>
    <x v="10"/>
    <x v="2"/>
    <x v="21"/>
    <x v="5"/>
    <n v="1"/>
    <s v="Yes"/>
    <n v="0.64"/>
  </r>
  <r>
    <s v="FL250340"/>
    <s v="Aaron Pruitt"/>
    <x v="1"/>
    <n v="50"/>
    <x v="2"/>
    <x v="2"/>
    <x v="0"/>
    <x v="11"/>
    <x v="3"/>
    <n v="0"/>
    <s v="No"/>
    <n v="0.79269417475728277"/>
  </r>
  <r>
    <s v="FL250341"/>
    <s v="Victoria Miller"/>
    <x v="0"/>
    <n v="37"/>
    <x v="14"/>
    <x v="1"/>
    <x v="8"/>
    <x v="14"/>
    <x v="5"/>
    <n v="4.9000000000000004"/>
    <s v="No"/>
    <n v="0.79269417475728277"/>
  </r>
  <r>
    <s v="FL250342"/>
    <s v="Clarence Vega"/>
    <x v="1"/>
    <n v="53"/>
    <x v="0"/>
    <x v="0"/>
    <x v="4"/>
    <x v="3"/>
    <x v="3"/>
    <n v="4.7"/>
    <s v="No"/>
    <n v="0.99"/>
  </r>
  <r>
    <s v="FL250343"/>
    <s v="Deborah Day"/>
    <x v="0"/>
    <n v="22"/>
    <x v="0"/>
    <x v="0"/>
    <x v="0"/>
    <x v="15"/>
    <x v="2"/>
    <n v="2.1"/>
    <s v="No"/>
    <n v="0.79269417475728277"/>
  </r>
  <r>
    <s v="FL250344"/>
    <s v="Nicole Rocha"/>
    <x v="0"/>
    <n v="55"/>
    <x v="3"/>
    <x v="3"/>
    <x v="1"/>
    <x v="25"/>
    <x v="2"/>
    <n v="1.5"/>
    <s v="Yes"/>
    <n v="0.71"/>
  </r>
  <r>
    <s v="FL250345"/>
    <s v="Elijah Green"/>
    <x v="1"/>
    <n v="22"/>
    <x v="1"/>
    <x v="1"/>
    <x v="7"/>
    <x v="24"/>
    <x v="2"/>
    <n v="2.6"/>
    <s v="No"/>
    <n v="0.72"/>
  </r>
  <r>
    <s v="FL250346"/>
    <s v="Emily Johnson"/>
    <x v="0"/>
    <n v="45"/>
    <x v="6"/>
    <x v="5"/>
    <x v="3"/>
    <x v="22"/>
    <x v="1"/>
    <n v="0"/>
    <s v="No"/>
    <n v="0.66"/>
  </r>
  <r>
    <s v="FL250347"/>
    <s v="Richard Velasquez "/>
    <x v="1"/>
    <n v="36"/>
    <x v="15"/>
    <x v="12"/>
    <x v="5"/>
    <x v="13"/>
    <x v="2"/>
    <n v="2.5125695216907653"/>
    <s v="No"/>
    <n v="0.78"/>
  </r>
  <r>
    <s v="FL250348"/>
    <s v="Kurt Wilson"/>
    <x v="1"/>
    <n v="23"/>
    <x v="1"/>
    <x v="1"/>
    <x v="8"/>
    <x v="24"/>
    <x v="5"/>
    <n v="4"/>
    <s v="Yes"/>
    <n v="1"/>
  </r>
  <r>
    <s v="FL250349"/>
    <s v="Jeremiah Rodriguez"/>
    <x v="1"/>
    <n v="55"/>
    <x v="0"/>
    <x v="0"/>
    <x v="8"/>
    <x v="9"/>
    <x v="2"/>
    <n v="4.5"/>
    <s v="No"/>
    <n v="0.79269417475728277"/>
  </r>
  <r>
    <s v="FL250350"/>
    <s v="Lauren Lang"/>
    <x v="0"/>
    <n v="50"/>
    <x v="11"/>
    <x v="9"/>
    <x v="1"/>
    <x v="10"/>
    <x v="4"/>
    <n v="3.8"/>
    <s v="No"/>
    <n v="0.67"/>
  </r>
  <r>
    <s v="FL250351"/>
    <s v="Matthew Phillips"/>
    <x v="1"/>
    <n v="48"/>
    <x v="5"/>
    <x v="1"/>
    <x v="9"/>
    <x v="16"/>
    <x v="1"/>
    <n v="4"/>
    <s v="No"/>
    <n v="0.78"/>
  </r>
  <r>
    <s v="FL250352"/>
    <s v="Michael Andersen"/>
    <x v="1"/>
    <n v="23"/>
    <x v="3"/>
    <x v="3"/>
    <x v="8"/>
    <x v="24"/>
    <x v="2"/>
    <n v="4.9000000000000004"/>
    <s v="Yes"/>
    <n v="0.78"/>
  </r>
  <r>
    <s v="FL250353"/>
    <s v="Amanda Mayo"/>
    <x v="0"/>
    <n v="49"/>
    <x v="14"/>
    <x v="1"/>
    <x v="3"/>
    <x v="33"/>
    <x v="3"/>
    <n v="3.4"/>
    <s v="No"/>
    <n v="0.75"/>
  </r>
  <r>
    <s v="FL250354"/>
    <s v="Jessica Vance"/>
    <x v="0"/>
    <n v="47"/>
    <x v="0"/>
    <x v="0"/>
    <x v="7"/>
    <x v="28"/>
    <x v="1"/>
    <n v="2.1"/>
    <s v="Yes"/>
    <n v="0.67"/>
  </r>
  <r>
    <s v="FL250355"/>
    <s v="Alexa Gallegos"/>
    <x v="0"/>
    <n v="56"/>
    <x v="9"/>
    <x v="7"/>
    <x v="2"/>
    <x v="19"/>
    <x v="2"/>
    <n v="0"/>
    <s v="Yes"/>
    <n v="0.86"/>
  </r>
  <r>
    <s v="FL250356"/>
    <s v="Charles Pratt"/>
    <x v="1"/>
    <n v="58"/>
    <x v="8"/>
    <x v="6"/>
    <x v="6"/>
    <x v="14"/>
    <x v="0"/>
    <n v="4.5"/>
    <s v="No"/>
    <n v="0.77"/>
  </r>
  <r>
    <s v="FL250357"/>
    <s v="Brian Baker"/>
    <x v="1"/>
    <n v="32"/>
    <x v="12"/>
    <x v="10"/>
    <x v="6"/>
    <x v="6"/>
    <x v="3"/>
    <n v="3.8"/>
    <s v="No"/>
    <n v="0.61"/>
  </r>
  <r>
    <s v="FL250358"/>
    <s v="Christina Norman"/>
    <x v="0"/>
    <n v="52"/>
    <x v="10"/>
    <x v="8"/>
    <x v="6"/>
    <x v="12"/>
    <x v="2"/>
    <n v="4.3"/>
    <s v="No"/>
    <n v="0.9"/>
  </r>
  <r>
    <s v="FL250359"/>
    <s v="Laura Kelly"/>
    <x v="0"/>
    <n v="22"/>
    <x v="18"/>
    <x v="15"/>
    <x v="5"/>
    <x v="24"/>
    <x v="1"/>
    <n v="0"/>
    <s v="No"/>
    <n v="0.98"/>
  </r>
  <r>
    <s v="FL250360"/>
    <s v="John Webb"/>
    <x v="1"/>
    <n v="20"/>
    <x v="10"/>
    <x v="8"/>
    <x v="7"/>
    <x v="32"/>
    <x v="3"/>
    <n v="2.5125695216907653"/>
    <s v="Yes"/>
    <n v="0.99"/>
  </r>
  <r>
    <s v="FL250361"/>
    <s v="Christopher Burton"/>
    <x v="1"/>
    <n v="56"/>
    <x v="3"/>
    <x v="3"/>
    <x v="5"/>
    <x v="14"/>
    <x v="2"/>
    <n v="2.6"/>
    <s v="No"/>
    <n v="0.61"/>
  </r>
  <r>
    <s v="FL250362"/>
    <s v="Bradley Aguilar"/>
    <x v="1"/>
    <n v="41"/>
    <x v="9"/>
    <x v="7"/>
    <x v="5"/>
    <x v="7"/>
    <x v="1"/>
    <n v="1.6"/>
    <s v="Yes"/>
    <n v="0.61"/>
  </r>
  <r>
    <s v="FL250363"/>
    <s v="Arthur Vasquez"/>
    <x v="1"/>
    <n v="25"/>
    <x v="8"/>
    <x v="6"/>
    <x v="0"/>
    <x v="30"/>
    <x v="3"/>
    <n v="2.2999999999999998"/>
    <s v="No"/>
    <n v="0.91"/>
  </r>
  <r>
    <s v="FL250364"/>
    <s v="Angela Castro"/>
    <x v="0"/>
    <n v="44"/>
    <x v="14"/>
    <x v="1"/>
    <x v="7"/>
    <x v="21"/>
    <x v="4"/>
    <n v="4.5999999999999996"/>
    <s v="Yes"/>
    <n v="0.72"/>
  </r>
  <r>
    <s v="FL250365"/>
    <s v="Summer Yoder"/>
    <x v="0"/>
    <n v="46"/>
    <x v="1"/>
    <x v="1"/>
    <x v="3"/>
    <x v="37"/>
    <x v="0"/>
    <n v="2.1"/>
    <s v="No"/>
    <n v="0.79269417475728277"/>
  </r>
  <r>
    <s v="FL250366"/>
    <s v="Jackie Allen"/>
    <x v="0"/>
    <n v="40"/>
    <x v="12"/>
    <x v="10"/>
    <x v="0"/>
    <x v="14"/>
    <x v="2"/>
    <n v="1.5"/>
    <s v="No"/>
    <n v="0.96"/>
  </r>
  <r>
    <s v="FL250367"/>
    <s v="Brandon Williams"/>
    <x v="1"/>
    <n v="41"/>
    <x v="18"/>
    <x v="15"/>
    <x v="4"/>
    <x v="14"/>
    <x v="2"/>
    <n v="1.7"/>
    <s v="Yes"/>
    <n v="0.72"/>
  </r>
  <r>
    <s v="FL250368"/>
    <s v="Manuel Torres"/>
    <x v="1"/>
    <n v="31"/>
    <x v="9"/>
    <x v="7"/>
    <x v="5"/>
    <x v="0"/>
    <x v="2"/>
    <n v="3.3"/>
    <s v="No"/>
    <n v="0.79269417475728277"/>
  </r>
  <r>
    <s v="FL250369"/>
    <s v="Scott Keller"/>
    <x v="1"/>
    <n v="33"/>
    <x v="12"/>
    <x v="10"/>
    <x v="9"/>
    <x v="14"/>
    <x v="2"/>
    <n v="4.3"/>
    <s v="Yes"/>
    <n v="0.63"/>
  </r>
  <r>
    <s v="FL250370"/>
    <s v="Deborah Brown"/>
    <x v="0"/>
    <n v="31"/>
    <x v="11"/>
    <x v="9"/>
    <x v="9"/>
    <x v="15"/>
    <x v="5"/>
    <n v="2.5125695216907653"/>
    <s v="No"/>
    <n v="0.79269417475728277"/>
  </r>
  <r>
    <s v="FL250371"/>
    <s v="Jennifer Lara"/>
    <x v="0"/>
    <n v="49"/>
    <x v="0"/>
    <x v="0"/>
    <x v="5"/>
    <x v="9"/>
    <x v="4"/>
    <n v="2.6"/>
    <s v="No"/>
    <n v="0.83"/>
  </r>
  <r>
    <s v="FL250372"/>
    <s v="Jason Scott"/>
    <x v="1"/>
    <n v="35"/>
    <x v="19"/>
    <x v="6"/>
    <x v="2"/>
    <x v="28"/>
    <x v="5"/>
    <n v="4.0999999999999996"/>
    <s v="No"/>
    <n v="0.94"/>
  </r>
  <r>
    <s v="FL250373"/>
    <s v="Gregory Garrison"/>
    <x v="1"/>
    <n v="45"/>
    <x v="10"/>
    <x v="8"/>
    <x v="5"/>
    <x v="18"/>
    <x v="2"/>
    <n v="2.2000000000000002"/>
    <s v="Yes"/>
    <n v="0.78"/>
  </r>
  <r>
    <s v="FL250374"/>
    <s v="Chelsea Anderson"/>
    <x v="0"/>
    <n v="39"/>
    <x v="3"/>
    <x v="3"/>
    <x v="5"/>
    <x v="13"/>
    <x v="3"/>
    <n v="1.1000000000000001"/>
    <s v="Yes"/>
    <n v="0.79269417475728277"/>
  </r>
  <r>
    <s v="FL250375"/>
    <s v="Gerald Johnson"/>
    <x v="1"/>
    <n v="41"/>
    <x v="8"/>
    <x v="6"/>
    <x v="0"/>
    <x v="14"/>
    <x v="1"/>
    <n v="2.1"/>
    <s v="Yes"/>
    <n v="0.82"/>
  </r>
  <r>
    <s v="FL250376"/>
    <s v="Kevin Ellis"/>
    <x v="1"/>
    <n v="24"/>
    <x v="2"/>
    <x v="2"/>
    <x v="7"/>
    <x v="15"/>
    <x v="3"/>
    <n v="2.2999999999999998"/>
    <s v="No"/>
    <n v="0.66"/>
  </r>
  <r>
    <s v="FL250377"/>
    <s v="Mitchell Keller"/>
    <x v="1"/>
    <n v="50"/>
    <x v="1"/>
    <x v="1"/>
    <x v="2"/>
    <x v="37"/>
    <x v="2"/>
    <n v="3.6"/>
    <s v="Yes"/>
    <n v="0.82"/>
  </r>
  <r>
    <s v="FL250378"/>
    <s v="Mary Brown"/>
    <x v="0"/>
    <n v="23"/>
    <x v="2"/>
    <x v="2"/>
    <x v="9"/>
    <x v="3"/>
    <x v="5"/>
    <n v="4.7"/>
    <s v="Yes"/>
    <n v="0.84"/>
  </r>
  <r>
    <s v="FL250379"/>
    <s v="Ronald Walls"/>
    <x v="1"/>
    <n v="27"/>
    <x v="14"/>
    <x v="1"/>
    <x v="7"/>
    <x v="17"/>
    <x v="5"/>
    <n v="4.8"/>
    <s v="No"/>
    <n v="0.81"/>
  </r>
  <r>
    <s v="FL250380"/>
    <s v="Anthony Avila"/>
    <x v="1"/>
    <n v="58"/>
    <x v="17"/>
    <x v="14"/>
    <x v="4"/>
    <x v="6"/>
    <x v="4"/>
    <n v="4.2"/>
    <s v="No"/>
    <n v="0.71"/>
  </r>
  <r>
    <s v="FL250381"/>
    <s v="Douglas Goodwin"/>
    <x v="1"/>
    <n v="37"/>
    <x v="0"/>
    <x v="0"/>
    <x v="9"/>
    <x v="30"/>
    <x v="2"/>
    <n v="4.8"/>
    <s v="Yes"/>
    <n v="0.61"/>
  </r>
  <r>
    <s v="FL250382"/>
    <s v="James Mills"/>
    <x v="1"/>
    <n v="39"/>
    <x v="20"/>
    <x v="6"/>
    <x v="0"/>
    <x v="10"/>
    <x v="4"/>
    <n v="4"/>
    <s v="Yes"/>
    <n v="0.66"/>
  </r>
  <r>
    <s v="FL250383"/>
    <s v="Nicole Marks"/>
    <x v="0"/>
    <n v="46"/>
    <x v="16"/>
    <x v="13"/>
    <x v="5"/>
    <x v="6"/>
    <x v="5"/>
    <n v="2.5"/>
    <s v="Yes"/>
    <n v="0.97"/>
  </r>
  <r>
    <s v="FL250384"/>
    <s v="Phyllis Dawson"/>
    <x v="0"/>
    <n v="41"/>
    <x v="7"/>
    <x v="1"/>
    <x v="6"/>
    <x v="12"/>
    <x v="5"/>
    <n v="4.8"/>
    <s v="No"/>
    <n v="0.74"/>
  </r>
  <r>
    <s v="FL250385"/>
    <s v="Renee Arnold"/>
    <x v="0"/>
    <n v="39"/>
    <x v="19"/>
    <x v="6"/>
    <x v="0"/>
    <x v="16"/>
    <x v="3"/>
    <n v="4.7"/>
    <s v="No"/>
    <n v="0.61"/>
  </r>
  <r>
    <s v="FL250386"/>
    <s v="Eric Robinson"/>
    <x v="1"/>
    <n v="59"/>
    <x v="16"/>
    <x v="13"/>
    <x v="0"/>
    <x v="33"/>
    <x v="5"/>
    <n v="4"/>
    <s v="No"/>
    <n v="0.9"/>
  </r>
  <r>
    <s v="FL250387"/>
    <s v="Paul Brown"/>
    <x v="1"/>
    <n v="21"/>
    <x v="3"/>
    <x v="3"/>
    <x v="8"/>
    <x v="12"/>
    <x v="2"/>
    <n v="4.0999999999999996"/>
    <s v="Yes"/>
    <n v="0.97"/>
  </r>
  <r>
    <s v="FL250388"/>
    <s v="Sarah Proctor"/>
    <x v="0"/>
    <n v="23"/>
    <x v="14"/>
    <x v="1"/>
    <x v="8"/>
    <x v="30"/>
    <x v="0"/>
    <n v="3.2"/>
    <s v="Yes"/>
    <n v="0.79269417475728277"/>
  </r>
  <r>
    <s v="FL250389"/>
    <s v="Matthew Hicks"/>
    <x v="1"/>
    <n v="27"/>
    <x v="16"/>
    <x v="13"/>
    <x v="3"/>
    <x v="24"/>
    <x v="5"/>
    <n v="4.3"/>
    <s v="No"/>
    <n v="0.76"/>
  </r>
  <r>
    <s v="FL250390"/>
    <s v="Christopher Black"/>
    <x v="1"/>
    <n v="27"/>
    <x v="18"/>
    <x v="15"/>
    <x v="7"/>
    <x v="3"/>
    <x v="2"/>
    <n v="4.4000000000000004"/>
    <s v="No"/>
    <n v="0.92"/>
  </r>
  <r>
    <s v="FL250391"/>
    <s v="Joanne Reyes"/>
    <x v="0"/>
    <n v="48"/>
    <x v="17"/>
    <x v="14"/>
    <x v="5"/>
    <x v="16"/>
    <x v="2"/>
    <n v="2.2999999999999998"/>
    <s v="No"/>
    <n v="0.79269417475728277"/>
  </r>
  <r>
    <s v="FL250392"/>
    <s v="Isaac Gray"/>
    <x v="1"/>
    <n v="21"/>
    <x v="17"/>
    <x v="14"/>
    <x v="4"/>
    <x v="24"/>
    <x v="5"/>
    <n v="2.4"/>
    <s v="Yes"/>
    <n v="0.66"/>
  </r>
  <r>
    <s v="FL250393"/>
    <s v="Joshua Roberts"/>
    <x v="1"/>
    <n v="37"/>
    <x v="0"/>
    <x v="0"/>
    <x v="8"/>
    <x v="14"/>
    <x v="1"/>
    <n v="4.5999999999999996"/>
    <s v="No"/>
    <n v="0.83"/>
  </r>
  <r>
    <s v="FL250394"/>
    <s v="Elizabeth Estrada"/>
    <x v="0"/>
    <n v="31"/>
    <x v="2"/>
    <x v="2"/>
    <x v="6"/>
    <x v="6"/>
    <x v="1"/>
    <n v="0"/>
    <s v="No"/>
    <n v="0.79269417475728277"/>
  </r>
  <r>
    <s v="FL250395"/>
    <s v="Lori Malone"/>
    <x v="0"/>
    <n v="41"/>
    <x v="16"/>
    <x v="13"/>
    <x v="0"/>
    <x v="16"/>
    <x v="2"/>
    <n v="0"/>
    <s v="Yes"/>
    <n v="0.79269417475728277"/>
  </r>
  <r>
    <s v="FL250396"/>
    <s v="Anthony Huynh "/>
    <x v="1"/>
    <n v="31"/>
    <x v="13"/>
    <x v="11"/>
    <x v="7"/>
    <x v="12"/>
    <x v="5"/>
    <n v="4.2"/>
    <s v="Yes"/>
    <n v="0.82"/>
  </r>
  <r>
    <s v="FL250397"/>
    <s v="Mindy York"/>
    <x v="0"/>
    <n v="58"/>
    <x v="8"/>
    <x v="6"/>
    <x v="5"/>
    <x v="12"/>
    <x v="1"/>
    <n v="2.2999999999999998"/>
    <s v="No"/>
    <n v="0.77"/>
  </r>
  <r>
    <s v="FL250398"/>
    <s v=" Christine Cherry"/>
    <x v="0"/>
    <n v="45"/>
    <x v="3"/>
    <x v="3"/>
    <x v="5"/>
    <x v="8"/>
    <x v="1"/>
    <n v="4.7"/>
    <s v="Yes"/>
    <n v="0.73"/>
  </r>
  <r>
    <s v="FL250399"/>
    <s v="Daniel Foster"/>
    <x v="1"/>
    <n v="51"/>
    <x v="12"/>
    <x v="10"/>
    <x v="7"/>
    <x v="30"/>
    <x v="2"/>
    <n v="3"/>
    <s v="Yes"/>
    <n v="0.88"/>
  </r>
  <r>
    <s v="FL250400"/>
    <s v=" David Valencia"/>
    <x v="1"/>
    <n v="54"/>
    <x v="5"/>
    <x v="1"/>
    <x v="6"/>
    <x v="15"/>
    <x v="3"/>
    <n v="2.4"/>
    <s v="No"/>
    <n v="0.81"/>
  </r>
  <r>
    <s v="FL250401"/>
    <s v="Ethan Adams"/>
    <x v="1"/>
    <n v="22"/>
    <x v="13"/>
    <x v="11"/>
    <x v="5"/>
    <x v="24"/>
    <x v="5"/>
    <n v="1.7"/>
    <s v="No"/>
    <n v="0.78"/>
  </r>
  <r>
    <s v="FL250402"/>
    <s v="Brett Moore"/>
    <x v="1"/>
    <n v="36"/>
    <x v="6"/>
    <x v="5"/>
    <x v="7"/>
    <x v="32"/>
    <x v="4"/>
    <n v="0"/>
    <s v="No"/>
    <n v="0.92"/>
  </r>
  <r>
    <s v="FL250403"/>
    <s v="Phillip Griffin"/>
    <x v="1"/>
    <n v="50"/>
    <x v="2"/>
    <x v="2"/>
    <x v="8"/>
    <x v="19"/>
    <x v="3"/>
    <n v="2.5125695216907653"/>
    <s v="No"/>
    <n v="0.64"/>
  </r>
  <r>
    <s v="FL250404"/>
    <s v="Stacie Wall"/>
    <x v="0"/>
    <n v="41"/>
    <x v="1"/>
    <x v="1"/>
    <x v="0"/>
    <x v="5"/>
    <x v="3"/>
    <n v="0"/>
    <s v="Yes"/>
    <n v="0.78"/>
  </r>
  <r>
    <s v="FL250405"/>
    <s v="Jacob Austin"/>
    <x v="1"/>
    <n v="41"/>
    <x v="17"/>
    <x v="14"/>
    <x v="3"/>
    <x v="6"/>
    <x v="5"/>
    <n v="1.8"/>
    <s v="Yes"/>
    <n v="0.85"/>
  </r>
  <r>
    <s v="FL250406"/>
    <s v="Sabrina Davidson"/>
    <x v="0"/>
    <n v="51"/>
    <x v="3"/>
    <x v="3"/>
    <x v="7"/>
    <x v="4"/>
    <x v="1"/>
    <n v="0"/>
    <s v="No"/>
    <n v="0.78"/>
  </r>
  <r>
    <s v="FL250407"/>
    <s v="Dustin Douglas"/>
    <x v="1"/>
    <n v="21"/>
    <x v="15"/>
    <x v="12"/>
    <x v="4"/>
    <x v="32"/>
    <x v="3"/>
    <n v="3.8"/>
    <s v="Yes"/>
    <n v="0.98"/>
  </r>
  <r>
    <s v="FL250408"/>
    <s v="Steven Norris"/>
    <x v="1"/>
    <n v="51"/>
    <x v="9"/>
    <x v="7"/>
    <x v="4"/>
    <x v="25"/>
    <x v="2"/>
    <n v="0"/>
    <s v="Yes"/>
    <n v="0.63"/>
  </r>
  <r>
    <s v="FL250409"/>
    <s v="Mindy Sullivan"/>
    <x v="0"/>
    <n v="37"/>
    <x v="4"/>
    <x v="4"/>
    <x v="2"/>
    <x v="0"/>
    <x v="2"/>
    <n v="3.6"/>
    <s v="No"/>
    <n v="0.73"/>
  </r>
  <r>
    <s v="FL250410"/>
    <s v="Elizabeth Stone"/>
    <x v="0"/>
    <n v="20"/>
    <x v="20"/>
    <x v="6"/>
    <x v="2"/>
    <x v="32"/>
    <x v="3"/>
    <n v="0"/>
    <s v="No"/>
    <n v="0.94"/>
  </r>
  <r>
    <s v="FL250411"/>
    <s v="Diane Flores"/>
    <x v="0"/>
    <n v="50"/>
    <x v="1"/>
    <x v="1"/>
    <x v="3"/>
    <x v="2"/>
    <x v="1"/>
    <n v="4.0999999999999996"/>
    <s v="No"/>
    <n v="0.81"/>
  </r>
  <r>
    <s v="FL250412"/>
    <s v="Jessica Erickson"/>
    <x v="0"/>
    <n v="58"/>
    <x v="6"/>
    <x v="5"/>
    <x v="2"/>
    <x v="8"/>
    <x v="1"/>
    <n v="2.6"/>
    <s v="Yes"/>
    <n v="0.61"/>
  </r>
  <r>
    <s v="FL250413"/>
    <s v="Sara Moses"/>
    <x v="0"/>
    <n v="40"/>
    <x v="11"/>
    <x v="9"/>
    <x v="6"/>
    <x v="32"/>
    <x v="0"/>
    <n v="0"/>
    <s v="No"/>
    <n v="0.79269417475728277"/>
  </r>
  <r>
    <s v="FL250414"/>
    <s v="Allison Henderson"/>
    <x v="0"/>
    <n v="26"/>
    <x v="16"/>
    <x v="13"/>
    <x v="3"/>
    <x v="32"/>
    <x v="5"/>
    <n v="1.3"/>
    <s v="No"/>
    <n v="0.83"/>
  </r>
  <r>
    <s v="FL250415"/>
    <s v="Susan Dixon"/>
    <x v="0"/>
    <n v="44"/>
    <x v="12"/>
    <x v="10"/>
    <x v="7"/>
    <x v="7"/>
    <x v="3"/>
    <n v="4.0999999999999996"/>
    <s v="Yes"/>
    <n v="0.79269417475728277"/>
  </r>
  <r>
    <s v="FL250416"/>
    <s v="David Morrison"/>
    <x v="1"/>
    <n v="42"/>
    <x v="19"/>
    <x v="6"/>
    <x v="9"/>
    <x v="17"/>
    <x v="1"/>
    <n v="2.4"/>
    <s v="No"/>
    <n v="0.68"/>
  </r>
  <r>
    <s v="FL250417"/>
    <s v="Jason Carter"/>
    <x v="1"/>
    <n v="38"/>
    <x v="19"/>
    <x v="6"/>
    <x v="5"/>
    <x v="14"/>
    <x v="1"/>
    <n v="0"/>
    <s v="No"/>
    <n v="0.74"/>
  </r>
  <r>
    <s v="FL250418"/>
    <s v="James Jacobs"/>
    <x v="1"/>
    <n v="51"/>
    <x v="16"/>
    <x v="13"/>
    <x v="3"/>
    <x v="19"/>
    <x v="0"/>
    <n v="4.4000000000000004"/>
    <s v="No"/>
    <n v="0.91"/>
  </r>
  <r>
    <s v="FL250419"/>
    <s v="Kathleen Quinn"/>
    <x v="0"/>
    <n v="36"/>
    <x v="15"/>
    <x v="12"/>
    <x v="4"/>
    <x v="17"/>
    <x v="0"/>
    <n v="2.2000000000000002"/>
    <s v="Yes"/>
    <n v="0.97"/>
  </r>
  <r>
    <s v="FL250420"/>
    <s v="Natalie Frank "/>
    <x v="0"/>
    <n v="37"/>
    <x v="1"/>
    <x v="1"/>
    <x v="1"/>
    <x v="6"/>
    <x v="3"/>
    <n v="0"/>
    <s v="No"/>
    <n v="0.96"/>
  </r>
  <r>
    <s v="FL250421"/>
    <s v="Michael Reed"/>
    <x v="1"/>
    <n v="31"/>
    <x v="17"/>
    <x v="14"/>
    <x v="8"/>
    <x v="12"/>
    <x v="1"/>
    <n v="1.1000000000000001"/>
    <s v="Yes"/>
    <n v="0.73"/>
  </r>
  <r>
    <s v="FL250422"/>
    <s v="Sheila Smith"/>
    <x v="0"/>
    <n v="47"/>
    <x v="10"/>
    <x v="8"/>
    <x v="7"/>
    <x v="7"/>
    <x v="2"/>
    <n v="1.4"/>
    <s v="Yes"/>
    <n v="0.72"/>
  </r>
  <r>
    <s v="FL250423"/>
    <s v="Morgan Ford"/>
    <x v="0"/>
    <n v="60"/>
    <x v="19"/>
    <x v="6"/>
    <x v="6"/>
    <x v="1"/>
    <x v="0"/>
    <n v="0"/>
    <s v="Yes"/>
    <n v="0.74"/>
  </r>
  <r>
    <s v="FL250424"/>
    <s v="Linda Schultz"/>
    <x v="0"/>
    <n v="48"/>
    <x v="8"/>
    <x v="6"/>
    <x v="1"/>
    <x v="30"/>
    <x v="3"/>
    <n v="1.5"/>
    <s v="No"/>
    <n v="0.79269417475728277"/>
  </r>
  <r>
    <s v="FL250425"/>
    <s v="Regina Daniel"/>
    <x v="0"/>
    <n v="24"/>
    <x v="10"/>
    <x v="8"/>
    <x v="4"/>
    <x v="15"/>
    <x v="5"/>
    <n v="0"/>
    <s v="Yes"/>
    <n v="0.79269417475728277"/>
  </r>
  <r>
    <s v="FL250426"/>
    <s v="Allison Perkins"/>
    <x v="0"/>
    <n v="35"/>
    <x v="3"/>
    <x v="3"/>
    <x v="9"/>
    <x v="6"/>
    <x v="4"/>
    <n v="0"/>
    <s v="No"/>
    <n v="0.74"/>
  </r>
  <r>
    <s v="FL250427"/>
    <s v="Bradley Weaver"/>
    <x v="1"/>
    <n v="35"/>
    <x v="5"/>
    <x v="1"/>
    <x v="8"/>
    <x v="14"/>
    <x v="0"/>
    <n v="3.5"/>
    <s v="Yes"/>
    <n v="0.71"/>
  </r>
  <r>
    <s v="FL250428"/>
    <s v="Sarah Hall"/>
    <x v="0"/>
    <n v="29"/>
    <x v="3"/>
    <x v="3"/>
    <x v="6"/>
    <x v="21"/>
    <x v="2"/>
    <n v="4.8"/>
    <s v="No"/>
    <n v="0.83"/>
  </r>
  <r>
    <s v="FL250429"/>
    <s v="Diana Walton"/>
    <x v="0"/>
    <n v="36"/>
    <x v="0"/>
    <x v="0"/>
    <x v="9"/>
    <x v="24"/>
    <x v="4"/>
    <n v="2.5125695216907653"/>
    <s v="No"/>
    <n v="0.63"/>
  </r>
  <r>
    <s v="FL250430"/>
    <s v="Donna Davis"/>
    <x v="0"/>
    <n v="44"/>
    <x v="14"/>
    <x v="1"/>
    <x v="4"/>
    <x v="12"/>
    <x v="2"/>
    <n v="4.8"/>
    <s v="No"/>
    <n v="0.84"/>
  </r>
  <r>
    <s v="FL250431"/>
    <s v="Christopher Mcclain"/>
    <x v="1"/>
    <n v="44"/>
    <x v="17"/>
    <x v="14"/>
    <x v="3"/>
    <x v="14"/>
    <x v="2"/>
    <n v="1.4"/>
    <s v="No"/>
    <n v="0.93"/>
  </r>
  <r>
    <s v="FL250432"/>
    <s v=" Paul Williamson"/>
    <x v="1"/>
    <n v="40"/>
    <x v="10"/>
    <x v="8"/>
    <x v="4"/>
    <x v="13"/>
    <x v="0"/>
    <n v="1.1000000000000001"/>
    <s v="Yes"/>
    <n v="0.79269417475728277"/>
  </r>
  <r>
    <s v="FL250433"/>
    <s v="Barbara Brown"/>
    <x v="0"/>
    <n v="53"/>
    <x v="3"/>
    <x v="3"/>
    <x v="9"/>
    <x v="13"/>
    <x v="1"/>
    <n v="3.3"/>
    <s v="Yes"/>
    <n v="0.93"/>
  </r>
  <r>
    <s v="FL250434"/>
    <s v="Kimberly Allen"/>
    <x v="0"/>
    <n v="35"/>
    <x v="2"/>
    <x v="2"/>
    <x v="0"/>
    <x v="12"/>
    <x v="3"/>
    <n v="4.5999999999999996"/>
    <s v="No"/>
    <n v="0.97"/>
  </r>
  <r>
    <s v="FL250435"/>
    <s v="Elizabeth Edwards"/>
    <x v="0"/>
    <n v="27"/>
    <x v="8"/>
    <x v="6"/>
    <x v="9"/>
    <x v="23"/>
    <x v="4"/>
    <n v="2.8"/>
    <s v="Yes"/>
    <n v="0.92"/>
  </r>
  <r>
    <s v="FL250436"/>
    <s v="Anthony Downs"/>
    <x v="1"/>
    <n v="34"/>
    <x v="1"/>
    <x v="1"/>
    <x v="8"/>
    <x v="21"/>
    <x v="1"/>
    <n v="5"/>
    <s v="Yes"/>
    <n v="0.92"/>
  </r>
  <r>
    <s v="FL250437"/>
    <s v="Jack Ortega"/>
    <x v="1"/>
    <n v="24"/>
    <x v="10"/>
    <x v="8"/>
    <x v="7"/>
    <x v="32"/>
    <x v="4"/>
    <n v="4.7"/>
    <s v="No"/>
    <n v="0.68"/>
  </r>
  <r>
    <s v="FL250438"/>
    <s v="Marvin Moore"/>
    <x v="1"/>
    <n v="57"/>
    <x v="5"/>
    <x v="1"/>
    <x v="6"/>
    <x v="13"/>
    <x v="0"/>
    <n v="3.5"/>
    <s v="No"/>
    <n v="0.95"/>
  </r>
  <r>
    <s v="FL250439"/>
    <s v="Tony French"/>
    <x v="1"/>
    <n v="28"/>
    <x v="12"/>
    <x v="10"/>
    <x v="6"/>
    <x v="23"/>
    <x v="0"/>
    <n v="4.3"/>
    <s v="No"/>
    <n v="0.76"/>
  </r>
  <r>
    <s v="FL250440"/>
    <s v="Stacy Hudson"/>
    <x v="0"/>
    <n v="26"/>
    <x v="0"/>
    <x v="0"/>
    <x v="8"/>
    <x v="23"/>
    <x v="0"/>
    <n v="3.3"/>
    <s v="Yes"/>
    <n v="0.66"/>
  </r>
  <r>
    <s v="FL250441"/>
    <s v="Scott Washington"/>
    <x v="1"/>
    <n v="34"/>
    <x v="8"/>
    <x v="6"/>
    <x v="1"/>
    <x v="9"/>
    <x v="4"/>
    <n v="2.5125695216907653"/>
    <s v="No"/>
    <n v="0.73"/>
  </r>
  <r>
    <s v="FL250442"/>
    <s v="Timothy Wright"/>
    <x v="1"/>
    <n v="43"/>
    <x v="9"/>
    <x v="7"/>
    <x v="4"/>
    <x v="14"/>
    <x v="5"/>
    <n v="2.8"/>
    <s v="No"/>
    <n v="0.99"/>
  </r>
  <r>
    <s v="FL250443"/>
    <s v="Joseph Gonzalez"/>
    <x v="1"/>
    <n v="31"/>
    <x v="18"/>
    <x v="15"/>
    <x v="2"/>
    <x v="30"/>
    <x v="2"/>
    <n v="2.7"/>
    <s v="Yes"/>
    <n v="0.94"/>
  </r>
  <r>
    <s v="FL250444"/>
    <s v="Andrea Perez"/>
    <x v="0"/>
    <n v="34"/>
    <x v="18"/>
    <x v="15"/>
    <x v="0"/>
    <x v="14"/>
    <x v="1"/>
    <n v="0"/>
    <s v="No"/>
    <n v="0.84"/>
  </r>
  <r>
    <s v="FL250445"/>
    <s v="Angel Collins"/>
    <x v="0"/>
    <n v="32"/>
    <x v="13"/>
    <x v="11"/>
    <x v="7"/>
    <x v="6"/>
    <x v="5"/>
    <n v="2.5125695216907653"/>
    <s v="Yes"/>
    <n v="0.92"/>
  </r>
  <r>
    <s v="FL250446"/>
    <s v="Daniel Terry"/>
    <x v="1"/>
    <n v="24"/>
    <x v="16"/>
    <x v="13"/>
    <x v="8"/>
    <x v="21"/>
    <x v="4"/>
    <n v="4.3"/>
    <s v="Yes"/>
    <n v="0.79269417475728277"/>
  </r>
  <r>
    <s v="FL250447"/>
    <s v="Steven Whitaker"/>
    <x v="1"/>
    <n v="35"/>
    <x v="7"/>
    <x v="1"/>
    <x v="4"/>
    <x v="17"/>
    <x v="1"/>
    <n v="2.5125695216907653"/>
    <s v="No"/>
    <n v="0.9"/>
  </r>
  <r>
    <s v="FL250448"/>
    <s v="Denise Neal"/>
    <x v="0"/>
    <n v="22"/>
    <x v="1"/>
    <x v="1"/>
    <x v="1"/>
    <x v="3"/>
    <x v="5"/>
    <n v="2.5125695216907653"/>
    <s v="No"/>
    <n v="0.73"/>
  </r>
  <r>
    <s v="FL250449"/>
    <s v="Amanda Jacobs"/>
    <x v="0"/>
    <n v="55"/>
    <x v="16"/>
    <x v="13"/>
    <x v="4"/>
    <x v="15"/>
    <x v="0"/>
    <n v="2.5125695216907653"/>
    <s v="Yes"/>
    <n v="0.73"/>
  </r>
  <r>
    <s v="FL250450"/>
    <s v="Karen Mercer"/>
    <x v="0"/>
    <n v="54"/>
    <x v="8"/>
    <x v="6"/>
    <x v="9"/>
    <x v="14"/>
    <x v="3"/>
    <n v="2.9"/>
    <s v="Yes"/>
    <n v="0.78"/>
  </r>
  <r>
    <s v="FL250451"/>
    <s v="Lindsay Hudson"/>
    <x v="0"/>
    <n v="36"/>
    <x v="3"/>
    <x v="3"/>
    <x v="7"/>
    <x v="0"/>
    <x v="3"/>
    <n v="0"/>
    <s v="Yes"/>
    <n v="0.63"/>
  </r>
  <r>
    <s v="FL250452"/>
    <s v="Stephanie Armstrong"/>
    <x v="0"/>
    <n v="36"/>
    <x v="3"/>
    <x v="3"/>
    <x v="4"/>
    <x v="8"/>
    <x v="1"/>
    <n v="1.3"/>
    <s v="No"/>
    <n v="0.64"/>
  </r>
  <r>
    <s v="FL250453"/>
    <s v=" Jessica Campbell"/>
    <x v="0"/>
    <n v="25"/>
    <x v="8"/>
    <x v="6"/>
    <x v="3"/>
    <x v="24"/>
    <x v="4"/>
    <n v="0"/>
    <s v="Yes"/>
    <n v="0.79269417475728277"/>
  </r>
  <r>
    <s v="FL250454"/>
    <s v="Curtis Maxwell"/>
    <x v="1"/>
    <n v="46"/>
    <x v="4"/>
    <x v="4"/>
    <x v="4"/>
    <x v="26"/>
    <x v="5"/>
    <n v="4.8"/>
    <s v="Yes"/>
    <n v="0.86"/>
  </r>
  <r>
    <s v="FL250455"/>
    <s v="Adam Kelly "/>
    <x v="1"/>
    <n v="41"/>
    <x v="8"/>
    <x v="6"/>
    <x v="9"/>
    <x v="0"/>
    <x v="2"/>
    <n v="2.4"/>
    <s v="No"/>
    <n v="0.79269417475728277"/>
  </r>
  <r>
    <s v="FL250456"/>
    <s v="Julie Becker"/>
    <x v="0"/>
    <n v="21"/>
    <x v="13"/>
    <x v="11"/>
    <x v="1"/>
    <x v="15"/>
    <x v="0"/>
    <n v="4.7"/>
    <s v="No"/>
    <n v="0.96"/>
  </r>
  <r>
    <s v="FL250457"/>
    <s v="James Moore"/>
    <x v="1"/>
    <n v="29"/>
    <x v="5"/>
    <x v="1"/>
    <x v="2"/>
    <x v="14"/>
    <x v="4"/>
    <n v="2"/>
    <s v="No"/>
    <n v="0.79269417475728277"/>
  </r>
  <r>
    <s v="FL250458"/>
    <s v="Danielle Barrera"/>
    <x v="0"/>
    <n v="44"/>
    <x v="5"/>
    <x v="1"/>
    <x v="1"/>
    <x v="15"/>
    <x v="1"/>
    <n v="2.2000000000000002"/>
    <s v="No"/>
    <n v="0.77"/>
  </r>
  <r>
    <s v="FL250459"/>
    <s v="David Sanchez"/>
    <x v="1"/>
    <n v="40"/>
    <x v="14"/>
    <x v="1"/>
    <x v="9"/>
    <x v="24"/>
    <x v="0"/>
    <n v="2.1"/>
    <s v="Yes"/>
    <n v="0.79269417475728277"/>
  </r>
  <r>
    <s v="FL250460"/>
    <s v="Tiffany Bowman"/>
    <x v="0"/>
    <n v="27"/>
    <x v="16"/>
    <x v="13"/>
    <x v="5"/>
    <x v="24"/>
    <x v="3"/>
    <n v="1.7"/>
    <s v="No"/>
    <n v="0.65"/>
  </r>
  <r>
    <s v="FL250461"/>
    <s v="Jesus Quinn"/>
    <x v="1"/>
    <n v="53"/>
    <x v="15"/>
    <x v="12"/>
    <x v="1"/>
    <x v="27"/>
    <x v="2"/>
    <n v="5"/>
    <s v="Yes"/>
    <n v="0.62"/>
  </r>
  <r>
    <s v="FL250462"/>
    <s v=" Danny Morris "/>
    <x v="1"/>
    <n v="20"/>
    <x v="6"/>
    <x v="5"/>
    <x v="5"/>
    <x v="24"/>
    <x v="1"/>
    <n v="2.9"/>
    <s v="No"/>
    <n v="0.81"/>
  </r>
  <r>
    <s v="FL250463"/>
    <s v="Nicole York"/>
    <x v="0"/>
    <n v="41"/>
    <x v="9"/>
    <x v="7"/>
    <x v="8"/>
    <x v="28"/>
    <x v="1"/>
    <n v="4.0999999999999996"/>
    <s v="Yes"/>
    <n v="0.62"/>
  </r>
  <r>
    <s v="FL250464"/>
    <s v="John Mathis"/>
    <x v="1"/>
    <n v="26"/>
    <x v="19"/>
    <x v="6"/>
    <x v="3"/>
    <x v="17"/>
    <x v="2"/>
    <n v="4.9000000000000004"/>
    <s v="No"/>
    <n v="0.87"/>
  </r>
  <r>
    <s v="FL250465"/>
    <s v="Julie Barnett"/>
    <x v="0"/>
    <n v="49"/>
    <x v="11"/>
    <x v="9"/>
    <x v="9"/>
    <x v="13"/>
    <x v="0"/>
    <n v="2.5"/>
    <s v="No"/>
    <n v="0.79269417475728277"/>
  </r>
  <r>
    <s v="FL250466"/>
    <s v="Jasmine Harris"/>
    <x v="0"/>
    <n v="20"/>
    <x v="16"/>
    <x v="13"/>
    <x v="5"/>
    <x v="12"/>
    <x v="3"/>
    <n v="0"/>
    <s v="Yes"/>
    <n v="0.76"/>
  </r>
  <r>
    <s v="FL250467"/>
    <s v="Mary Henry"/>
    <x v="0"/>
    <n v="39"/>
    <x v="18"/>
    <x v="15"/>
    <x v="0"/>
    <x v="0"/>
    <x v="0"/>
    <n v="2.8"/>
    <s v="No"/>
    <n v="0.7"/>
  </r>
  <r>
    <s v="FL250468"/>
    <s v="Judith Riggs"/>
    <x v="0"/>
    <n v="41"/>
    <x v="18"/>
    <x v="15"/>
    <x v="9"/>
    <x v="18"/>
    <x v="0"/>
    <n v="3.8"/>
    <s v="Yes"/>
    <n v="0.71"/>
  </r>
  <r>
    <s v="FL250469"/>
    <s v="Justin Ruiz"/>
    <x v="1"/>
    <n v="59"/>
    <x v="14"/>
    <x v="1"/>
    <x v="1"/>
    <x v="31"/>
    <x v="3"/>
    <n v="4.3"/>
    <s v="Yes"/>
    <n v="0.83"/>
  </r>
  <r>
    <s v="FL250470"/>
    <s v="Jennifer Sullivan"/>
    <x v="0"/>
    <n v="45"/>
    <x v="1"/>
    <x v="1"/>
    <x v="0"/>
    <x v="17"/>
    <x v="2"/>
    <n v="0"/>
    <s v="No"/>
    <n v="0.78"/>
  </r>
  <r>
    <s v="FL250471"/>
    <s v="Jesse Moran"/>
    <x v="1"/>
    <n v="22"/>
    <x v="4"/>
    <x v="4"/>
    <x v="7"/>
    <x v="12"/>
    <x v="2"/>
    <n v="1.3"/>
    <s v="Yes"/>
    <n v="0.78"/>
  </r>
  <r>
    <s v="FL250472"/>
    <s v="Monica Smith"/>
    <x v="0"/>
    <n v="48"/>
    <x v="10"/>
    <x v="8"/>
    <x v="1"/>
    <x v="23"/>
    <x v="1"/>
    <n v="4.7"/>
    <s v="Yes"/>
    <n v="0.6"/>
  </r>
  <r>
    <s v="FL250473"/>
    <s v="Ian May"/>
    <x v="1"/>
    <n v="36"/>
    <x v="15"/>
    <x v="12"/>
    <x v="0"/>
    <x v="0"/>
    <x v="2"/>
    <n v="1.3"/>
    <s v="Yes"/>
    <n v="0.79269417475728277"/>
  </r>
  <r>
    <s v="FL250474"/>
    <s v="Kayla Meyers"/>
    <x v="0"/>
    <n v="57"/>
    <x v="18"/>
    <x v="15"/>
    <x v="0"/>
    <x v="14"/>
    <x v="4"/>
    <n v="4.8"/>
    <s v="Yes"/>
    <n v="0.79269417475728277"/>
  </r>
  <r>
    <s v="FL250475"/>
    <s v="John Bray"/>
    <x v="1"/>
    <n v="42"/>
    <x v="5"/>
    <x v="1"/>
    <x v="6"/>
    <x v="5"/>
    <x v="3"/>
    <n v="1.3"/>
    <s v="No"/>
    <n v="0.94"/>
  </r>
  <r>
    <s v="FL250476"/>
    <s v="James Smith"/>
    <x v="1"/>
    <n v="31"/>
    <x v="4"/>
    <x v="4"/>
    <x v="7"/>
    <x v="0"/>
    <x v="1"/>
    <n v="4.3"/>
    <s v="No"/>
    <n v="0.62"/>
  </r>
  <r>
    <s v="FL250477"/>
    <s v="Mark Duncan"/>
    <x v="1"/>
    <n v="52"/>
    <x v="20"/>
    <x v="6"/>
    <x v="7"/>
    <x v="2"/>
    <x v="3"/>
    <n v="2.5125695216907653"/>
    <s v="Yes"/>
    <n v="0.79269417475728277"/>
  </r>
  <r>
    <s v="FL250478"/>
    <s v="Matthew Gay"/>
    <x v="1"/>
    <n v="56"/>
    <x v="3"/>
    <x v="3"/>
    <x v="8"/>
    <x v="26"/>
    <x v="3"/>
    <n v="0"/>
    <s v="Yes"/>
    <n v="0.79269417475728277"/>
  </r>
  <r>
    <s v="FL250479"/>
    <s v="Cheryl Freeman"/>
    <x v="0"/>
    <n v="24"/>
    <x v="3"/>
    <x v="3"/>
    <x v="8"/>
    <x v="21"/>
    <x v="3"/>
    <n v="0"/>
    <s v="Yes"/>
    <n v="0.84"/>
  </r>
  <r>
    <s v="FL250480"/>
    <s v="Patrick Welch"/>
    <x v="1"/>
    <n v="48"/>
    <x v="14"/>
    <x v="1"/>
    <x v="8"/>
    <x v="16"/>
    <x v="4"/>
    <n v="2.7"/>
    <s v="Yes"/>
    <n v="0.79269417475728277"/>
  </r>
  <r>
    <s v="FL250481"/>
    <s v="Craig Levine"/>
    <x v="1"/>
    <n v="59"/>
    <x v="15"/>
    <x v="12"/>
    <x v="7"/>
    <x v="13"/>
    <x v="2"/>
    <n v="2.4"/>
    <s v="No"/>
    <n v="0.65"/>
  </r>
  <r>
    <s v="FL250482"/>
    <s v="Richard Harvey"/>
    <x v="1"/>
    <n v="41"/>
    <x v="7"/>
    <x v="1"/>
    <x v="3"/>
    <x v="14"/>
    <x v="2"/>
    <n v="1.9"/>
    <s v="Yes"/>
    <n v="0.94"/>
  </r>
  <r>
    <s v="FL250483"/>
    <s v="Bonnie Sherman"/>
    <x v="0"/>
    <n v="41"/>
    <x v="3"/>
    <x v="3"/>
    <x v="1"/>
    <x v="0"/>
    <x v="5"/>
    <n v="3.6"/>
    <s v="No"/>
    <n v="0.69"/>
  </r>
  <r>
    <s v="FL250484"/>
    <s v="Keith Trujillo"/>
    <x v="1"/>
    <n v="25"/>
    <x v="3"/>
    <x v="3"/>
    <x v="1"/>
    <x v="12"/>
    <x v="1"/>
    <n v="2.9"/>
    <s v="Yes"/>
    <n v="0.65"/>
  </r>
  <r>
    <s v="FL250485"/>
    <s v="Corey Combs"/>
    <x v="1"/>
    <n v="31"/>
    <x v="16"/>
    <x v="13"/>
    <x v="1"/>
    <x v="32"/>
    <x v="4"/>
    <n v="2.8"/>
    <s v="No"/>
    <n v="0.6"/>
  </r>
  <r>
    <s v="FL250486"/>
    <s v="Antonio King"/>
    <x v="1"/>
    <n v="40"/>
    <x v="6"/>
    <x v="5"/>
    <x v="8"/>
    <x v="28"/>
    <x v="4"/>
    <n v="2.6"/>
    <s v="No"/>
    <n v="0.79269417475728277"/>
  </r>
  <r>
    <s v="FL250487"/>
    <s v="Amy Lee"/>
    <x v="0"/>
    <n v="48"/>
    <x v="13"/>
    <x v="11"/>
    <x v="0"/>
    <x v="13"/>
    <x v="0"/>
    <n v="2.7"/>
    <s v="No"/>
    <n v="0.62"/>
  </r>
  <r>
    <s v="FL250488"/>
    <s v="Jennifer Rogers"/>
    <x v="0"/>
    <n v="24"/>
    <x v="17"/>
    <x v="14"/>
    <x v="1"/>
    <x v="21"/>
    <x v="3"/>
    <n v="1.1000000000000001"/>
    <s v="Yes"/>
    <n v="0.79269417475728277"/>
  </r>
  <r>
    <s v="FL250489"/>
    <s v="Jeffrey Cooper"/>
    <x v="1"/>
    <n v="33"/>
    <x v="4"/>
    <x v="4"/>
    <x v="3"/>
    <x v="6"/>
    <x v="3"/>
    <n v="0"/>
    <s v="Yes"/>
    <n v="0.89"/>
  </r>
  <r>
    <s v="FL250490"/>
    <s v="Allison Williams"/>
    <x v="0"/>
    <n v="43"/>
    <x v="11"/>
    <x v="9"/>
    <x v="6"/>
    <x v="32"/>
    <x v="2"/>
    <n v="0"/>
    <s v="Yes"/>
    <n v="0.89"/>
  </r>
  <r>
    <s v="FL250491"/>
    <s v="Raymond Sherman"/>
    <x v="1"/>
    <n v="43"/>
    <x v="20"/>
    <x v="6"/>
    <x v="0"/>
    <x v="3"/>
    <x v="1"/>
    <n v="0"/>
    <s v="Yes"/>
    <n v="1"/>
  </r>
  <r>
    <s v="FL250492"/>
    <s v="Jennifer Nelson"/>
    <x v="0"/>
    <n v="33"/>
    <x v="1"/>
    <x v="1"/>
    <x v="3"/>
    <x v="0"/>
    <x v="2"/>
    <n v="4.5999999999999996"/>
    <s v="Yes"/>
    <n v="0.79269417475728277"/>
  </r>
  <r>
    <s v="FL250493"/>
    <s v="Jennifer Carter"/>
    <x v="0"/>
    <n v="49"/>
    <x v="13"/>
    <x v="11"/>
    <x v="6"/>
    <x v="5"/>
    <x v="2"/>
    <n v="1.5"/>
    <s v="No"/>
    <n v="0.6"/>
  </r>
  <r>
    <s v="FL250494"/>
    <s v="Todd Williams"/>
    <x v="1"/>
    <n v="55"/>
    <x v="14"/>
    <x v="1"/>
    <x v="6"/>
    <x v="6"/>
    <x v="2"/>
    <n v="2"/>
    <s v="No"/>
    <n v="0.85"/>
  </r>
  <r>
    <s v="FL250495"/>
    <s v="Emily Horton"/>
    <x v="0"/>
    <n v="33"/>
    <x v="12"/>
    <x v="10"/>
    <x v="2"/>
    <x v="15"/>
    <x v="2"/>
    <n v="1.6"/>
    <s v="No"/>
    <n v="0.83"/>
  </r>
  <r>
    <s v="FL250496"/>
    <s v="Lance Lester"/>
    <x v="1"/>
    <n v="32"/>
    <x v="8"/>
    <x v="6"/>
    <x v="4"/>
    <x v="15"/>
    <x v="3"/>
    <n v="1.5"/>
    <s v="No"/>
    <n v="0.96"/>
  </r>
  <r>
    <s v="FL250497"/>
    <s v="Kevin Flores"/>
    <x v="1"/>
    <n v="58"/>
    <x v="3"/>
    <x v="3"/>
    <x v="0"/>
    <x v="25"/>
    <x v="2"/>
    <n v="4.0999999999999996"/>
    <s v="Yes"/>
    <n v="0.83"/>
  </r>
  <r>
    <s v="FL250498"/>
    <s v="Aaron Stewart "/>
    <x v="1"/>
    <n v="49"/>
    <x v="4"/>
    <x v="4"/>
    <x v="5"/>
    <x v="38"/>
    <x v="0"/>
    <n v="4.7"/>
    <s v="No"/>
    <n v="0.6"/>
  </r>
  <r>
    <s v="FL250499"/>
    <s v="Robin Moore"/>
    <x v="0"/>
    <n v="22"/>
    <x v="13"/>
    <x v="11"/>
    <x v="6"/>
    <x v="15"/>
    <x v="0"/>
    <n v="3.6"/>
    <s v="Yes"/>
    <n v="0.78"/>
  </r>
  <r>
    <s v="FL250500"/>
    <s v="Suzanne Ingram"/>
    <x v="0"/>
    <n v="40"/>
    <x v="16"/>
    <x v="13"/>
    <x v="3"/>
    <x v="0"/>
    <x v="5"/>
    <n v="1.8"/>
    <s v="Yes"/>
    <n v="0.9"/>
  </r>
  <r>
    <s v="FL250501"/>
    <s v="Jacob Mclaughlin"/>
    <x v="1"/>
    <n v="55"/>
    <x v="1"/>
    <x v="1"/>
    <x v="5"/>
    <x v="23"/>
    <x v="0"/>
    <n v="2.1"/>
    <s v="No"/>
    <n v="0.66"/>
  </r>
  <r>
    <s v="FL250502"/>
    <s v="Michael Nunez"/>
    <x v="1"/>
    <n v="32"/>
    <x v="19"/>
    <x v="6"/>
    <x v="8"/>
    <x v="24"/>
    <x v="1"/>
    <n v="2.5125695216907653"/>
    <s v="Yes"/>
    <n v="0.7"/>
  </r>
  <r>
    <s v="FL250503"/>
    <s v="Isabel Brown"/>
    <x v="0"/>
    <n v="21"/>
    <x v="9"/>
    <x v="7"/>
    <x v="6"/>
    <x v="12"/>
    <x v="3"/>
    <n v="4.2"/>
    <s v="Yes"/>
    <n v="0.79"/>
  </r>
  <r>
    <s v="FL250504"/>
    <s v="Michael Stein"/>
    <x v="1"/>
    <n v="23"/>
    <x v="12"/>
    <x v="10"/>
    <x v="0"/>
    <x v="24"/>
    <x v="2"/>
    <n v="0"/>
    <s v="No"/>
    <n v="0.64"/>
  </r>
  <r>
    <s v="FL250505"/>
    <s v="Robert Stone"/>
    <x v="1"/>
    <n v="21"/>
    <x v="7"/>
    <x v="1"/>
    <x v="1"/>
    <x v="24"/>
    <x v="3"/>
    <n v="1"/>
    <s v="No"/>
    <n v="0.81"/>
  </r>
  <r>
    <s v="FL250506"/>
    <s v="Dillon Henry"/>
    <x v="1"/>
    <n v="31"/>
    <x v="8"/>
    <x v="6"/>
    <x v="4"/>
    <x v="23"/>
    <x v="4"/>
    <n v="4.4000000000000004"/>
    <s v="No"/>
    <n v="0.83"/>
  </r>
  <r>
    <s v="FL250507"/>
    <s v="James Todd"/>
    <x v="1"/>
    <n v="21"/>
    <x v="19"/>
    <x v="6"/>
    <x v="0"/>
    <x v="14"/>
    <x v="2"/>
    <n v="4"/>
    <s v="No"/>
    <n v="0.91"/>
  </r>
  <r>
    <s v="FL250508"/>
    <s v="Clifford Moore "/>
    <x v="1"/>
    <n v="33"/>
    <x v="7"/>
    <x v="1"/>
    <x v="7"/>
    <x v="21"/>
    <x v="1"/>
    <n v="3.1"/>
    <s v="No"/>
    <n v="0.79269417475728277"/>
  </r>
  <r>
    <s v="FL250509"/>
    <s v="John Rios"/>
    <x v="1"/>
    <n v="57"/>
    <x v="11"/>
    <x v="9"/>
    <x v="3"/>
    <x v="30"/>
    <x v="4"/>
    <n v="1.1000000000000001"/>
    <s v="Yes"/>
    <n v="0.77"/>
  </r>
  <r>
    <s v="FL250510"/>
    <s v="Anthony Gaines"/>
    <x v="1"/>
    <n v="52"/>
    <x v="5"/>
    <x v="1"/>
    <x v="8"/>
    <x v="8"/>
    <x v="4"/>
    <n v="0"/>
    <s v="No"/>
    <n v="0.94"/>
  </r>
  <r>
    <s v="FL250511"/>
    <s v="Kristi Brown "/>
    <x v="0"/>
    <n v="21"/>
    <x v="2"/>
    <x v="2"/>
    <x v="3"/>
    <x v="12"/>
    <x v="5"/>
    <n v="3.8"/>
    <s v="Yes"/>
    <n v="0.61"/>
  </r>
  <r>
    <s v="FL250512"/>
    <s v="Ashley Odonnell"/>
    <x v="0"/>
    <n v="36"/>
    <x v="8"/>
    <x v="6"/>
    <x v="6"/>
    <x v="17"/>
    <x v="0"/>
    <n v="1.7"/>
    <s v="No"/>
    <n v="0.68"/>
  </r>
  <r>
    <s v="FL250513"/>
    <s v="Ronald Elliott"/>
    <x v="1"/>
    <n v="33"/>
    <x v="20"/>
    <x v="6"/>
    <x v="9"/>
    <x v="13"/>
    <x v="1"/>
    <n v="2.2000000000000002"/>
    <s v="No"/>
    <n v="0.7"/>
  </r>
  <r>
    <s v="FL250514"/>
    <s v="Lorraine Lowery"/>
    <x v="0"/>
    <n v="54"/>
    <x v="7"/>
    <x v="1"/>
    <x v="5"/>
    <x v="9"/>
    <x v="2"/>
    <n v="4.0999999999999996"/>
    <s v="Yes"/>
    <n v="0.71"/>
  </r>
  <r>
    <s v="FL250515"/>
    <s v="Victoria Chapman"/>
    <x v="0"/>
    <n v="33"/>
    <x v="5"/>
    <x v="1"/>
    <x v="0"/>
    <x v="32"/>
    <x v="0"/>
    <n v="3.8"/>
    <s v="No"/>
    <n v="0.79269417475728277"/>
  </r>
  <r>
    <s v="FL250516"/>
    <s v="Heather Davis"/>
    <x v="0"/>
    <n v="36"/>
    <x v="9"/>
    <x v="7"/>
    <x v="9"/>
    <x v="14"/>
    <x v="3"/>
    <n v="0"/>
    <s v="Yes"/>
    <n v="0.78"/>
  </r>
  <r>
    <s v="FL250517"/>
    <s v="Diana Chase"/>
    <x v="0"/>
    <n v="36"/>
    <x v="6"/>
    <x v="5"/>
    <x v="4"/>
    <x v="15"/>
    <x v="1"/>
    <n v="0"/>
    <s v="No"/>
    <n v="0.75"/>
  </r>
  <r>
    <s v="FL250518"/>
    <s v="Danielle Adkins"/>
    <x v="0"/>
    <n v="43"/>
    <x v="18"/>
    <x v="15"/>
    <x v="4"/>
    <x v="9"/>
    <x v="5"/>
    <n v="4.2"/>
    <s v="Yes"/>
    <n v="0.91"/>
  </r>
  <r>
    <s v="FL250519"/>
    <s v="Kenneth Arias"/>
    <x v="1"/>
    <n v="52"/>
    <x v="7"/>
    <x v="1"/>
    <x v="5"/>
    <x v="16"/>
    <x v="4"/>
    <n v="2.2000000000000002"/>
    <s v="Yes"/>
    <n v="0.66"/>
  </r>
  <r>
    <s v="FL250520"/>
    <s v="Victoria Owen"/>
    <x v="0"/>
    <n v="28"/>
    <x v="4"/>
    <x v="4"/>
    <x v="7"/>
    <x v="32"/>
    <x v="4"/>
    <n v="1.5"/>
    <s v="Yes"/>
    <n v="0.68"/>
  </r>
  <r>
    <s v="FL250521"/>
    <s v="Christina King"/>
    <x v="0"/>
    <n v="47"/>
    <x v="18"/>
    <x v="15"/>
    <x v="7"/>
    <x v="16"/>
    <x v="0"/>
    <n v="0"/>
    <s v="No"/>
    <n v="0.79269417475728277"/>
  </r>
  <r>
    <s v="FL250522"/>
    <s v="Samantha King"/>
    <x v="0"/>
    <n v="30"/>
    <x v="15"/>
    <x v="12"/>
    <x v="8"/>
    <x v="12"/>
    <x v="0"/>
    <n v="4.0999999999999996"/>
    <s v="No"/>
    <n v="0.62"/>
  </r>
  <r>
    <s v="FL250523"/>
    <s v="Scott Compton"/>
    <x v="1"/>
    <n v="36"/>
    <x v="16"/>
    <x v="13"/>
    <x v="0"/>
    <x v="3"/>
    <x v="2"/>
    <n v="2.6"/>
    <s v="No"/>
    <n v="0.9"/>
  </r>
  <r>
    <s v="FL250524"/>
    <s v="Monica West"/>
    <x v="0"/>
    <n v="45"/>
    <x v="5"/>
    <x v="1"/>
    <x v="6"/>
    <x v="22"/>
    <x v="0"/>
    <n v="2.4"/>
    <s v="No"/>
    <n v="0.96"/>
  </r>
  <r>
    <s v="FL250525"/>
    <s v="Theresa Stewart"/>
    <x v="0"/>
    <n v="51"/>
    <x v="5"/>
    <x v="1"/>
    <x v="0"/>
    <x v="33"/>
    <x v="1"/>
    <n v="1.4"/>
    <s v="Yes"/>
    <n v="0.6"/>
  </r>
  <r>
    <s v="FL250526"/>
    <s v="Steven Kim"/>
    <x v="1"/>
    <n v="46"/>
    <x v="6"/>
    <x v="5"/>
    <x v="1"/>
    <x v="6"/>
    <x v="2"/>
    <n v="4.5999999999999996"/>
    <s v="Yes"/>
    <n v="0.62"/>
  </r>
  <r>
    <s v="FL250527"/>
    <s v="Kristi Knight"/>
    <x v="0"/>
    <n v="38"/>
    <x v="0"/>
    <x v="0"/>
    <x v="5"/>
    <x v="10"/>
    <x v="2"/>
    <n v="4.9000000000000004"/>
    <s v="No"/>
    <n v="0.74"/>
  </r>
  <r>
    <s v="FL250528"/>
    <s v="Jason Bryant"/>
    <x v="1"/>
    <n v="26"/>
    <x v="20"/>
    <x v="6"/>
    <x v="0"/>
    <x v="24"/>
    <x v="5"/>
    <n v="0"/>
    <s v="Yes"/>
    <n v="0.79269417475728277"/>
  </r>
  <r>
    <s v="FL250529"/>
    <s v="Maureen Keith"/>
    <x v="0"/>
    <n v="40"/>
    <x v="7"/>
    <x v="1"/>
    <x v="8"/>
    <x v="28"/>
    <x v="3"/>
    <n v="3.5"/>
    <s v="No"/>
    <n v="0.98"/>
  </r>
  <r>
    <s v="FL250530"/>
    <s v="Shawn Hogan"/>
    <x v="1"/>
    <n v="37"/>
    <x v="2"/>
    <x v="2"/>
    <x v="9"/>
    <x v="14"/>
    <x v="2"/>
    <n v="1.7"/>
    <s v="Yes"/>
    <n v="0.63"/>
  </r>
  <r>
    <s v="FL250531"/>
    <s v="William Davis"/>
    <x v="1"/>
    <n v="28"/>
    <x v="14"/>
    <x v="1"/>
    <x v="0"/>
    <x v="30"/>
    <x v="1"/>
    <n v="0"/>
    <s v="Yes"/>
    <n v="0.96"/>
  </r>
  <r>
    <s v="FL250532"/>
    <s v="Stacy Bailey"/>
    <x v="0"/>
    <n v="48"/>
    <x v="10"/>
    <x v="8"/>
    <x v="1"/>
    <x v="20"/>
    <x v="5"/>
    <n v="0"/>
    <s v="No"/>
    <n v="0.88"/>
  </r>
  <r>
    <s v="FL250533"/>
    <s v="Thomas Dixon"/>
    <x v="1"/>
    <n v="22"/>
    <x v="10"/>
    <x v="8"/>
    <x v="4"/>
    <x v="12"/>
    <x v="2"/>
    <n v="4.5999999999999996"/>
    <s v="No"/>
    <n v="0.79269417475728277"/>
  </r>
  <r>
    <s v="FL250534"/>
    <s v="Maria Hall"/>
    <x v="0"/>
    <n v="41"/>
    <x v="2"/>
    <x v="2"/>
    <x v="3"/>
    <x v="5"/>
    <x v="2"/>
    <n v="1.1000000000000001"/>
    <s v="Yes"/>
    <n v="0.73"/>
  </r>
  <r>
    <s v="FL250535"/>
    <s v="Tony Lee"/>
    <x v="1"/>
    <n v="38"/>
    <x v="5"/>
    <x v="1"/>
    <x v="2"/>
    <x v="9"/>
    <x v="2"/>
    <n v="4.2"/>
    <s v="No"/>
    <n v="0.88"/>
  </r>
  <r>
    <s v="FL250536"/>
    <s v="Catherine Mccoy "/>
    <x v="0"/>
    <n v="31"/>
    <x v="17"/>
    <x v="14"/>
    <x v="6"/>
    <x v="14"/>
    <x v="2"/>
    <n v="0"/>
    <s v="No"/>
    <n v="0.91"/>
  </r>
  <r>
    <s v="FL250537"/>
    <s v="Maria Benitez"/>
    <x v="0"/>
    <n v="30"/>
    <x v="18"/>
    <x v="15"/>
    <x v="1"/>
    <x v="14"/>
    <x v="3"/>
    <n v="3.9"/>
    <s v="No"/>
    <n v="0.65"/>
  </r>
  <r>
    <s v="FL250538"/>
    <s v="Joshua Chambers"/>
    <x v="1"/>
    <n v="51"/>
    <x v="19"/>
    <x v="6"/>
    <x v="6"/>
    <x v="7"/>
    <x v="5"/>
    <n v="3.4"/>
    <s v="Yes"/>
    <n v="0.9"/>
  </r>
  <r>
    <s v="FL250539"/>
    <s v="Janice Daniels"/>
    <x v="0"/>
    <n v="21"/>
    <x v="2"/>
    <x v="2"/>
    <x v="8"/>
    <x v="12"/>
    <x v="5"/>
    <n v="2.6"/>
    <s v="No"/>
    <n v="0.72"/>
  </r>
  <r>
    <s v="FL250540"/>
    <s v="Carla Wood"/>
    <x v="0"/>
    <n v="20"/>
    <x v="0"/>
    <x v="0"/>
    <x v="8"/>
    <x v="24"/>
    <x v="2"/>
    <n v="2.2999999999999998"/>
    <s v="Yes"/>
    <n v="0.72"/>
  </r>
  <r>
    <s v="FL250541"/>
    <s v="Kenneth Vasquez"/>
    <x v="1"/>
    <n v="30"/>
    <x v="9"/>
    <x v="7"/>
    <x v="0"/>
    <x v="30"/>
    <x v="3"/>
    <n v="4.8"/>
    <s v="No"/>
    <n v="0.79269417475728277"/>
  </r>
  <r>
    <s v="FL250542"/>
    <s v="Kevin Smith"/>
    <x v="1"/>
    <n v="41"/>
    <x v="18"/>
    <x v="15"/>
    <x v="5"/>
    <x v="12"/>
    <x v="2"/>
    <n v="4.5"/>
    <s v="No"/>
    <n v="0.68"/>
  </r>
  <r>
    <s v="FL250543"/>
    <s v="Thomas Kim"/>
    <x v="1"/>
    <n v="22"/>
    <x v="20"/>
    <x v="6"/>
    <x v="0"/>
    <x v="12"/>
    <x v="3"/>
    <n v="0"/>
    <s v="No"/>
    <n v="0.87"/>
  </r>
  <r>
    <s v="FL250544"/>
    <s v="Sean Park"/>
    <x v="1"/>
    <n v="45"/>
    <x v="19"/>
    <x v="6"/>
    <x v="7"/>
    <x v="18"/>
    <x v="4"/>
    <n v="0"/>
    <s v="No"/>
    <n v="0.72"/>
  </r>
  <r>
    <s v="FL250545"/>
    <s v="Judith Poole"/>
    <x v="0"/>
    <n v="22"/>
    <x v="1"/>
    <x v="1"/>
    <x v="5"/>
    <x v="32"/>
    <x v="2"/>
    <n v="1.1000000000000001"/>
    <s v="No"/>
    <n v="0.76"/>
  </r>
  <r>
    <s v="FL250546"/>
    <s v="Melanie Baird"/>
    <x v="0"/>
    <n v="20"/>
    <x v="6"/>
    <x v="5"/>
    <x v="1"/>
    <x v="12"/>
    <x v="0"/>
    <n v="0"/>
    <s v="No"/>
    <n v="0.63"/>
  </r>
  <r>
    <s v="FL250547"/>
    <s v="Erika Mitchell"/>
    <x v="0"/>
    <n v="20"/>
    <x v="14"/>
    <x v="1"/>
    <x v="5"/>
    <x v="32"/>
    <x v="2"/>
    <n v="2.5125695216907653"/>
    <s v="Yes"/>
    <n v="0.91"/>
  </r>
  <r>
    <s v="FL250548"/>
    <s v="Ricky Martinez"/>
    <x v="1"/>
    <n v="21"/>
    <x v="7"/>
    <x v="1"/>
    <x v="4"/>
    <x v="12"/>
    <x v="0"/>
    <n v="2.5125695216907653"/>
    <s v="No"/>
    <n v="0.73"/>
  </r>
  <r>
    <s v="FL250549"/>
    <s v="John Christian"/>
    <x v="1"/>
    <n v="22"/>
    <x v="3"/>
    <x v="3"/>
    <x v="7"/>
    <x v="24"/>
    <x v="2"/>
    <n v="0"/>
    <s v="No"/>
    <n v="0.63"/>
  </r>
  <r>
    <s v="FL250550"/>
    <s v="Nancy Smith"/>
    <x v="0"/>
    <n v="28"/>
    <x v="7"/>
    <x v="1"/>
    <x v="8"/>
    <x v="15"/>
    <x v="5"/>
    <n v="2.5125695216907653"/>
    <s v="Yes"/>
    <n v="0.79"/>
  </r>
  <r>
    <s v="FL250551"/>
    <s v="Cassandra Stephens"/>
    <x v="0"/>
    <n v="59"/>
    <x v="8"/>
    <x v="6"/>
    <x v="4"/>
    <x v="14"/>
    <x v="5"/>
    <n v="4.0999999999999996"/>
    <s v="No"/>
    <n v="0.75"/>
  </r>
  <r>
    <s v="FL250552"/>
    <s v="Miss Janet Donovan "/>
    <x v="0"/>
    <n v="28"/>
    <x v="15"/>
    <x v="12"/>
    <x v="3"/>
    <x v="24"/>
    <x v="2"/>
    <n v="0"/>
    <s v="No"/>
    <n v="0.7"/>
  </r>
  <r>
    <s v="FL250553"/>
    <s v="Kristina Williams"/>
    <x v="0"/>
    <n v="40"/>
    <x v="1"/>
    <x v="1"/>
    <x v="8"/>
    <x v="12"/>
    <x v="0"/>
    <n v="1.2"/>
    <s v="No"/>
    <n v="0.87"/>
  </r>
  <r>
    <s v="FL250554"/>
    <s v="Wayne Barnes"/>
    <x v="1"/>
    <n v="57"/>
    <x v="0"/>
    <x v="0"/>
    <x v="0"/>
    <x v="23"/>
    <x v="3"/>
    <n v="1.6"/>
    <s v="No"/>
    <n v="0.79269417475728277"/>
  </r>
  <r>
    <s v="FL250555"/>
    <s v="James Hinton"/>
    <x v="1"/>
    <n v="47"/>
    <x v="6"/>
    <x v="5"/>
    <x v="8"/>
    <x v="24"/>
    <x v="1"/>
    <n v="3.9"/>
    <s v="Yes"/>
    <n v="0.88"/>
  </r>
  <r>
    <s v="FL250556"/>
    <s v="David Spence"/>
    <x v="1"/>
    <n v="48"/>
    <x v="12"/>
    <x v="10"/>
    <x v="7"/>
    <x v="16"/>
    <x v="2"/>
    <n v="0"/>
    <s v="Yes"/>
    <n v="0.79269417475728277"/>
  </r>
  <r>
    <s v="FL250557"/>
    <s v="Tyler Cooper"/>
    <x v="1"/>
    <n v="28"/>
    <x v="5"/>
    <x v="1"/>
    <x v="6"/>
    <x v="24"/>
    <x v="5"/>
    <n v="4.7"/>
    <s v="No"/>
    <n v="0.93"/>
  </r>
  <r>
    <s v="FL250558"/>
    <s v="Sean Martinez"/>
    <x v="1"/>
    <n v="41"/>
    <x v="6"/>
    <x v="5"/>
    <x v="2"/>
    <x v="9"/>
    <x v="2"/>
    <n v="3.8"/>
    <s v="Yes"/>
    <n v="0.79269417475728277"/>
  </r>
  <r>
    <s v="FL250559"/>
    <s v="Janet Barron"/>
    <x v="0"/>
    <n v="57"/>
    <x v="17"/>
    <x v="14"/>
    <x v="7"/>
    <x v="25"/>
    <x v="0"/>
    <n v="3.5"/>
    <s v="No"/>
    <n v="0.74"/>
  </r>
  <r>
    <s v="FL250560"/>
    <s v="Rodney Wilson"/>
    <x v="1"/>
    <n v="60"/>
    <x v="8"/>
    <x v="6"/>
    <x v="2"/>
    <x v="34"/>
    <x v="4"/>
    <n v="4"/>
    <s v="No"/>
    <n v="0.7"/>
  </r>
  <r>
    <s v="FL250561"/>
    <s v="Kimberly Fitzgerald"/>
    <x v="0"/>
    <n v="48"/>
    <x v="16"/>
    <x v="13"/>
    <x v="2"/>
    <x v="16"/>
    <x v="3"/>
    <n v="1.6"/>
    <s v="Yes"/>
    <n v="0.67"/>
  </r>
  <r>
    <s v="FL250562"/>
    <s v="Nicole Davis"/>
    <x v="0"/>
    <n v="24"/>
    <x v="15"/>
    <x v="12"/>
    <x v="7"/>
    <x v="30"/>
    <x v="2"/>
    <n v="3"/>
    <s v="No"/>
    <n v="0.86"/>
  </r>
  <r>
    <s v="FL250563"/>
    <s v="Elizabeth Hayes"/>
    <x v="0"/>
    <n v="33"/>
    <x v="19"/>
    <x v="6"/>
    <x v="8"/>
    <x v="0"/>
    <x v="1"/>
    <n v="5"/>
    <s v="Yes"/>
    <n v="0.69"/>
  </r>
  <r>
    <s v="FL250564"/>
    <s v="Kathy Faulkner"/>
    <x v="0"/>
    <n v="20"/>
    <x v="6"/>
    <x v="5"/>
    <x v="2"/>
    <x v="12"/>
    <x v="3"/>
    <n v="4.8"/>
    <s v="Yes"/>
    <n v="0.68"/>
  </r>
  <r>
    <s v="FL250565"/>
    <s v="John Gonzales"/>
    <x v="1"/>
    <n v="59"/>
    <x v="7"/>
    <x v="1"/>
    <x v="8"/>
    <x v="9"/>
    <x v="1"/>
    <n v="2.5125695216907653"/>
    <s v="No"/>
    <n v="0.79269417475728277"/>
  </r>
  <r>
    <s v="FL250566"/>
    <s v="Shannon Luna"/>
    <x v="0"/>
    <n v="42"/>
    <x v="18"/>
    <x v="15"/>
    <x v="8"/>
    <x v="7"/>
    <x v="2"/>
    <n v="2.9"/>
    <s v="No"/>
    <n v="0.61"/>
  </r>
  <r>
    <s v="FL250567"/>
    <s v="Stephanie Burton"/>
    <x v="0"/>
    <n v="22"/>
    <x v="6"/>
    <x v="5"/>
    <x v="6"/>
    <x v="15"/>
    <x v="2"/>
    <n v="3"/>
    <s v="Yes"/>
    <n v="0.96"/>
  </r>
  <r>
    <s v="FL250568"/>
    <s v="Kevin Gonzales"/>
    <x v="1"/>
    <n v="41"/>
    <x v="14"/>
    <x v="1"/>
    <x v="7"/>
    <x v="0"/>
    <x v="1"/>
    <n v="3.5"/>
    <s v="Yes"/>
    <n v="0.68"/>
  </r>
  <r>
    <s v="FL250569"/>
    <s v="Dawn Hardy"/>
    <x v="0"/>
    <n v="25"/>
    <x v="8"/>
    <x v="6"/>
    <x v="3"/>
    <x v="30"/>
    <x v="2"/>
    <n v="2.5125695216907653"/>
    <s v="Yes"/>
    <n v="0.75"/>
  </r>
  <r>
    <s v="FL250570"/>
    <s v="Margaret Perkins"/>
    <x v="0"/>
    <n v="38"/>
    <x v="14"/>
    <x v="1"/>
    <x v="6"/>
    <x v="15"/>
    <x v="2"/>
    <n v="4.7"/>
    <s v="No"/>
    <n v="0.69"/>
  </r>
  <r>
    <s v="FL250571"/>
    <s v="Amanda Vargas"/>
    <x v="0"/>
    <n v="43"/>
    <x v="5"/>
    <x v="1"/>
    <x v="8"/>
    <x v="24"/>
    <x v="2"/>
    <n v="2.9"/>
    <s v="No"/>
    <n v="0.78"/>
  </r>
  <r>
    <s v="FL250572"/>
    <s v="Tonya Gonzalez"/>
    <x v="0"/>
    <n v="54"/>
    <x v="19"/>
    <x v="6"/>
    <x v="4"/>
    <x v="24"/>
    <x v="4"/>
    <n v="4.4000000000000004"/>
    <s v="Yes"/>
    <n v="0.79269417475728277"/>
  </r>
  <r>
    <s v="FL250573"/>
    <s v="Elizabeth Bowman"/>
    <x v="0"/>
    <n v="31"/>
    <x v="4"/>
    <x v="4"/>
    <x v="1"/>
    <x v="32"/>
    <x v="2"/>
    <n v="2.2999999999999998"/>
    <s v="No"/>
    <n v="0.98"/>
  </r>
  <r>
    <s v="FL250574"/>
    <s v="Ariana Pittman"/>
    <x v="0"/>
    <n v="56"/>
    <x v="19"/>
    <x v="6"/>
    <x v="4"/>
    <x v="15"/>
    <x v="3"/>
    <n v="3.7"/>
    <s v="No"/>
    <n v="0.83"/>
  </r>
  <r>
    <s v="FL250575"/>
    <s v="Antonio Johnson"/>
    <x v="1"/>
    <n v="46"/>
    <x v="19"/>
    <x v="6"/>
    <x v="2"/>
    <x v="0"/>
    <x v="2"/>
    <n v="1.8"/>
    <s v="Yes"/>
    <n v="0.91"/>
  </r>
  <r>
    <s v="FL250576"/>
    <s v="Justin Lang"/>
    <x v="1"/>
    <n v="60"/>
    <x v="16"/>
    <x v="13"/>
    <x v="4"/>
    <x v="14"/>
    <x v="0"/>
    <n v="0"/>
    <s v="Yes"/>
    <n v="0.96"/>
  </r>
  <r>
    <s v="FL250577"/>
    <s v="Kelli Ramirez"/>
    <x v="0"/>
    <n v="28"/>
    <x v="12"/>
    <x v="10"/>
    <x v="2"/>
    <x v="32"/>
    <x v="1"/>
    <n v="2.5125695216907653"/>
    <s v="Yes"/>
    <n v="0.85"/>
  </r>
  <r>
    <s v="FL250578"/>
    <s v="Deborah Torres"/>
    <x v="0"/>
    <n v="43"/>
    <x v="4"/>
    <x v="4"/>
    <x v="3"/>
    <x v="11"/>
    <x v="3"/>
    <n v="2.7"/>
    <s v="No"/>
    <n v="0.72"/>
  </r>
  <r>
    <s v="FL250579"/>
    <s v="Joseph Horn"/>
    <x v="1"/>
    <n v="41"/>
    <x v="15"/>
    <x v="12"/>
    <x v="3"/>
    <x v="0"/>
    <x v="5"/>
    <n v="4.7"/>
    <s v="No"/>
    <n v="0.69"/>
  </r>
  <r>
    <s v="FL250580"/>
    <s v="Christopher Robinson"/>
    <x v="1"/>
    <n v="41"/>
    <x v="7"/>
    <x v="1"/>
    <x v="8"/>
    <x v="12"/>
    <x v="5"/>
    <n v="3.1"/>
    <s v="No"/>
    <n v="0.9"/>
  </r>
  <r>
    <s v="FL250581"/>
    <s v="Sandra Mccormick"/>
    <x v="0"/>
    <n v="40"/>
    <x v="7"/>
    <x v="1"/>
    <x v="1"/>
    <x v="11"/>
    <x v="5"/>
    <n v="2.2999999999999998"/>
    <s v="No"/>
    <n v="0.92"/>
  </r>
  <r>
    <s v="FL250582"/>
    <s v="Michael Holland"/>
    <x v="1"/>
    <n v="45"/>
    <x v="2"/>
    <x v="2"/>
    <x v="8"/>
    <x v="15"/>
    <x v="5"/>
    <n v="1.3"/>
    <s v="Yes"/>
    <n v="0.91"/>
  </r>
  <r>
    <s v="FL250583"/>
    <s v="Kenneth Stevenson"/>
    <x v="1"/>
    <n v="47"/>
    <x v="16"/>
    <x v="13"/>
    <x v="8"/>
    <x v="20"/>
    <x v="1"/>
    <n v="2.9"/>
    <s v="Yes"/>
    <n v="0.79269417475728277"/>
  </r>
  <r>
    <s v="FL250584"/>
    <s v="Timothy Bennett"/>
    <x v="1"/>
    <n v="34"/>
    <x v="10"/>
    <x v="8"/>
    <x v="5"/>
    <x v="12"/>
    <x v="2"/>
    <n v="3.3"/>
    <s v="No"/>
    <n v="0.98"/>
  </r>
  <r>
    <s v="FL250585"/>
    <s v="Gregory Randall"/>
    <x v="1"/>
    <n v="47"/>
    <x v="5"/>
    <x v="1"/>
    <x v="6"/>
    <x v="3"/>
    <x v="5"/>
    <n v="4.2"/>
    <s v="No"/>
    <n v="0.82"/>
  </r>
  <r>
    <s v="FL250586"/>
    <s v="Charles Martinez"/>
    <x v="1"/>
    <n v="32"/>
    <x v="19"/>
    <x v="6"/>
    <x v="6"/>
    <x v="14"/>
    <x v="2"/>
    <n v="1.3"/>
    <s v="Yes"/>
    <n v="0.83"/>
  </r>
  <r>
    <s v="FL250587"/>
    <s v="James Hall"/>
    <x v="1"/>
    <n v="28"/>
    <x v="7"/>
    <x v="1"/>
    <x v="1"/>
    <x v="32"/>
    <x v="0"/>
    <n v="4.4000000000000004"/>
    <s v="Yes"/>
    <n v="0.79269417475728277"/>
  </r>
  <r>
    <s v="FL250588"/>
    <s v="Michael Garcia"/>
    <x v="1"/>
    <n v="32"/>
    <x v="1"/>
    <x v="1"/>
    <x v="8"/>
    <x v="24"/>
    <x v="0"/>
    <n v="3.4"/>
    <s v="Yes"/>
    <n v="0.79269417475728277"/>
  </r>
  <r>
    <s v="FL250589"/>
    <s v="Michele Duran"/>
    <x v="0"/>
    <n v="49"/>
    <x v="3"/>
    <x v="3"/>
    <x v="4"/>
    <x v="32"/>
    <x v="0"/>
    <n v="3.4"/>
    <s v="Yes"/>
    <n v="0.85"/>
  </r>
  <r>
    <s v="FL250590"/>
    <s v="Jessica Gray"/>
    <x v="0"/>
    <n v="36"/>
    <x v="8"/>
    <x v="6"/>
    <x v="1"/>
    <x v="26"/>
    <x v="5"/>
    <n v="3.2"/>
    <s v="No"/>
    <n v="0.79269417475728277"/>
  </r>
  <r>
    <s v="FL250591"/>
    <s v="Keith Shaffer"/>
    <x v="1"/>
    <n v="59"/>
    <x v="19"/>
    <x v="6"/>
    <x v="0"/>
    <x v="7"/>
    <x v="5"/>
    <n v="3.6"/>
    <s v="No"/>
    <n v="0.63"/>
  </r>
  <r>
    <s v="FL250592"/>
    <s v="Jessica Decker"/>
    <x v="0"/>
    <n v="52"/>
    <x v="14"/>
    <x v="1"/>
    <x v="7"/>
    <x v="7"/>
    <x v="5"/>
    <n v="0"/>
    <s v="No"/>
    <n v="0.79269417475728277"/>
  </r>
  <r>
    <s v="FL250593"/>
    <s v="Brianna Pittman"/>
    <x v="0"/>
    <n v="24"/>
    <x v="18"/>
    <x v="15"/>
    <x v="0"/>
    <x v="30"/>
    <x v="2"/>
    <n v="1.8"/>
    <s v="Yes"/>
    <n v="0.86"/>
  </r>
  <r>
    <s v="FL250594"/>
    <s v="Kimberly Hunter"/>
    <x v="0"/>
    <n v="26"/>
    <x v="1"/>
    <x v="1"/>
    <x v="2"/>
    <x v="32"/>
    <x v="4"/>
    <n v="2.5"/>
    <s v="Yes"/>
    <n v="0.6"/>
  </r>
  <r>
    <s v="FL250595"/>
    <s v="Daniel Martin"/>
    <x v="1"/>
    <n v="55"/>
    <x v="14"/>
    <x v="1"/>
    <x v="7"/>
    <x v="38"/>
    <x v="2"/>
    <n v="2"/>
    <s v="Yes"/>
    <n v="0.88"/>
  </r>
  <r>
    <s v="FL250596"/>
    <s v="Rachel Smith"/>
    <x v="0"/>
    <n v="56"/>
    <x v="0"/>
    <x v="0"/>
    <x v="1"/>
    <x v="39"/>
    <x v="2"/>
    <n v="0"/>
    <s v="No"/>
    <n v="0.7"/>
  </r>
  <r>
    <s v="FL250597"/>
    <s v="Michael Miller"/>
    <x v="1"/>
    <n v="36"/>
    <x v="15"/>
    <x v="12"/>
    <x v="2"/>
    <x v="15"/>
    <x v="1"/>
    <n v="1.3"/>
    <s v="Yes"/>
    <n v="0.77"/>
  </r>
  <r>
    <s v="FL250598"/>
    <s v="Willie Clark"/>
    <x v="1"/>
    <n v="48"/>
    <x v="8"/>
    <x v="6"/>
    <x v="3"/>
    <x v="10"/>
    <x v="4"/>
    <n v="0"/>
    <s v="No"/>
    <n v="0.8"/>
  </r>
  <r>
    <s v="FL250599"/>
    <s v="Jeremy Hernandez"/>
    <x v="1"/>
    <n v="55"/>
    <x v="16"/>
    <x v="13"/>
    <x v="9"/>
    <x v="21"/>
    <x v="2"/>
    <n v="3.6"/>
    <s v="Yes"/>
    <n v="0.79269417475728277"/>
  </r>
  <r>
    <s v="FL250600"/>
    <s v="Tina Shelton"/>
    <x v="0"/>
    <n v="56"/>
    <x v="20"/>
    <x v="6"/>
    <x v="8"/>
    <x v="8"/>
    <x v="2"/>
    <n v="1.3"/>
    <s v="No"/>
    <n v="0.87"/>
  </r>
  <r>
    <s v="FL250601"/>
    <s v=" Pamela Larson"/>
    <x v="0"/>
    <n v="28"/>
    <x v="14"/>
    <x v="1"/>
    <x v="0"/>
    <x v="24"/>
    <x v="4"/>
    <n v="2.7"/>
    <s v="Yes"/>
    <n v="0.93"/>
  </r>
  <r>
    <s v="FL250602"/>
    <s v="Ryan Ewing"/>
    <x v="1"/>
    <n v="60"/>
    <x v="5"/>
    <x v="1"/>
    <x v="4"/>
    <x v="34"/>
    <x v="0"/>
    <n v="1.5"/>
    <s v="No"/>
    <n v="0.88"/>
  </r>
  <r>
    <s v="FL250603"/>
    <s v="Mark Cochran"/>
    <x v="1"/>
    <n v="34"/>
    <x v="12"/>
    <x v="10"/>
    <x v="0"/>
    <x v="9"/>
    <x v="5"/>
    <n v="0"/>
    <s v="No"/>
    <n v="1"/>
  </r>
  <r>
    <s v="FL250604"/>
    <s v="Martha Carson"/>
    <x v="0"/>
    <n v="38"/>
    <x v="4"/>
    <x v="4"/>
    <x v="4"/>
    <x v="13"/>
    <x v="2"/>
    <n v="0"/>
    <s v="Yes"/>
    <n v="0.61"/>
  </r>
  <r>
    <s v="FL250605"/>
    <s v="Heather Jackson"/>
    <x v="0"/>
    <n v="51"/>
    <x v="12"/>
    <x v="10"/>
    <x v="3"/>
    <x v="8"/>
    <x v="0"/>
    <n v="3"/>
    <s v="No"/>
    <n v="0.79"/>
  </r>
  <r>
    <s v="FL250606"/>
    <s v="Megan Young"/>
    <x v="0"/>
    <n v="21"/>
    <x v="9"/>
    <x v="7"/>
    <x v="1"/>
    <x v="24"/>
    <x v="3"/>
    <n v="1.2"/>
    <s v="No"/>
    <n v="0.73"/>
  </r>
  <r>
    <s v="FL250607"/>
    <s v="Thomas Davis"/>
    <x v="1"/>
    <n v="35"/>
    <x v="0"/>
    <x v="0"/>
    <x v="6"/>
    <x v="26"/>
    <x v="2"/>
    <n v="1.3"/>
    <s v="Yes"/>
    <n v="0.64"/>
  </r>
  <r>
    <s v="FL250608"/>
    <s v="Thomas Mooney"/>
    <x v="1"/>
    <n v="27"/>
    <x v="11"/>
    <x v="9"/>
    <x v="3"/>
    <x v="14"/>
    <x v="0"/>
    <n v="2.5125695216907653"/>
    <s v="Yes"/>
    <n v="0.79269417475728277"/>
  </r>
  <r>
    <s v="FL250609"/>
    <s v="Susan Smith"/>
    <x v="0"/>
    <n v="42"/>
    <x v="6"/>
    <x v="5"/>
    <x v="1"/>
    <x v="11"/>
    <x v="1"/>
    <n v="3.8"/>
    <s v="No"/>
    <n v="0.93"/>
  </r>
  <r>
    <s v="FL250610"/>
    <s v="Brianna Orr"/>
    <x v="0"/>
    <n v="52"/>
    <x v="14"/>
    <x v="1"/>
    <x v="0"/>
    <x v="35"/>
    <x v="3"/>
    <n v="3.8"/>
    <s v="No"/>
    <n v="0.68"/>
  </r>
  <r>
    <s v="FL250611"/>
    <s v="Dustin Smith"/>
    <x v="1"/>
    <n v="53"/>
    <x v="12"/>
    <x v="10"/>
    <x v="3"/>
    <x v="16"/>
    <x v="2"/>
    <n v="4.7"/>
    <s v="Yes"/>
    <n v="0.62"/>
  </r>
  <r>
    <s v="FL250612"/>
    <s v="Sarah White"/>
    <x v="0"/>
    <n v="54"/>
    <x v="0"/>
    <x v="0"/>
    <x v="1"/>
    <x v="20"/>
    <x v="2"/>
    <n v="1.1000000000000001"/>
    <s v="No"/>
    <n v="0.79269417475728277"/>
  </r>
  <r>
    <s v="FL250613"/>
    <s v="Michael Davis"/>
    <x v="1"/>
    <n v="51"/>
    <x v="9"/>
    <x v="7"/>
    <x v="2"/>
    <x v="30"/>
    <x v="1"/>
    <n v="4.2"/>
    <s v="Yes"/>
    <n v="0.82"/>
  </r>
  <r>
    <s v="FL250614"/>
    <s v="Jennifer Phillips"/>
    <x v="0"/>
    <n v="30"/>
    <x v="12"/>
    <x v="10"/>
    <x v="3"/>
    <x v="12"/>
    <x v="2"/>
    <n v="0"/>
    <s v="No"/>
    <n v="0.79269417475728277"/>
  </r>
  <r>
    <s v="FL250615"/>
    <s v="Dana Sanders"/>
    <x v="0"/>
    <n v="45"/>
    <x v="3"/>
    <x v="3"/>
    <x v="9"/>
    <x v="4"/>
    <x v="4"/>
    <n v="0"/>
    <s v="No"/>
    <n v="0.85"/>
  </r>
  <r>
    <s v="FL250616"/>
    <s v="Daniel Quinn"/>
    <x v="1"/>
    <n v="57"/>
    <x v="4"/>
    <x v="4"/>
    <x v="2"/>
    <x v="37"/>
    <x v="0"/>
    <n v="2.4"/>
    <s v="Yes"/>
    <n v="0.78"/>
  </r>
  <r>
    <s v="FL250617"/>
    <s v="Matthew Steele"/>
    <x v="1"/>
    <n v="38"/>
    <x v="6"/>
    <x v="5"/>
    <x v="0"/>
    <x v="18"/>
    <x v="2"/>
    <n v="0"/>
    <s v="Yes"/>
    <n v="0.86"/>
  </r>
  <r>
    <s v="FL250618"/>
    <s v="Michele Taylor"/>
    <x v="0"/>
    <n v="42"/>
    <x v="13"/>
    <x v="11"/>
    <x v="8"/>
    <x v="38"/>
    <x v="2"/>
    <n v="2.5125695216907653"/>
    <s v="No"/>
    <n v="0.88"/>
  </r>
  <r>
    <s v="FL250619"/>
    <s v="Ashley Hammond"/>
    <x v="0"/>
    <n v="30"/>
    <x v="17"/>
    <x v="14"/>
    <x v="8"/>
    <x v="23"/>
    <x v="3"/>
    <n v="3.3"/>
    <s v="No"/>
    <n v="0.68"/>
  </r>
  <r>
    <s v="FL250620"/>
    <s v="Nicole Taylor"/>
    <x v="0"/>
    <n v="43"/>
    <x v="1"/>
    <x v="1"/>
    <x v="3"/>
    <x v="13"/>
    <x v="0"/>
    <n v="1.4"/>
    <s v="Yes"/>
    <n v="0.97"/>
  </r>
  <r>
    <s v="FL250621"/>
    <s v="Casey Bush"/>
    <x v="1"/>
    <n v="22"/>
    <x v="16"/>
    <x v="13"/>
    <x v="6"/>
    <x v="32"/>
    <x v="4"/>
    <n v="1.7"/>
    <s v="No"/>
    <n v="0.91"/>
  </r>
  <r>
    <s v="FL250622"/>
    <s v="Samuel Patterson"/>
    <x v="1"/>
    <n v="57"/>
    <x v="19"/>
    <x v="6"/>
    <x v="9"/>
    <x v="39"/>
    <x v="3"/>
    <n v="4.8"/>
    <s v="No"/>
    <n v="0.79269417475728277"/>
  </r>
  <r>
    <s v="FL250623"/>
    <s v="Craig Dennis"/>
    <x v="1"/>
    <n v="44"/>
    <x v="7"/>
    <x v="1"/>
    <x v="2"/>
    <x v="24"/>
    <x v="2"/>
    <n v="4.8"/>
    <s v="No"/>
    <n v="0.97"/>
  </r>
  <r>
    <s v="FL250624"/>
    <s v="Heidi Dixon"/>
    <x v="0"/>
    <n v="46"/>
    <x v="18"/>
    <x v="15"/>
    <x v="8"/>
    <x v="30"/>
    <x v="3"/>
    <n v="2"/>
    <s v="Yes"/>
    <n v="0.64"/>
  </r>
  <r>
    <s v="FL250625"/>
    <s v="David Bishop"/>
    <x v="1"/>
    <n v="41"/>
    <x v="20"/>
    <x v="6"/>
    <x v="0"/>
    <x v="24"/>
    <x v="1"/>
    <n v="2.8"/>
    <s v="No"/>
    <n v="0.87"/>
  </r>
  <r>
    <s v="FL250626"/>
    <s v="Laura Butler"/>
    <x v="0"/>
    <n v="34"/>
    <x v="1"/>
    <x v="1"/>
    <x v="5"/>
    <x v="32"/>
    <x v="0"/>
    <n v="0"/>
    <s v="No"/>
    <n v="0.86"/>
  </r>
  <r>
    <s v="FL250627"/>
    <s v="Denise Erickson"/>
    <x v="0"/>
    <n v="46"/>
    <x v="0"/>
    <x v="0"/>
    <x v="1"/>
    <x v="14"/>
    <x v="0"/>
    <n v="4.4000000000000004"/>
    <s v="Yes"/>
    <n v="0.97"/>
  </r>
  <r>
    <s v="FL250628"/>
    <s v="Nicole Austin"/>
    <x v="0"/>
    <n v="22"/>
    <x v="15"/>
    <x v="12"/>
    <x v="0"/>
    <x v="12"/>
    <x v="3"/>
    <n v="4.9000000000000004"/>
    <s v="No"/>
    <n v="0.73"/>
  </r>
  <r>
    <s v="FL250629"/>
    <s v="Summer Williams"/>
    <x v="0"/>
    <n v="23"/>
    <x v="17"/>
    <x v="14"/>
    <x v="4"/>
    <x v="12"/>
    <x v="4"/>
    <n v="2.2999999999999998"/>
    <s v="No"/>
    <n v="0.6"/>
  </r>
  <r>
    <s v="FL250630"/>
    <s v="Angela Blackwell"/>
    <x v="0"/>
    <n v="60"/>
    <x v="6"/>
    <x v="5"/>
    <x v="3"/>
    <x v="40"/>
    <x v="2"/>
    <n v="4.9000000000000004"/>
    <s v="Yes"/>
    <n v="0.66"/>
  </r>
  <r>
    <s v="FL250631"/>
    <s v="Thomas Wall"/>
    <x v="1"/>
    <n v="20"/>
    <x v="14"/>
    <x v="1"/>
    <x v="8"/>
    <x v="14"/>
    <x v="4"/>
    <n v="4.3"/>
    <s v="No"/>
    <n v="0.9"/>
  </r>
  <r>
    <s v="FL250632"/>
    <s v="Sarah Anderson"/>
    <x v="0"/>
    <n v="41"/>
    <x v="12"/>
    <x v="10"/>
    <x v="6"/>
    <x v="22"/>
    <x v="4"/>
    <n v="1.4"/>
    <s v="No"/>
    <n v="0.79269417475728277"/>
  </r>
  <r>
    <s v="FL250633"/>
    <s v="Christian Lane"/>
    <x v="1"/>
    <n v="24"/>
    <x v="15"/>
    <x v="12"/>
    <x v="1"/>
    <x v="12"/>
    <x v="0"/>
    <n v="2.5125695216907653"/>
    <s v="No"/>
    <n v="0.79269417475728277"/>
  </r>
  <r>
    <s v="FL250634"/>
    <s v="Todd Casey"/>
    <x v="1"/>
    <n v="44"/>
    <x v="3"/>
    <x v="3"/>
    <x v="9"/>
    <x v="3"/>
    <x v="2"/>
    <n v="1.3"/>
    <s v="Yes"/>
    <n v="0.77"/>
  </r>
  <r>
    <s v="FL250635"/>
    <s v="David Martinez"/>
    <x v="1"/>
    <n v="52"/>
    <x v="18"/>
    <x v="15"/>
    <x v="6"/>
    <x v="3"/>
    <x v="4"/>
    <n v="2.2999999999999998"/>
    <s v="Yes"/>
    <n v="0.79"/>
  </r>
  <r>
    <s v="FL250636"/>
    <s v="Donald Salas"/>
    <x v="1"/>
    <n v="35"/>
    <x v="20"/>
    <x v="6"/>
    <x v="9"/>
    <x v="13"/>
    <x v="2"/>
    <n v="3.6"/>
    <s v="No"/>
    <n v="0.83"/>
  </r>
  <r>
    <s v="FL250637"/>
    <s v="Emma Hicks"/>
    <x v="0"/>
    <n v="24"/>
    <x v="3"/>
    <x v="3"/>
    <x v="8"/>
    <x v="32"/>
    <x v="1"/>
    <n v="2.5125695216907653"/>
    <s v="No"/>
    <n v="0.64"/>
  </r>
  <r>
    <s v="FL250638"/>
    <s v="Alison Clark"/>
    <x v="0"/>
    <n v="46"/>
    <x v="1"/>
    <x v="1"/>
    <x v="7"/>
    <x v="33"/>
    <x v="0"/>
    <n v="1.3"/>
    <s v="No"/>
    <n v="0.8"/>
  </r>
  <r>
    <s v="FL250639"/>
    <s v="Andrew Barnes"/>
    <x v="1"/>
    <n v="57"/>
    <x v="19"/>
    <x v="6"/>
    <x v="1"/>
    <x v="10"/>
    <x v="3"/>
    <n v="1.1000000000000001"/>
    <s v="No"/>
    <n v="0.9"/>
  </r>
  <r>
    <s v="FL250640"/>
    <s v="Gina Snyder"/>
    <x v="0"/>
    <n v="49"/>
    <x v="19"/>
    <x v="6"/>
    <x v="3"/>
    <x v="38"/>
    <x v="1"/>
    <n v="0"/>
    <s v="No"/>
    <n v="0.94"/>
  </r>
  <r>
    <s v="FL250641"/>
    <s v="David Watson"/>
    <x v="1"/>
    <n v="41"/>
    <x v="9"/>
    <x v="7"/>
    <x v="4"/>
    <x v="23"/>
    <x v="2"/>
    <n v="1.8"/>
    <s v="No"/>
    <n v="0.7"/>
  </r>
  <r>
    <s v="FL250642"/>
    <s v="John Davis"/>
    <x v="1"/>
    <n v="22"/>
    <x v="19"/>
    <x v="6"/>
    <x v="9"/>
    <x v="24"/>
    <x v="5"/>
    <n v="2.5125695216907653"/>
    <s v="Yes"/>
    <n v="0.75"/>
  </r>
  <r>
    <s v="FL250643"/>
    <s v="Joseph Thomas"/>
    <x v="1"/>
    <n v="50"/>
    <x v="1"/>
    <x v="1"/>
    <x v="0"/>
    <x v="8"/>
    <x v="4"/>
    <n v="3.3"/>
    <s v="Yes"/>
    <n v="0.69"/>
  </r>
  <r>
    <s v="FL250644"/>
    <s v="Dean Finley"/>
    <x v="1"/>
    <n v="57"/>
    <x v="2"/>
    <x v="2"/>
    <x v="2"/>
    <x v="3"/>
    <x v="3"/>
    <n v="4.2"/>
    <s v="No"/>
    <n v="0.79269417475728277"/>
  </r>
  <r>
    <s v="FL250645"/>
    <s v="Ashley Kemp"/>
    <x v="0"/>
    <n v="47"/>
    <x v="19"/>
    <x v="6"/>
    <x v="4"/>
    <x v="35"/>
    <x v="1"/>
    <n v="2.5125695216907653"/>
    <s v="Yes"/>
    <n v="0.79"/>
  </r>
  <r>
    <s v="FL250646"/>
    <s v="Kenneth Evans"/>
    <x v="1"/>
    <n v="24"/>
    <x v="17"/>
    <x v="14"/>
    <x v="5"/>
    <x v="32"/>
    <x v="0"/>
    <n v="3.8"/>
    <s v="Yes"/>
    <n v="0.71"/>
  </r>
  <r>
    <s v="FL250647"/>
    <s v="Brandon Newman"/>
    <x v="1"/>
    <n v="41"/>
    <x v="10"/>
    <x v="8"/>
    <x v="7"/>
    <x v="14"/>
    <x v="0"/>
    <n v="4.8"/>
    <s v="Yes"/>
    <n v="0.72"/>
  </r>
  <r>
    <s v="FL250648"/>
    <s v="Katie Hensley"/>
    <x v="0"/>
    <n v="50"/>
    <x v="2"/>
    <x v="2"/>
    <x v="8"/>
    <x v="6"/>
    <x v="0"/>
    <n v="4.3"/>
    <s v="No"/>
    <n v="0.93"/>
  </r>
  <r>
    <s v="FL250649"/>
    <s v="Joel Randolph"/>
    <x v="1"/>
    <n v="46"/>
    <x v="11"/>
    <x v="9"/>
    <x v="9"/>
    <x v="11"/>
    <x v="2"/>
    <n v="4.8"/>
    <s v="Yes"/>
    <n v="0.82"/>
  </r>
  <r>
    <s v="FL250650"/>
    <s v="Andrew Scott"/>
    <x v="1"/>
    <n v="51"/>
    <x v="1"/>
    <x v="1"/>
    <x v="7"/>
    <x v="14"/>
    <x v="2"/>
    <n v="2.5125695216907653"/>
    <s v="No"/>
    <n v="0.6"/>
  </r>
  <r>
    <s v="FL250651"/>
    <s v="Zachary Ochoa"/>
    <x v="1"/>
    <n v="51"/>
    <x v="7"/>
    <x v="1"/>
    <x v="4"/>
    <x v="28"/>
    <x v="5"/>
    <n v="4"/>
    <s v="No"/>
    <n v="0.93"/>
  </r>
  <r>
    <s v="FL250652"/>
    <s v="John Arroyo"/>
    <x v="1"/>
    <n v="27"/>
    <x v="7"/>
    <x v="1"/>
    <x v="4"/>
    <x v="15"/>
    <x v="1"/>
    <n v="2.5125695216907653"/>
    <s v="No"/>
    <n v="0.79269417475728277"/>
  </r>
  <r>
    <s v="FL250653"/>
    <s v="Matthew Fernandez"/>
    <x v="1"/>
    <n v="42"/>
    <x v="20"/>
    <x v="6"/>
    <x v="3"/>
    <x v="13"/>
    <x v="3"/>
    <n v="0"/>
    <s v="No"/>
    <n v="0.74"/>
  </r>
  <r>
    <s v="FL250654"/>
    <s v="Benjamin Stark"/>
    <x v="1"/>
    <n v="25"/>
    <x v="2"/>
    <x v="2"/>
    <x v="6"/>
    <x v="3"/>
    <x v="2"/>
    <n v="2.2999999999999998"/>
    <s v="Yes"/>
    <n v="0.73"/>
  </r>
  <r>
    <s v="FL250655"/>
    <s v="Tammy Greer"/>
    <x v="0"/>
    <n v="32"/>
    <x v="2"/>
    <x v="2"/>
    <x v="5"/>
    <x v="14"/>
    <x v="4"/>
    <n v="2.5125695216907653"/>
    <s v="No"/>
    <n v="0.96"/>
  </r>
  <r>
    <s v="FL250656"/>
    <s v="Cynthia Mckinney"/>
    <x v="0"/>
    <n v="59"/>
    <x v="14"/>
    <x v="1"/>
    <x v="2"/>
    <x v="5"/>
    <x v="3"/>
    <n v="3.8"/>
    <s v="No"/>
    <n v="0.66"/>
  </r>
  <r>
    <s v="FL250657"/>
    <s v="Wendy Rice"/>
    <x v="0"/>
    <n v="59"/>
    <x v="15"/>
    <x v="12"/>
    <x v="7"/>
    <x v="39"/>
    <x v="3"/>
    <n v="4"/>
    <s v="No"/>
    <n v="0.62"/>
  </r>
  <r>
    <s v="FL250658"/>
    <s v="Randy Bender"/>
    <x v="1"/>
    <n v="29"/>
    <x v="2"/>
    <x v="2"/>
    <x v="2"/>
    <x v="32"/>
    <x v="4"/>
    <n v="2.2000000000000002"/>
    <s v="Yes"/>
    <n v="0.85"/>
  </r>
  <r>
    <s v="FL250659"/>
    <s v="Richard Dominguez"/>
    <x v="1"/>
    <n v="58"/>
    <x v="18"/>
    <x v="15"/>
    <x v="4"/>
    <x v="0"/>
    <x v="0"/>
    <n v="4.3"/>
    <s v="No"/>
    <n v="0.66"/>
  </r>
  <r>
    <s v="FL250660"/>
    <s v="Melissa Maldonado"/>
    <x v="0"/>
    <n v="56"/>
    <x v="14"/>
    <x v="1"/>
    <x v="7"/>
    <x v="18"/>
    <x v="5"/>
    <n v="0"/>
    <s v="No"/>
    <n v="0.87"/>
  </r>
  <r>
    <s v="FL250661"/>
    <s v="Leah Harris"/>
    <x v="0"/>
    <n v="36"/>
    <x v="5"/>
    <x v="1"/>
    <x v="9"/>
    <x v="14"/>
    <x v="5"/>
    <n v="0"/>
    <s v="Yes"/>
    <n v="0.68"/>
  </r>
  <r>
    <s v="FL250662"/>
    <s v="Lynn French"/>
    <x v="0"/>
    <n v="52"/>
    <x v="14"/>
    <x v="1"/>
    <x v="6"/>
    <x v="26"/>
    <x v="0"/>
    <n v="4"/>
    <s v="Yes"/>
    <n v="0.79269417475728277"/>
  </r>
  <r>
    <s v="FL250663"/>
    <s v="Angela Johnson"/>
    <x v="0"/>
    <n v="42"/>
    <x v="3"/>
    <x v="3"/>
    <x v="1"/>
    <x v="17"/>
    <x v="1"/>
    <n v="2.5125695216907653"/>
    <s v="No"/>
    <n v="0.79269417475728277"/>
  </r>
  <r>
    <s v="FL250664"/>
    <s v="Sarah Edwards"/>
    <x v="0"/>
    <n v="59"/>
    <x v="10"/>
    <x v="8"/>
    <x v="1"/>
    <x v="1"/>
    <x v="0"/>
    <n v="2"/>
    <s v="Yes"/>
    <n v="0.79"/>
  </r>
  <r>
    <s v="FL250665"/>
    <s v="Roy Collins"/>
    <x v="1"/>
    <n v="33"/>
    <x v="3"/>
    <x v="3"/>
    <x v="1"/>
    <x v="30"/>
    <x v="1"/>
    <n v="4.7"/>
    <s v="Yes"/>
    <n v="0.88"/>
  </r>
  <r>
    <s v="FL250666"/>
    <s v="Samantha Porter"/>
    <x v="0"/>
    <n v="55"/>
    <x v="14"/>
    <x v="1"/>
    <x v="3"/>
    <x v="5"/>
    <x v="1"/>
    <n v="3.6"/>
    <s v="Yes"/>
    <n v="0.81"/>
  </r>
  <r>
    <s v="FL250667"/>
    <s v="Juan Elliott"/>
    <x v="1"/>
    <n v="47"/>
    <x v="12"/>
    <x v="10"/>
    <x v="6"/>
    <x v="8"/>
    <x v="1"/>
    <n v="1.2"/>
    <s v="No"/>
    <n v="0.79269417475728277"/>
  </r>
  <r>
    <s v="FL250668"/>
    <s v="Elizabeth Phillips"/>
    <x v="0"/>
    <n v="29"/>
    <x v="19"/>
    <x v="6"/>
    <x v="4"/>
    <x v="6"/>
    <x v="2"/>
    <n v="4.4000000000000004"/>
    <s v="Yes"/>
    <n v="0.67"/>
  </r>
  <r>
    <s v="FL250669"/>
    <s v="Laura Evans"/>
    <x v="0"/>
    <n v="30"/>
    <x v="7"/>
    <x v="1"/>
    <x v="8"/>
    <x v="17"/>
    <x v="0"/>
    <n v="1.4"/>
    <s v="Yes"/>
    <n v="0.62"/>
  </r>
  <r>
    <s v="FL250670"/>
    <s v="Amanda Mitchell"/>
    <x v="0"/>
    <n v="25"/>
    <x v="14"/>
    <x v="1"/>
    <x v="8"/>
    <x v="24"/>
    <x v="3"/>
    <n v="3.2"/>
    <s v="No"/>
    <n v="0.87"/>
  </r>
  <r>
    <s v="FL250671"/>
    <s v="Sandra Williams"/>
    <x v="0"/>
    <n v="28"/>
    <x v="16"/>
    <x v="13"/>
    <x v="7"/>
    <x v="6"/>
    <x v="2"/>
    <n v="3.8"/>
    <s v="Yes"/>
    <n v="0.98"/>
  </r>
  <r>
    <s v="FL250672"/>
    <s v="Eric Johnson"/>
    <x v="1"/>
    <n v="29"/>
    <x v="12"/>
    <x v="10"/>
    <x v="0"/>
    <x v="12"/>
    <x v="4"/>
    <n v="1.5"/>
    <s v="Yes"/>
    <n v="0.64"/>
  </r>
  <r>
    <s v="FL250673"/>
    <s v="Javier Hobbs"/>
    <x v="1"/>
    <n v="30"/>
    <x v="20"/>
    <x v="6"/>
    <x v="2"/>
    <x v="3"/>
    <x v="2"/>
    <n v="2.8"/>
    <s v="Yes"/>
    <n v="0.71"/>
  </r>
  <r>
    <s v="FL250674"/>
    <s v="Jacob Jones"/>
    <x v="1"/>
    <n v="47"/>
    <x v="16"/>
    <x v="13"/>
    <x v="4"/>
    <x v="32"/>
    <x v="1"/>
    <n v="2.7"/>
    <s v="No"/>
    <n v="0.96"/>
  </r>
  <r>
    <s v="FL250675"/>
    <s v="Zachary Murphy"/>
    <x v="1"/>
    <n v="34"/>
    <x v="1"/>
    <x v="1"/>
    <x v="0"/>
    <x v="6"/>
    <x v="3"/>
    <n v="3.9"/>
    <s v="No"/>
    <n v="0.79269417475728277"/>
  </r>
  <r>
    <s v="FL250676"/>
    <s v="Joshua Owens"/>
    <x v="1"/>
    <n v="45"/>
    <x v="5"/>
    <x v="1"/>
    <x v="2"/>
    <x v="26"/>
    <x v="0"/>
    <n v="4.5999999999999996"/>
    <s v="No"/>
    <n v="0.78"/>
  </r>
  <r>
    <s v="FL250677"/>
    <s v="Dawn Mitchell"/>
    <x v="0"/>
    <n v="56"/>
    <x v="20"/>
    <x v="6"/>
    <x v="7"/>
    <x v="4"/>
    <x v="5"/>
    <n v="2.2000000000000002"/>
    <s v="No"/>
    <n v="0.7"/>
  </r>
  <r>
    <s v="FL250678"/>
    <s v="Regina Dunn"/>
    <x v="0"/>
    <n v="49"/>
    <x v="18"/>
    <x v="15"/>
    <x v="8"/>
    <x v="11"/>
    <x v="1"/>
    <n v="2.5"/>
    <s v="No"/>
    <n v="0.82"/>
  </r>
  <r>
    <s v="FL250679"/>
    <s v="Ernest Cole"/>
    <x v="1"/>
    <n v="48"/>
    <x v="15"/>
    <x v="12"/>
    <x v="4"/>
    <x v="6"/>
    <x v="2"/>
    <n v="3.1"/>
    <s v="No"/>
    <n v="0.79269417475728277"/>
  </r>
  <r>
    <s v="FL250680"/>
    <s v="Hannah Sanders"/>
    <x v="0"/>
    <n v="29"/>
    <x v="12"/>
    <x v="10"/>
    <x v="2"/>
    <x v="12"/>
    <x v="5"/>
    <n v="2.5125695216907653"/>
    <s v="Yes"/>
    <n v="0.99"/>
  </r>
  <r>
    <s v="FL250681"/>
    <s v="Ellen Bowman"/>
    <x v="0"/>
    <n v="49"/>
    <x v="3"/>
    <x v="3"/>
    <x v="3"/>
    <x v="0"/>
    <x v="4"/>
    <n v="3.8"/>
    <s v="Yes"/>
    <n v="0.93"/>
  </r>
  <r>
    <s v="FL250682"/>
    <s v="Nancy Moore"/>
    <x v="0"/>
    <n v="22"/>
    <x v="18"/>
    <x v="15"/>
    <x v="0"/>
    <x v="24"/>
    <x v="0"/>
    <n v="4.8"/>
    <s v="Yes"/>
    <n v="0.75"/>
  </r>
  <r>
    <s v="FL250683"/>
    <s v="Joseph Wood"/>
    <x v="1"/>
    <n v="52"/>
    <x v="19"/>
    <x v="6"/>
    <x v="2"/>
    <x v="31"/>
    <x v="0"/>
    <n v="2.5"/>
    <s v="No"/>
    <n v="0.61"/>
  </r>
  <r>
    <s v="FL250684"/>
    <s v="Michael Harrell"/>
    <x v="1"/>
    <n v="60"/>
    <x v="14"/>
    <x v="1"/>
    <x v="0"/>
    <x v="23"/>
    <x v="3"/>
    <n v="0"/>
    <s v="No"/>
    <n v="0.97"/>
  </r>
  <r>
    <s v="FL250685"/>
    <s v="Connie Mcclain"/>
    <x v="0"/>
    <n v="33"/>
    <x v="9"/>
    <x v="7"/>
    <x v="6"/>
    <x v="12"/>
    <x v="0"/>
    <n v="1.7"/>
    <s v="Yes"/>
    <n v="0.95"/>
  </r>
  <r>
    <s v="FL250686"/>
    <s v="Matthew Baldwin"/>
    <x v="1"/>
    <n v="52"/>
    <x v="12"/>
    <x v="10"/>
    <x v="2"/>
    <x v="16"/>
    <x v="2"/>
    <n v="4"/>
    <s v="No"/>
    <n v="0.69"/>
  </r>
  <r>
    <s v="FL250687"/>
    <s v="Danielle Nelson"/>
    <x v="0"/>
    <n v="25"/>
    <x v="2"/>
    <x v="2"/>
    <x v="8"/>
    <x v="23"/>
    <x v="0"/>
    <n v="1.9"/>
    <s v="No"/>
    <n v="0.63"/>
  </r>
  <r>
    <s v="FL250688"/>
    <s v="Steven Moore"/>
    <x v="1"/>
    <n v="33"/>
    <x v="9"/>
    <x v="7"/>
    <x v="7"/>
    <x v="14"/>
    <x v="3"/>
    <n v="4.4000000000000004"/>
    <s v="Yes"/>
    <n v="0.65"/>
  </r>
  <r>
    <s v="FL250689"/>
    <s v="Megan Hudson"/>
    <x v="0"/>
    <n v="33"/>
    <x v="18"/>
    <x v="15"/>
    <x v="1"/>
    <x v="14"/>
    <x v="2"/>
    <n v="4.2"/>
    <s v="Yes"/>
    <n v="0.9"/>
  </r>
  <r>
    <s v="FL250690"/>
    <s v="Lisa Johnson"/>
    <x v="0"/>
    <n v="52"/>
    <x v="14"/>
    <x v="1"/>
    <x v="6"/>
    <x v="33"/>
    <x v="0"/>
    <n v="4.8"/>
    <s v="No"/>
    <n v="0.79269417475728277"/>
  </r>
  <r>
    <s v="FL250691"/>
    <s v="Tracy White"/>
    <x v="0"/>
    <n v="20"/>
    <x v="4"/>
    <x v="4"/>
    <x v="3"/>
    <x v="24"/>
    <x v="3"/>
    <n v="2"/>
    <s v="No"/>
    <n v="0.89"/>
  </r>
  <r>
    <s v="FL250692"/>
    <s v="Natalie Diaz"/>
    <x v="0"/>
    <n v="43"/>
    <x v="13"/>
    <x v="11"/>
    <x v="5"/>
    <x v="23"/>
    <x v="1"/>
    <n v="2.5125695216907653"/>
    <s v="Yes"/>
    <n v="0.8"/>
  </r>
  <r>
    <s v="FL250693"/>
    <s v="Amanda Mitchell"/>
    <x v="0"/>
    <n v="31"/>
    <x v="15"/>
    <x v="12"/>
    <x v="1"/>
    <x v="14"/>
    <x v="1"/>
    <n v="1.4"/>
    <s v="No"/>
    <n v="0.8"/>
  </r>
  <r>
    <s v="FL250694"/>
    <s v="Karen Scott"/>
    <x v="0"/>
    <n v="29"/>
    <x v="2"/>
    <x v="2"/>
    <x v="5"/>
    <x v="21"/>
    <x v="0"/>
    <n v="1.8"/>
    <s v="No"/>
    <n v="0.79269417475728277"/>
  </r>
  <r>
    <s v="FL250695"/>
    <s v="Mary Brown"/>
    <x v="0"/>
    <n v="53"/>
    <x v="17"/>
    <x v="14"/>
    <x v="2"/>
    <x v="27"/>
    <x v="2"/>
    <n v="0"/>
    <s v="Yes"/>
    <n v="0.67"/>
  </r>
  <r>
    <s v="FL250696"/>
    <s v="Jon Jones"/>
    <x v="1"/>
    <n v="38"/>
    <x v="10"/>
    <x v="8"/>
    <x v="1"/>
    <x v="24"/>
    <x v="2"/>
    <n v="0"/>
    <s v="No"/>
    <n v="0.96"/>
  </r>
  <r>
    <s v="FL250697"/>
    <s v="Jason Phillips"/>
    <x v="1"/>
    <n v="29"/>
    <x v="20"/>
    <x v="6"/>
    <x v="2"/>
    <x v="14"/>
    <x v="5"/>
    <n v="0"/>
    <s v="No"/>
    <n v="0.9"/>
  </r>
  <r>
    <s v="FL250698"/>
    <s v="Eric Walsh"/>
    <x v="1"/>
    <n v="42"/>
    <x v="12"/>
    <x v="10"/>
    <x v="6"/>
    <x v="12"/>
    <x v="2"/>
    <n v="3.9"/>
    <s v="No"/>
    <n v="0.62"/>
  </r>
  <r>
    <s v="FL250699"/>
    <s v="Carol Schneider"/>
    <x v="0"/>
    <n v="54"/>
    <x v="5"/>
    <x v="1"/>
    <x v="9"/>
    <x v="14"/>
    <x v="0"/>
    <n v="2.5125695216907653"/>
    <s v="No"/>
    <n v="0.72"/>
  </r>
  <r>
    <s v="FL250700"/>
    <s v="Juan Hines"/>
    <x v="1"/>
    <n v="56"/>
    <x v="18"/>
    <x v="15"/>
    <x v="6"/>
    <x v="10"/>
    <x v="1"/>
    <n v="4.4000000000000004"/>
    <s v="Yes"/>
    <n v="0.83"/>
  </r>
  <r>
    <s v="FL250701"/>
    <s v="Martha Sweeney"/>
    <x v="0"/>
    <n v="47"/>
    <x v="6"/>
    <x v="5"/>
    <x v="2"/>
    <x v="7"/>
    <x v="0"/>
    <n v="4.4000000000000004"/>
    <s v="No"/>
    <n v="0.7"/>
  </r>
  <r>
    <s v="FL250702"/>
    <s v="Jason Weaver"/>
    <x v="1"/>
    <n v="45"/>
    <x v="13"/>
    <x v="11"/>
    <x v="0"/>
    <x v="33"/>
    <x v="1"/>
    <n v="0"/>
    <s v="No"/>
    <n v="0.99"/>
  </r>
  <r>
    <s v="FL250703"/>
    <s v="Benjamin Stevens"/>
    <x v="1"/>
    <n v="45"/>
    <x v="18"/>
    <x v="15"/>
    <x v="5"/>
    <x v="21"/>
    <x v="1"/>
    <n v="1.4"/>
    <s v="No"/>
    <n v="0.97"/>
  </r>
  <r>
    <s v="FL250704"/>
    <s v="Daniel Lopez"/>
    <x v="1"/>
    <n v="35"/>
    <x v="14"/>
    <x v="1"/>
    <x v="9"/>
    <x v="6"/>
    <x v="5"/>
    <n v="3.2"/>
    <s v="Yes"/>
    <n v="0.77"/>
  </r>
  <r>
    <s v="FL250705"/>
    <s v="John Simpson"/>
    <x v="1"/>
    <n v="51"/>
    <x v="14"/>
    <x v="1"/>
    <x v="8"/>
    <x v="3"/>
    <x v="1"/>
    <n v="2"/>
    <s v="No"/>
    <n v="0.92"/>
  </r>
  <r>
    <s v="FL250706"/>
    <s v="Katrina Schultz"/>
    <x v="0"/>
    <n v="34"/>
    <x v="20"/>
    <x v="6"/>
    <x v="1"/>
    <x v="0"/>
    <x v="1"/>
    <n v="3.3"/>
    <s v="Yes"/>
    <n v="0.76"/>
  </r>
  <r>
    <s v="FL250707"/>
    <s v="Danielle Bell"/>
    <x v="0"/>
    <n v="51"/>
    <x v="4"/>
    <x v="4"/>
    <x v="2"/>
    <x v="24"/>
    <x v="1"/>
    <n v="0"/>
    <s v="Yes"/>
    <n v="0.97"/>
  </r>
  <r>
    <s v="FL250708"/>
    <s v="Jason Brady"/>
    <x v="1"/>
    <n v="58"/>
    <x v="16"/>
    <x v="13"/>
    <x v="2"/>
    <x v="27"/>
    <x v="0"/>
    <n v="2.2999999999999998"/>
    <s v="Yes"/>
    <n v="0.79269417475728277"/>
  </r>
  <r>
    <s v="FL250709"/>
    <s v="Megan Bright"/>
    <x v="0"/>
    <n v="36"/>
    <x v="3"/>
    <x v="3"/>
    <x v="3"/>
    <x v="8"/>
    <x v="5"/>
    <n v="0"/>
    <s v="Yes"/>
    <n v="0.99"/>
  </r>
  <r>
    <s v="FL250710"/>
    <s v="David Griffin"/>
    <x v="1"/>
    <n v="41"/>
    <x v="13"/>
    <x v="11"/>
    <x v="4"/>
    <x v="28"/>
    <x v="3"/>
    <n v="2.6"/>
    <s v="Yes"/>
    <n v="0.79269417475728277"/>
  </r>
  <r>
    <s v="FL250711"/>
    <s v="Michael Clark"/>
    <x v="1"/>
    <n v="56"/>
    <x v="17"/>
    <x v="14"/>
    <x v="9"/>
    <x v="31"/>
    <x v="2"/>
    <n v="3.3"/>
    <s v="Yes"/>
    <n v="0.82"/>
  </r>
  <r>
    <s v="FL250712"/>
    <s v="Rebecca Barker"/>
    <x v="0"/>
    <n v="58"/>
    <x v="14"/>
    <x v="1"/>
    <x v="7"/>
    <x v="11"/>
    <x v="4"/>
    <n v="3.6"/>
    <s v="Yes"/>
    <n v="0.78"/>
  </r>
  <r>
    <s v="FL250713"/>
    <s v="Angela Smith"/>
    <x v="0"/>
    <n v="58"/>
    <x v="5"/>
    <x v="1"/>
    <x v="7"/>
    <x v="7"/>
    <x v="0"/>
    <n v="3.7"/>
    <s v="No"/>
    <n v="0.79269417475728277"/>
  </r>
  <r>
    <s v="FL250714"/>
    <s v="Christina Wright"/>
    <x v="0"/>
    <n v="54"/>
    <x v="7"/>
    <x v="1"/>
    <x v="4"/>
    <x v="19"/>
    <x v="5"/>
    <n v="3.4"/>
    <s v="No"/>
    <n v="0.79269417475728277"/>
  </r>
  <r>
    <s v="FL250715"/>
    <s v="Todd Turner"/>
    <x v="1"/>
    <n v="53"/>
    <x v="1"/>
    <x v="1"/>
    <x v="6"/>
    <x v="14"/>
    <x v="1"/>
    <n v="4"/>
    <s v="Yes"/>
    <n v="0.72"/>
  </r>
  <r>
    <s v="FL250716"/>
    <s v="Elizabeth Green"/>
    <x v="0"/>
    <n v="43"/>
    <x v="1"/>
    <x v="1"/>
    <x v="3"/>
    <x v="7"/>
    <x v="2"/>
    <n v="4.5"/>
    <s v="No"/>
    <n v="0.79269417475728277"/>
  </r>
  <r>
    <s v="FL250717"/>
    <s v="Alex Smith"/>
    <x v="1"/>
    <n v="44"/>
    <x v="12"/>
    <x v="10"/>
    <x v="9"/>
    <x v="24"/>
    <x v="4"/>
    <n v="4.3"/>
    <s v="Yes"/>
    <n v="0.79269417475728277"/>
  </r>
  <r>
    <s v="FL250718"/>
    <s v="Shane Hale"/>
    <x v="1"/>
    <n v="34"/>
    <x v="14"/>
    <x v="1"/>
    <x v="7"/>
    <x v="3"/>
    <x v="4"/>
    <n v="4"/>
    <s v="Yes"/>
    <n v="0.79269417475728277"/>
  </r>
  <r>
    <s v="FL250719"/>
    <s v="Kathy Grimes"/>
    <x v="0"/>
    <n v="27"/>
    <x v="11"/>
    <x v="9"/>
    <x v="1"/>
    <x v="17"/>
    <x v="1"/>
    <n v="1.6"/>
    <s v="Yes"/>
    <n v="0.79269417475728277"/>
  </r>
  <r>
    <s v="FL250720"/>
    <s v="David Cherry"/>
    <x v="1"/>
    <n v="50"/>
    <x v="9"/>
    <x v="7"/>
    <x v="5"/>
    <x v="15"/>
    <x v="0"/>
    <n v="0"/>
    <s v="Yes"/>
    <n v="0.79269417475728277"/>
  </r>
  <r>
    <s v="FL250721"/>
    <s v="Rachel Rogers"/>
    <x v="0"/>
    <n v="52"/>
    <x v="12"/>
    <x v="10"/>
    <x v="6"/>
    <x v="31"/>
    <x v="4"/>
    <n v="2.5125695216907653"/>
    <s v="No"/>
    <n v="0.94"/>
  </r>
  <r>
    <s v="FL250722"/>
    <s v="Travis Braun"/>
    <x v="1"/>
    <n v="57"/>
    <x v="20"/>
    <x v="6"/>
    <x v="0"/>
    <x v="0"/>
    <x v="5"/>
    <n v="4.9000000000000004"/>
    <s v="Yes"/>
    <n v="0.79269417475728277"/>
  </r>
  <r>
    <s v="FL250723"/>
    <s v="Shawna Palmer"/>
    <x v="0"/>
    <n v="53"/>
    <x v="19"/>
    <x v="6"/>
    <x v="8"/>
    <x v="17"/>
    <x v="5"/>
    <n v="2.8"/>
    <s v="Yes"/>
    <n v="0.79269417475728277"/>
  </r>
  <r>
    <s v="FL250724"/>
    <s v="Bradley Gaines"/>
    <x v="1"/>
    <n v="51"/>
    <x v="6"/>
    <x v="5"/>
    <x v="6"/>
    <x v="0"/>
    <x v="3"/>
    <n v="3.6"/>
    <s v="Yes"/>
    <n v="0.77"/>
  </r>
  <r>
    <s v="FL250725"/>
    <s v="April Ford"/>
    <x v="0"/>
    <n v="37"/>
    <x v="14"/>
    <x v="1"/>
    <x v="7"/>
    <x v="14"/>
    <x v="1"/>
    <n v="2.5125695216907653"/>
    <s v="Yes"/>
    <n v="0.84"/>
  </r>
  <r>
    <s v="FL250726"/>
    <s v="James Gonzalez"/>
    <x v="1"/>
    <n v="40"/>
    <x v="20"/>
    <x v="6"/>
    <x v="3"/>
    <x v="23"/>
    <x v="2"/>
    <n v="4.5"/>
    <s v="No"/>
    <n v="0.79"/>
  </r>
  <r>
    <s v="FL250727"/>
    <s v="John Castillo"/>
    <x v="1"/>
    <n v="60"/>
    <x v="9"/>
    <x v="7"/>
    <x v="5"/>
    <x v="38"/>
    <x v="2"/>
    <n v="3.1"/>
    <s v="No"/>
    <n v="0.69"/>
  </r>
  <r>
    <s v="FL250728"/>
    <s v="Ian Hayes"/>
    <x v="1"/>
    <n v="60"/>
    <x v="15"/>
    <x v="12"/>
    <x v="6"/>
    <x v="12"/>
    <x v="2"/>
    <n v="4.9000000000000004"/>
    <s v="Yes"/>
    <n v="0.68"/>
  </r>
  <r>
    <s v="FL250729"/>
    <s v="Christine Castro"/>
    <x v="0"/>
    <n v="53"/>
    <x v="12"/>
    <x v="10"/>
    <x v="6"/>
    <x v="16"/>
    <x v="3"/>
    <n v="4.2"/>
    <s v="Yes"/>
    <n v="0.73"/>
  </r>
  <r>
    <s v="FL250730"/>
    <s v="Jessica Chaney"/>
    <x v="0"/>
    <n v="20"/>
    <x v="19"/>
    <x v="6"/>
    <x v="0"/>
    <x v="12"/>
    <x v="4"/>
    <n v="3.2"/>
    <s v="Yes"/>
    <n v="0.74"/>
  </r>
  <r>
    <s v="FL250731"/>
    <s v="John Gray"/>
    <x v="1"/>
    <n v="42"/>
    <x v="13"/>
    <x v="11"/>
    <x v="3"/>
    <x v="23"/>
    <x v="5"/>
    <n v="2.5125695216907653"/>
    <s v="No"/>
    <n v="1"/>
  </r>
  <r>
    <s v="FL250732"/>
    <s v="Shane Booker"/>
    <x v="1"/>
    <n v="21"/>
    <x v="7"/>
    <x v="1"/>
    <x v="1"/>
    <x v="15"/>
    <x v="2"/>
    <n v="0"/>
    <s v="No"/>
    <n v="0.87"/>
  </r>
  <r>
    <s v="FL250733"/>
    <s v="Kyle Hall"/>
    <x v="1"/>
    <n v="39"/>
    <x v="2"/>
    <x v="2"/>
    <x v="3"/>
    <x v="16"/>
    <x v="0"/>
    <n v="2.2000000000000002"/>
    <s v="No"/>
    <n v="0.79"/>
  </r>
  <r>
    <s v="FL250734"/>
    <s v="Ronald Munoz"/>
    <x v="1"/>
    <n v="32"/>
    <x v="10"/>
    <x v="8"/>
    <x v="0"/>
    <x v="14"/>
    <x v="3"/>
    <n v="1.5"/>
    <s v="No"/>
    <n v="0.68"/>
  </r>
  <r>
    <s v="FL250735"/>
    <s v="Christopher Long"/>
    <x v="1"/>
    <n v="35"/>
    <x v="2"/>
    <x v="2"/>
    <x v="5"/>
    <x v="14"/>
    <x v="0"/>
    <n v="2.5125695216907653"/>
    <s v="No"/>
    <n v="0.84"/>
  </r>
  <r>
    <s v="FL250736"/>
    <s v="Sandra Ali"/>
    <x v="0"/>
    <n v="35"/>
    <x v="15"/>
    <x v="12"/>
    <x v="6"/>
    <x v="8"/>
    <x v="1"/>
    <n v="3.1"/>
    <s v="No"/>
    <n v="0.71"/>
  </r>
  <r>
    <s v="FL250737"/>
    <s v="Jessica Garza"/>
    <x v="0"/>
    <n v="23"/>
    <x v="8"/>
    <x v="6"/>
    <x v="6"/>
    <x v="12"/>
    <x v="4"/>
    <n v="0"/>
    <s v="No"/>
    <n v="0.92"/>
  </r>
  <r>
    <s v="FL250738"/>
    <s v="Gregory Waters"/>
    <x v="1"/>
    <n v="26"/>
    <x v="3"/>
    <x v="3"/>
    <x v="4"/>
    <x v="21"/>
    <x v="0"/>
    <n v="2.5125695216907653"/>
    <s v="No"/>
    <n v="0.69"/>
  </r>
  <r>
    <s v="FL250739"/>
    <s v="Misty Adams"/>
    <x v="0"/>
    <n v="34"/>
    <x v="14"/>
    <x v="1"/>
    <x v="9"/>
    <x v="15"/>
    <x v="2"/>
    <n v="0"/>
    <s v="Yes"/>
    <n v="0.71"/>
  </r>
  <r>
    <s v="FL250740"/>
    <s v="Megan Brown"/>
    <x v="0"/>
    <n v="34"/>
    <x v="2"/>
    <x v="2"/>
    <x v="0"/>
    <x v="15"/>
    <x v="2"/>
    <n v="2.5125695216907653"/>
    <s v="No"/>
    <n v="0.77"/>
  </r>
  <r>
    <s v="FL250741"/>
    <s v="Gregory Brown"/>
    <x v="1"/>
    <n v="57"/>
    <x v="0"/>
    <x v="0"/>
    <x v="3"/>
    <x v="2"/>
    <x v="1"/>
    <n v="3"/>
    <s v="Yes"/>
    <n v="0.87"/>
  </r>
  <r>
    <s v="FL250742"/>
    <s v="Scott Alexander "/>
    <x v="1"/>
    <n v="46"/>
    <x v="14"/>
    <x v="1"/>
    <x v="3"/>
    <x v="30"/>
    <x v="3"/>
    <n v="2.6"/>
    <s v="No"/>
    <n v="0.76"/>
  </r>
  <r>
    <s v="FL250743"/>
    <s v="Eric Nguyen"/>
    <x v="1"/>
    <n v="55"/>
    <x v="10"/>
    <x v="8"/>
    <x v="4"/>
    <x v="39"/>
    <x v="4"/>
    <n v="4.0999999999999996"/>
    <s v="No"/>
    <n v="0.79269417475728277"/>
  </r>
  <r>
    <s v="FL250744"/>
    <s v="Wendy Boyer"/>
    <x v="0"/>
    <n v="32"/>
    <x v="1"/>
    <x v="1"/>
    <x v="8"/>
    <x v="6"/>
    <x v="1"/>
    <n v="1.5"/>
    <s v="No"/>
    <n v="0.65"/>
  </r>
  <r>
    <s v="FL250745"/>
    <s v="Mark Clark"/>
    <x v="1"/>
    <n v="53"/>
    <x v="4"/>
    <x v="4"/>
    <x v="4"/>
    <x v="20"/>
    <x v="1"/>
    <n v="2.9"/>
    <s v="Yes"/>
    <n v="0.82"/>
  </r>
  <r>
    <s v="FL250746"/>
    <s v="Carl Kline"/>
    <x v="1"/>
    <n v="59"/>
    <x v="19"/>
    <x v="6"/>
    <x v="4"/>
    <x v="12"/>
    <x v="0"/>
    <n v="0"/>
    <s v="Yes"/>
    <n v="0.87"/>
  </r>
  <r>
    <s v="FL250747"/>
    <s v="Linda Williams"/>
    <x v="0"/>
    <n v="44"/>
    <x v="3"/>
    <x v="3"/>
    <x v="9"/>
    <x v="18"/>
    <x v="2"/>
    <n v="4.9000000000000004"/>
    <s v="No"/>
    <n v="1"/>
  </r>
  <r>
    <s v="FL250748"/>
    <s v="Jason Edwards"/>
    <x v="1"/>
    <n v="35"/>
    <x v="16"/>
    <x v="13"/>
    <x v="0"/>
    <x v="14"/>
    <x v="1"/>
    <n v="3"/>
    <s v="No"/>
    <n v="0.71"/>
  </r>
  <r>
    <s v="FL250749"/>
    <s v="Madison Mcintosh"/>
    <x v="0"/>
    <n v="42"/>
    <x v="18"/>
    <x v="15"/>
    <x v="9"/>
    <x v="30"/>
    <x v="3"/>
    <n v="4.9000000000000004"/>
    <s v="Yes"/>
    <n v="0.87"/>
  </r>
  <r>
    <s v="FL250750"/>
    <s v="Desiree Winters"/>
    <x v="0"/>
    <n v="58"/>
    <x v="12"/>
    <x v="10"/>
    <x v="0"/>
    <x v="12"/>
    <x v="3"/>
    <n v="4.5999999999999996"/>
    <s v="No"/>
    <n v="0.7"/>
  </r>
  <r>
    <s v="FL250751"/>
    <s v="Ryan Taylor"/>
    <x v="1"/>
    <n v="41"/>
    <x v="3"/>
    <x v="3"/>
    <x v="4"/>
    <x v="16"/>
    <x v="0"/>
    <n v="2.2000000000000002"/>
    <s v="Yes"/>
    <n v="0.83"/>
  </r>
  <r>
    <s v="FL250752"/>
    <s v="Patricia Scott"/>
    <x v="0"/>
    <n v="41"/>
    <x v="8"/>
    <x v="6"/>
    <x v="3"/>
    <x v="12"/>
    <x v="2"/>
    <n v="2.5125695216907653"/>
    <s v="Yes"/>
    <n v="0.74"/>
  </r>
  <r>
    <s v="FL250753"/>
    <s v="Erin Jimenez"/>
    <x v="0"/>
    <n v="23"/>
    <x v="14"/>
    <x v="1"/>
    <x v="0"/>
    <x v="12"/>
    <x v="3"/>
    <n v="1.1000000000000001"/>
    <s v="Yes"/>
    <n v="0.86"/>
  </r>
  <r>
    <s v="FL250754"/>
    <s v="Anthony Krause"/>
    <x v="1"/>
    <n v="51"/>
    <x v="18"/>
    <x v="15"/>
    <x v="0"/>
    <x v="8"/>
    <x v="2"/>
    <n v="4.5"/>
    <s v="Yes"/>
    <n v="0.72"/>
  </r>
  <r>
    <s v="FL250755"/>
    <s v="Diane Dean"/>
    <x v="0"/>
    <n v="42"/>
    <x v="15"/>
    <x v="12"/>
    <x v="4"/>
    <x v="16"/>
    <x v="2"/>
    <n v="2.5"/>
    <s v="Yes"/>
    <n v="0.73"/>
  </r>
  <r>
    <s v="FL250756"/>
    <s v="Stuart Mckinney"/>
    <x v="1"/>
    <n v="26"/>
    <x v="9"/>
    <x v="7"/>
    <x v="5"/>
    <x v="23"/>
    <x v="4"/>
    <n v="2.9"/>
    <s v="No"/>
    <n v="0.78"/>
  </r>
  <r>
    <s v="FL250757"/>
    <s v="Kellie Le"/>
    <x v="0"/>
    <n v="49"/>
    <x v="4"/>
    <x v="4"/>
    <x v="4"/>
    <x v="7"/>
    <x v="4"/>
    <n v="0"/>
    <s v="Yes"/>
    <n v="0.79269417475728277"/>
  </r>
  <r>
    <s v="FL250758"/>
    <s v="Lauren Henry"/>
    <x v="0"/>
    <n v="37"/>
    <x v="0"/>
    <x v="0"/>
    <x v="8"/>
    <x v="14"/>
    <x v="4"/>
    <n v="3.5"/>
    <s v="No"/>
    <n v="0.75"/>
  </r>
  <r>
    <s v="FL250759"/>
    <s v="Brandon Fox"/>
    <x v="1"/>
    <n v="31"/>
    <x v="1"/>
    <x v="1"/>
    <x v="4"/>
    <x v="24"/>
    <x v="2"/>
    <n v="4.5"/>
    <s v="No"/>
    <n v="0.96"/>
  </r>
  <r>
    <s v="FL250760"/>
    <s v="Richard Smith"/>
    <x v="1"/>
    <n v="51"/>
    <x v="12"/>
    <x v="10"/>
    <x v="1"/>
    <x v="30"/>
    <x v="2"/>
    <n v="1.7"/>
    <s v="Yes"/>
    <n v="0.61"/>
  </r>
  <r>
    <s v="FL250761"/>
    <s v="John White"/>
    <x v="1"/>
    <n v="60"/>
    <x v="18"/>
    <x v="15"/>
    <x v="8"/>
    <x v="36"/>
    <x v="1"/>
    <n v="4.5999999999999996"/>
    <s v="Yes"/>
    <n v="1"/>
  </r>
  <r>
    <s v="FL250762"/>
    <s v="Gilbert Mcintyre"/>
    <x v="1"/>
    <n v="51"/>
    <x v="14"/>
    <x v="1"/>
    <x v="0"/>
    <x v="18"/>
    <x v="1"/>
    <n v="2.5125695216907653"/>
    <s v="Yes"/>
    <n v="0.82"/>
  </r>
  <r>
    <s v="FL250763"/>
    <s v="Christopher Sparks"/>
    <x v="1"/>
    <n v="37"/>
    <x v="2"/>
    <x v="2"/>
    <x v="2"/>
    <x v="28"/>
    <x v="2"/>
    <n v="4.9000000000000004"/>
    <s v="Yes"/>
    <n v="0.8"/>
  </r>
  <r>
    <s v="FL250764"/>
    <s v="Aaron Hicks"/>
    <x v="1"/>
    <n v="52"/>
    <x v="10"/>
    <x v="8"/>
    <x v="0"/>
    <x v="23"/>
    <x v="2"/>
    <n v="2.2000000000000002"/>
    <s v="No"/>
    <n v="0.96"/>
  </r>
  <r>
    <s v="FL250765"/>
    <s v="Jose Patterson"/>
    <x v="1"/>
    <n v="27"/>
    <x v="4"/>
    <x v="4"/>
    <x v="0"/>
    <x v="3"/>
    <x v="5"/>
    <n v="2.5125695216907653"/>
    <s v="No"/>
    <n v="0.63"/>
  </r>
  <r>
    <s v="FL250766"/>
    <s v="Bryan Long"/>
    <x v="1"/>
    <n v="48"/>
    <x v="1"/>
    <x v="1"/>
    <x v="2"/>
    <x v="38"/>
    <x v="2"/>
    <n v="2.2000000000000002"/>
    <s v="No"/>
    <n v="0.67"/>
  </r>
  <r>
    <s v="FL250767"/>
    <s v="Tammy Gomez"/>
    <x v="0"/>
    <n v="22"/>
    <x v="9"/>
    <x v="7"/>
    <x v="5"/>
    <x v="24"/>
    <x v="3"/>
    <n v="3.3"/>
    <s v="Yes"/>
    <n v="0.61"/>
  </r>
  <r>
    <s v="FL250768"/>
    <s v="Diana Raymond"/>
    <x v="0"/>
    <n v="48"/>
    <x v="2"/>
    <x v="2"/>
    <x v="1"/>
    <x v="20"/>
    <x v="3"/>
    <n v="4.9000000000000004"/>
    <s v="No"/>
    <n v="0.77"/>
  </r>
  <r>
    <s v="FL250769"/>
    <s v="Jessica Armstrong"/>
    <x v="0"/>
    <n v="54"/>
    <x v="5"/>
    <x v="1"/>
    <x v="1"/>
    <x v="18"/>
    <x v="4"/>
    <n v="0"/>
    <s v="No"/>
    <n v="0.79269417475728277"/>
  </r>
  <r>
    <s v="FL250770"/>
    <s v="Amanda Martin"/>
    <x v="0"/>
    <n v="52"/>
    <x v="12"/>
    <x v="10"/>
    <x v="5"/>
    <x v="3"/>
    <x v="1"/>
    <n v="2.5125695216907653"/>
    <s v="No"/>
    <n v="0.84"/>
  </r>
  <r>
    <s v="FL250771"/>
    <s v="Anne Hamilton"/>
    <x v="0"/>
    <n v="39"/>
    <x v="6"/>
    <x v="5"/>
    <x v="3"/>
    <x v="11"/>
    <x v="0"/>
    <n v="2.5125695216907653"/>
    <s v="Yes"/>
    <n v="0.89"/>
  </r>
  <r>
    <s v="FL250772"/>
    <s v="Heather Curtis"/>
    <x v="0"/>
    <n v="54"/>
    <x v="13"/>
    <x v="11"/>
    <x v="1"/>
    <x v="18"/>
    <x v="3"/>
    <n v="4"/>
    <s v="No"/>
    <n v="0.9"/>
  </r>
  <r>
    <s v="FL250773"/>
    <s v="Tiffany Moses"/>
    <x v="0"/>
    <n v="22"/>
    <x v="5"/>
    <x v="1"/>
    <x v="7"/>
    <x v="24"/>
    <x v="5"/>
    <n v="4.8"/>
    <s v="No"/>
    <n v="0.87"/>
  </r>
  <r>
    <s v="FL250774"/>
    <s v="Jacqueline Moon"/>
    <x v="0"/>
    <n v="29"/>
    <x v="17"/>
    <x v="14"/>
    <x v="1"/>
    <x v="17"/>
    <x v="1"/>
    <n v="0"/>
    <s v="No"/>
    <n v="0.77"/>
  </r>
  <r>
    <s v="FL250775"/>
    <s v="James Campbell"/>
    <x v="1"/>
    <n v="23"/>
    <x v="20"/>
    <x v="6"/>
    <x v="8"/>
    <x v="15"/>
    <x v="3"/>
    <n v="1.6"/>
    <s v="Yes"/>
    <n v="0.72"/>
  </r>
  <r>
    <s v="FL250776"/>
    <s v="Melissa Vasquez"/>
    <x v="0"/>
    <n v="58"/>
    <x v="19"/>
    <x v="6"/>
    <x v="8"/>
    <x v="31"/>
    <x v="1"/>
    <n v="1.3"/>
    <s v="Yes"/>
    <n v="0.87"/>
  </r>
  <r>
    <s v="FL250777"/>
    <s v="Katherine Carlson"/>
    <x v="0"/>
    <n v="56"/>
    <x v="18"/>
    <x v="15"/>
    <x v="0"/>
    <x v="15"/>
    <x v="2"/>
    <n v="4.0999999999999996"/>
    <s v="Yes"/>
    <n v="0.89"/>
  </r>
  <r>
    <s v="FL250778"/>
    <s v="Adam Clay"/>
    <x v="1"/>
    <n v="48"/>
    <x v="6"/>
    <x v="5"/>
    <x v="3"/>
    <x v="18"/>
    <x v="2"/>
    <n v="1.5"/>
    <s v="No"/>
    <n v="0.87"/>
  </r>
  <r>
    <s v="FL250779"/>
    <s v="Amy Combs"/>
    <x v="0"/>
    <n v="31"/>
    <x v="13"/>
    <x v="11"/>
    <x v="1"/>
    <x v="0"/>
    <x v="2"/>
    <n v="4.3"/>
    <s v="Yes"/>
    <n v="0.76"/>
  </r>
  <r>
    <s v="FL250780"/>
    <s v="Anthony Case"/>
    <x v="1"/>
    <n v="44"/>
    <x v="1"/>
    <x v="1"/>
    <x v="9"/>
    <x v="37"/>
    <x v="1"/>
    <n v="1.6"/>
    <s v="No"/>
    <n v="1"/>
  </r>
  <r>
    <s v="FL250781"/>
    <s v="Kimberly Brown"/>
    <x v="0"/>
    <n v="42"/>
    <x v="16"/>
    <x v="13"/>
    <x v="1"/>
    <x v="6"/>
    <x v="0"/>
    <n v="3.7"/>
    <s v="Yes"/>
    <n v="0.94"/>
  </r>
  <r>
    <s v="FL250782"/>
    <s v="Joshua Holloway"/>
    <x v="1"/>
    <n v="59"/>
    <x v="5"/>
    <x v="1"/>
    <x v="7"/>
    <x v="8"/>
    <x v="1"/>
    <n v="1.4"/>
    <s v="Yes"/>
    <n v="0.79269417475728277"/>
  </r>
  <r>
    <s v="FL250783"/>
    <s v="Cynthia Walton"/>
    <x v="0"/>
    <n v="41"/>
    <x v="8"/>
    <x v="6"/>
    <x v="0"/>
    <x v="14"/>
    <x v="0"/>
    <n v="4.5"/>
    <s v="Yes"/>
    <n v="0.83"/>
  </r>
  <r>
    <s v="FL250784"/>
    <s v="Shawn Delgado"/>
    <x v="1"/>
    <n v="21"/>
    <x v="18"/>
    <x v="15"/>
    <x v="5"/>
    <x v="12"/>
    <x v="2"/>
    <n v="3.7"/>
    <s v="No"/>
    <n v="0.74"/>
  </r>
  <r>
    <s v="FL250785"/>
    <s v="Jeremy Smith"/>
    <x v="1"/>
    <n v="53"/>
    <x v="7"/>
    <x v="1"/>
    <x v="8"/>
    <x v="30"/>
    <x v="4"/>
    <n v="1.1000000000000001"/>
    <s v="No"/>
    <n v="0.92"/>
  </r>
  <r>
    <s v="FL250786"/>
    <s v="Marc Ortiz"/>
    <x v="1"/>
    <n v="35"/>
    <x v="8"/>
    <x v="6"/>
    <x v="1"/>
    <x v="9"/>
    <x v="2"/>
    <n v="3.7"/>
    <s v="No"/>
    <n v="0.66"/>
  </r>
  <r>
    <s v="FL250787"/>
    <s v="Michelle Gregory"/>
    <x v="0"/>
    <n v="25"/>
    <x v="11"/>
    <x v="9"/>
    <x v="9"/>
    <x v="15"/>
    <x v="1"/>
    <n v="3.2"/>
    <s v="Yes"/>
    <n v="0.74"/>
  </r>
  <r>
    <s v="FL250788"/>
    <s v="Melanie Gay"/>
    <x v="0"/>
    <n v="23"/>
    <x v="0"/>
    <x v="0"/>
    <x v="6"/>
    <x v="24"/>
    <x v="3"/>
    <n v="5"/>
    <s v="No"/>
    <n v="0.97"/>
  </r>
  <r>
    <s v="FL250789"/>
    <s v="Brittany Lambert"/>
    <x v="0"/>
    <n v="56"/>
    <x v="16"/>
    <x v="13"/>
    <x v="2"/>
    <x v="13"/>
    <x v="3"/>
    <n v="0"/>
    <s v="No"/>
    <n v="0.77"/>
  </r>
  <r>
    <s v="FL250790"/>
    <s v="Mary Hernandez"/>
    <x v="0"/>
    <n v="31"/>
    <x v="19"/>
    <x v="6"/>
    <x v="6"/>
    <x v="21"/>
    <x v="2"/>
    <n v="3.5"/>
    <s v="No"/>
    <n v="0.86"/>
  </r>
  <r>
    <s v="FL250791"/>
    <s v="Jonathan Jones"/>
    <x v="1"/>
    <n v="24"/>
    <x v="5"/>
    <x v="1"/>
    <x v="7"/>
    <x v="3"/>
    <x v="1"/>
    <n v="3.1"/>
    <s v="No"/>
    <n v="0.95"/>
  </r>
  <r>
    <s v="FL250792"/>
    <s v="Gina Williams"/>
    <x v="0"/>
    <n v="35"/>
    <x v="11"/>
    <x v="9"/>
    <x v="7"/>
    <x v="23"/>
    <x v="2"/>
    <n v="3.9"/>
    <s v="No"/>
    <n v="0.72"/>
  </r>
  <r>
    <s v="FL250793"/>
    <s v="Kelly Lawson"/>
    <x v="0"/>
    <n v="20"/>
    <x v="20"/>
    <x v="6"/>
    <x v="4"/>
    <x v="24"/>
    <x v="2"/>
    <n v="3.5"/>
    <s v="No"/>
    <n v="0.71"/>
  </r>
  <r>
    <s v="FL250794"/>
    <s v="Keith Smith"/>
    <x v="1"/>
    <n v="26"/>
    <x v="1"/>
    <x v="1"/>
    <x v="5"/>
    <x v="30"/>
    <x v="0"/>
    <n v="2.5"/>
    <s v="Yes"/>
    <n v="0.93"/>
  </r>
  <r>
    <s v="FL250795"/>
    <s v="Christopher Hunter"/>
    <x v="1"/>
    <n v="54"/>
    <x v="7"/>
    <x v="1"/>
    <x v="8"/>
    <x v="35"/>
    <x v="2"/>
    <n v="3.1"/>
    <s v="Yes"/>
    <n v="0.79269417475728277"/>
  </r>
  <r>
    <s v="FL250796"/>
    <s v="Dwayne Parks"/>
    <x v="1"/>
    <n v="53"/>
    <x v="13"/>
    <x v="11"/>
    <x v="7"/>
    <x v="28"/>
    <x v="0"/>
    <n v="4.7"/>
    <s v="Yes"/>
    <n v="0.87"/>
  </r>
  <r>
    <s v="FL250797"/>
    <s v="Mary Hall"/>
    <x v="0"/>
    <n v="33"/>
    <x v="14"/>
    <x v="1"/>
    <x v="8"/>
    <x v="3"/>
    <x v="2"/>
    <n v="1.9"/>
    <s v="No"/>
    <n v="0.73"/>
  </r>
  <r>
    <s v="FL250798"/>
    <s v="Jake Gilmore"/>
    <x v="1"/>
    <n v="43"/>
    <x v="3"/>
    <x v="3"/>
    <x v="3"/>
    <x v="28"/>
    <x v="2"/>
    <n v="1.6"/>
    <s v="Yes"/>
    <n v="0.74"/>
  </r>
  <r>
    <s v="FL250799"/>
    <s v="Mark Lopez"/>
    <x v="1"/>
    <n v="37"/>
    <x v="14"/>
    <x v="1"/>
    <x v="8"/>
    <x v="15"/>
    <x v="5"/>
    <n v="2.5"/>
    <s v="No"/>
    <n v="0.62"/>
  </r>
  <r>
    <s v="FL250800"/>
    <s v="Dana Rice"/>
    <x v="0"/>
    <n v="58"/>
    <x v="15"/>
    <x v="12"/>
    <x v="5"/>
    <x v="9"/>
    <x v="5"/>
    <n v="3.5"/>
    <s v="No"/>
    <n v="0.98"/>
  </r>
  <r>
    <s v="FL250801"/>
    <s v="Beth Young"/>
    <x v="0"/>
    <n v="39"/>
    <x v="20"/>
    <x v="6"/>
    <x v="1"/>
    <x v="9"/>
    <x v="1"/>
    <n v="2.5125695216907653"/>
    <s v="No"/>
    <n v="0.8"/>
  </r>
  <r>
    <s v="FL250802"/>
    <s v="Ryan Powell"/>
    <x v="1"/>
    <n v="43"/>
    <x v="6"/>
    <x v="5"/>
    <x v="2"/>
    <x v="13"/>
    <x v="5"/>
    <n v="1.2"/>
    <s v="Yes"/>
    <n v="0.69"/>
  </r>
  <r>
    <s v="FL250803"/>
    <s v="Amanda Fowler"/>
    <x v="0"/>
    <n v="40"/>
    <x v="20"/>
    <x v="6"/>
    <x v="0"/>
    <x v="11"/>
    <x v="3"/>
    <n v="2.5125695216907653"/>
    <s v="No"/>
    <n v="0.9"/>
  </r>
  <r>
    <s v="FL250804"/>
    <s v="Lindsay Rivera"/>
    <x v="0"/>
    <n v="51"/>
    <x v="7"/>
    <x v="1"/>
    <x v="9"/>
    <x v="31"/>
    <x v="4"/>
    <n v="2.5125695216907653"/>
    <s v="Yes"/>
    <n v="0.74"/>
  </r>
  <r>
    <s v="FL250805"/>
    <s v="Mark Ward"/>
    <x v="1"/>
    <n v="23"/>
    <x v="2"/>
    <x v="2"/>
    <x v="4"/>
    <x v="3"/>
    <x v="1"/>
    <n v="4.5"/>
    <s v="No"/>
    <n v="0.98"/>
  </r>
  <r>
    <s v="FL250806"/>
    <s v="Amanda Smith"/>
    <x v="0"/>
    <n v="31"/>
    <x v="4"/>
    <x v="4"/>
    <x v="2"/>
    <x v="14"/>
    <x v="5"/>
    <n v="2.5125695216907653"/>
    <s v="Yes"/>
    <n v="0.84"/>
  </r>
  <r>
    <s v="FL250807"/>
    <s v="Emily Brown"/>
    <x v="0"/>
    <n v="44"/>
    <x v="13"/>
    <x v="11"/>
    <x v="3"/>
    <x v="15"/>
    <x v="5"/>
    <n v="5"/>
    <s v="Yes"/>
    <n v="0.75"/>
  </r>
  <r>
    <s v="FL250808"/>
    <s v="Dwayne Cardenas"/>
    <x v="1"/>
    <n v="56"/>
    <x v="2"/>
    <x v="2"/>
    <x v="1"/>
    <x v="22"/>
    <x v="4"/>
    <n v="3.9"/>
    <s v="Yes"/>
    <n v="0.79269417475728277"/>
  </r>
  <r>
    <s v="FL250809"/>
    <s v=" Rhonda Hernandez"/>
    <x v="0"/>
    <n v="48"/>
    <x v="1"/>
    <x v="1"/>
    <x v="7"/>
    <x v="30"/>
    <x v="0"/>
    <n v="1.8"/>
    <s v="Yes"/>
    <n v="0.97"/>
  </r>
  <r>
    <s v="FL250810"/>
    <s v="Melody Barker"/>
    <x v="0"/>
    <n v="46"/>
    <x v="13"/>
    <x v="11"/>
    <x v="3"/>
    <x v="20"/>
    <x v="3"/>
    <n v="4.2"/>
    <s v="Yes"/>
    <n v="0.79269417475728277"/>
  </r>
  <r>
    <s v="FL250811"/>
    <s v="Russell Carpenter"/>
    <x v="1"/>
    <n v="21"/>
    <x v="16"/>
    <x v="13"/>
    <x v="4"/>
    <x v="12"/>
    <x v="5"/>
    <n v="2.6"/>
    <s v="No"/>
    <n v="0.64"/>
  </r>
  <r>
    <s v="FL250812"/>
    <s v="Richard Hill"/>
    <x v="1"/>
    <n v="52"/>
    <x v="13"/>
    <x v="11"/>
    <x v="5"/>
    <x v="31"/>
    <x v="3"/>
    <n v="2"/>
    <s v="Yes"/>
    <n v="0.68"/>
  </r>
  <r>
    <s v="FL250813"/>
    <s v="Lindsay Potts"/>
    <x v="0"/>
    <n v="39"/>
    <x v="13"/>
    <x v="11"/>
    <x v="2"/>
    <x v="11"/>
    <x v="4"/>
    <n v="2.7"/>
    <s v="Yes"/>
    <n v="0.67"/>
  </r>
  <r>
    <s v="FL250814"/>
    <s v="Michelle Campbell"/>
    <x v="0"/>
    <n v="31"/>
    <x v="1"/>
    <x v="1"/>
    <x v="1"/>
    <x v="12"/>
    <x v="3"/>
    <n v="2.2999999999999998"/>
    <s v="No"/>
    <n v="0.79"/>
  </r>
  <r>
    <s v="FL250815"/>
    <s v="Alan Williams"/>
    <x v="1"/>
    <n v="22"/>
    <x v="12"/>
    <x v="10"/>
    <x v="6"/>
    <x v="3"/>
    <x v="2"/>
    <n v="3.8"/>
    <s v="Yes"/>
    <n v="1"/>
  </r>
  <r>
    <s v="FL250816"/>
    <s v="Robin Hinton"/>
    <x v="0"/>
    <n v="38"/>
    <x v="7"/>
    <x v="1"/>
    <x v="6"/>
    <x v="6"/>
    <x v="2"/>
    <n v="2.5125695216907653"/>
    <s v="No"/>
    <n v="0.66"/>
  </r>
  <r>
    <s v="FL250817"/>
    <s v="Brian Holland"/>
    <x v="1"/>
    <n v="44"/>
    <x v="8"/>
    <x v="6"/>
    <x v="2"/>
    <x v="38"/>
    <x v="4"/>
    <n v="4.5999999999999996"/>
    <s v="No"/>
    <n v="0.97"/>
  </r>
  <r>
    <s v="FL250818"/>
    <s v="Adam Stone"/>
    <x v="1"/>
    <n v="53"/>
    <x v="4"/>
    <x v="4"/>
    <x v="9"/>
    <x v="16"/>
    <x v="0"/>
    <n v="3.4"/>
    <s v="No"/>
    <n v="0.62"/>
  </r>
  <r>
    <s v="FL250819"/>
    <s v="Curtis Lambert"/>
    <x v="1"/>
    <n v="22"/>
    <x v="18"/>
    <x v="15"/>
    <x v="5"/>
    <x v="32"/>
    <x v="5"/>
    <n v="2.5125695216907653"/>
    <s v="No"/>
    <n v="0.79269417475728277"/>
  </r>
  <r>
    <s v="FL250820"/>
    <s v="Alexandra Sims"/>
    <x v="0"/>
    <n v="40"/>
    <x v="10"/>
    <x v="8"/>
    <x v="0"/>
    <x v="5"/>
    <x v="4"/>
    <n v="0"/>
    <s v="Yes"/>
    <n v="0.79"/>
  </r>
  <r>
    <s v="FL250821"/>
    <s v="Brenda Spencer"/>
    <x v="0"/>
    <n v="49"/>
    <x v="18"/>
    <x v="15"/>
    <x v="1"/>
    <x v="9"/>
    <x v="2"/>
    <n v="3.9"/>
    <s v="No"/>
    <n v="0.86"/>
  </r>
  <r>
    <s v="FL250822"/>
    <s v="Joshua Bush"/>
    <x v="1"/>
    <n v="30"/>
    <x v="1"/>
    <x v="1"/>
    <x v="6"/>
    <x v="0"/>
    <x v="3"/>
    <n v="4.2"/>
    <s v="No"/>
    <n v="0.65"/>
  </r>
  <r>
    <s v="FL250823"/>
    <s v="Erin Martin"/>
    <x v="0"/>
    <n v="37"/>
    <x v="9"/>
    <x v="7"/>
    <x v="4"/>
    <x v="21"/>
    <x v="5"/>
    <n v="2.5125695216907653"/>
    <s v="No"/>
    <n v="0.99"/>
  </r>
  <r>
    <s v="FL250824"/>
    <s v="Alexander Hogan"/>
    <x v="1"/>
    <n v="21"/>
    <x v="16"/>
    <x v="13"/>
    <x v="2"/>
    <x v="32"/>
    <x v="0"/>
    <n v="3.6"/>
    <s v="No"/>
    <n v="0.85"/>
  </r>
  <r>
    <s v="FL250825"/>
    <s v="William Harris"/>
    <x v="1"/>
    <n v="20"/>
    <x v="12"/>
    <x v="10"/>
    <x v="4"/>
    <x v="24"/>
    <x v="1"/>
    <n v="2.5125695216907653"/>
    <s v="Yes"/>
    <n v="0.81"/>
  </r>
  <r>
    <s v="FL250826"/>
    <s v="Michael Mcmahon"/>
    <x v="1"/>
    <n v="20"/>
    <x v="18"/>
    <x v="15"/>
    <x v="5"/>
    <x v="32"/>
    <x v="2"/>
    <n v="2.1"/>
    <s v="No"/>
    <n v="0.64"/>
  </r>
  <r>
    <s v="FL250827"/>
    <s v="Michael Watson"/>
    <x v="1"/>
    <n v="20"/>
    <x v="8"/>
    <x v="6"/>
    <x v="9"/>
    <x v="32"/>
    <x v="5"/>
    <n v="3.9"/>
    <s v="No"/>
    <n v="0.84"/>
  </r>
  <r>
    <s v="FL250828"/>
    <s v="Lori Perez"/>
    <x v="0"/>
    <n v="26"/>
    <x v="13"/>
    <x v="11"/>
    <x v="9"/>
    <x v="32"/>
    <x v="2"/>
    <n v="0"/>
    <s v="No"/>
    <n v="0.66"/>
  </r>
  <r>
    <s v="FL250829"/>
    <s v="Lindsay Le"/>
    <x v="0"/>
    <n v="50"/>
    <x v="12"/>
    <x v="10"/>
    <x v="3"/>
    <x v="28"/>
    <x v="4"/>
    <n v="0"/>
    <s v="No"/>
    <n v="0.75"/>
  </r>
  <r>
    <s v="FL250830"/>
    <s v="Scott Long"/>
    <x v="1"/>
    <n v="50"/>
    <x v="20"/>
    <x v="6"/>
    <x v="4"/>
    <x v="20"/>
    <x v="3"/>
    <n v="1.8"/>
    <s v="No"/>
    <n v="0.79269417475728277"/>
  </r>
  <r>
    <s v="FL250831"/>
    <s v="Diana Ferguson"/>
    <x v="0"/>
    <n v="54"/>
    <x v="4"/>
    <x v="4"/>
    <x v="4"/>
    <x v="3"/>
    <x v="5"/>
    <n v="1.1000000000000001"/>
    <s v="Yes"/>
    <n v="0.63"/>
  </r>
  <r>
    <s v="FL250832"/>
    <s v="Joseph Miller"/>
    <x v="1"/>
    <n v="54"/>
    <x v="20"/>
    <x v="6"/>
    <x v="0"/>
    <x v="15"/>
    <x v="5"/>
    <n v="1.6"/>
    <s v="Yes"/>
    <n v="0.7"/>
  </r>
  <r>
    <s v="FL250833"/>
    <s v="Julia Reid"/>
    <x v="0"/>
    <n v="34"/>
    <x v="16"/>
    <x v="13"/>
    <x v="9"/>
    <x v="3"/>
    <x v="3"/>
    <n v="3.1"/>
    <s v="No"/>
    <n v="0.9"/>
  </r>
  <r>
    <s v="FL250834"/>
    <s v="Samantha Matthews"/>
    <x v="0"/>
    <n v="20"/>
    <x v="0"/>
    <x v="0"/>
    <x v="8"/>
    <x v="24"/>
    <x v="1"/>
    <n v="3.4"/>
    <s v="Yes"/>
    <n v="0.79"/>
  </r>
  <r>
    <s v="FL250835"/>
    <s v="Brian Bailey"/>
    <x v="1"/>
    <n v="29"/>
    <x v="2"/>
    <x v="2"/>
    <x v="4"/>
    <x v="17"/>
    <x v="2"/>
    <n v="3.1"/>
    <s v="No"/>
    <n v="0.6"/>
  </r>
  <r>
    <s v="FL250836"/>
    <s v="Toni Hinton"/>
    <x v="0"/>
    <n v="57"/>
    <x v="7"/>
    <x v="1"/>
    <x v="8"/>
    <x v="0"/>
    <x v="4"/>
    <n v="2.2999999999999998"/>
    <s v="No"/>
    <n v="0.79269417475728277"/>
  </r>
  <r>
    <s v="FL250837"/>
    <s v="Robin Ortiz"/>
    <x v="0"/>
    <n v="36"/>
    <x v="3"/>
    <x v="3"/>
    <x v="4"/>
    <x v="17"/>
    <x v="2"/>
    <n v="2.5125695216907653"/>
    <s v="No"/>
    <n v="0.8"/>
  </r>
  <r>
    <s v="FL250838"/>
    <s v="Adam Griffith"/>
    <x v="1"/>
    <n v="51"/>
    <x v="12"/>
    <x v="10"/>
    <x v="3"/>
    <x v="19"/>
    <x v="1"/>
    <n v="3.2"/>
    <s v="No"/>
    <n v="0.88"/>
  </r>
  <r>
    <s v="FL250839"/>
    <s v="Daniel Roberson"/>
    <x v="1"/>
    <n v="44"/>
    <x v="10"/>
    <x v="8"/>
    <x v="6"/>
    <x v="3"/>
    <x v="3"/>
    <n v="0"/>
    <s v="No"/>
    <n v="0.8"/>
  </r>
  <r>
    <s v="FL250840"/>
    <s v="Dale Haynes"/>
    <x v="1"/>
    <n v="58"/>
    <x v="20"/>
    <x v="6"/>
    <x v="7"/>
    <x v="25"/>
    <x v="3"/>
    <n v="3.3"/>
    <s v="Yes"/>
    <n v="0.71"/>
  </r>
  <r>
    <s v="FL250841"/>
    <s v="Emily Scott"/>
    <x v="0"/>
    <n v="38"/>
    <x v="17"/>
    <x v="14"/>
    <x v="1"/>
    <x v="5"/>
    <x v="2"/>
    <n v="1.1000000000000001"/>
    <s v="Yes"/>
    <n v="0.76"/>
  </r>
  <r>
    <s v="FL250842"/>
    <s v="David Brown"/>
    <x v="1"/>
    <n v="24"/>
    <x v="5"/>
    <x v="1"/>
    <x v="6"/>
    <x v="21"/>
    <x v="3"/>
    <n v="4.5999999999999996"/>
    <s v="Yes"/>
    <n v="0.93"/>
  </r>
  <r>
    <s v="FL250843"/>
    <s v="Stephanie Guzman"/>
    <x v="0"/>
    <n v="30"/>
    <x v="6"/>
    <x v="5"/>
    <x v="0"/>
    <x v="30"/>
    <x v="3"/>
    <n v="2.5125695216907653"/>
    <s v="No"/>
    <n v="0.79269417475728277"/>
  </r>
  <r>
    <s v="FL250844"/>
    <s v="Maxwell Johnson"/>
    <x v="1"/>
    <n v="25"/>
    <x v="4"/>
    <x v="4"/>
    <x v="7"/>
    <x v="15"/>
    <x v="4"/>
    <n v="2.5125695216907653"/>
    <s v="No"/>
    <n v="0.83"/>
  </r>
  <r>
    <s v="FL250845"/>
    <s v="Reginald Stephens"/>
    <x v="1"/>
    <n v="54"/>
    <x v="4"/>
    <x v="4"/>
    <x v="1"/>
    <x v="8"/>
    <x v="0"/>
    <n v="0"/>
    <s v="No"/>
    <n v="0.71"/>
  </r>
  <r>
    <s v="FL250846"/>
    <s v="Justin Jones"/>
    <x v="1"/>
    <n v="54"/>
    <x v="0"/>
    <x v="0"/>
    <x v="7"/>
    <x v="14"/>
    <x v="5"/>
    <n v="0"/>
    <s v="Yes"/>
    <n v="0.96"/>
  </r>
  <r>
    <s v="FL250847"/>
    <s v="Kristine Garcia"/>
    <x v="0"/>
    <n v="53"/>
    <x v="15"/>
    <x v="12"/>
    <x v="2"/>
    <x v="26"/>
    <x v="2"/>
    <n v="0"/>
    <s v="No"/>
    <n v="0.79269417475728277"/>
  </r>
  <r>
    <s v="FL250848"/>
    <s v="John Nguyen"/>
    <x v="1"/>
    <n v="22"/>
    <x v="13"/>
    <x v="11"/>
    <x v="4"/>
    <x v="15"/>
    <x v="4"/>
    <n v="3.4"/>
    <s v="Yes"/>
    <n v="0.65"/>
  </r>
  <r>
    <s v="FL250849"/>
    <s v="Anna Fleming"/>
    <x v="0"/>
    <n v="23"/>
    <x v="19"/>
    <x v="6"/>
    <x v="5"/>
    <x v="32"/>
    <x v="5"/>
    <n v="1.3"/>
    <s v="No"/>
    <n v="0.79269417475728277"/>
  </r>
  <r>
    <s v="FL250850"/>
    <s v="Linda Williamson"/>
    <x v="0"/>
    <n v="47"/>
    <x v="15"/>
    <x v="12"/>
    <x v="7"/>
    <x v="26"/>
    <x v="1"/>
    <n v="1.9"/>
    <s v="No"/>
    <n v="0.71"/>
  </r>
  <r>
    <s v="FL250851"/>
    <s v="Roy Wilson"/>
    <x v="1"/>
    <n v="24"/>
    <x v="15"/>
    <x v="12"/>
    <x v="3"/>
    <x v="21"/>
    <x v="1"/>
    <n v="1.4"/>
    <s v="Yes"/>
    <n v="0.63"/>
  </r>
  <r>
    <s v="FL250852"/>
    <s v="Jennifer Pierce"/>
    <x v="0"/>
    <n v="57"/>
    <x v="10"/>
    <x v="8"/>
    <x v="6"/>
    <x v="6"/>
    <x v="0"/>
    <n v="4.3"/>
    <s v="No"/>
    <n v="0.79269417475728277"/>
  </r>
  <r>
    <s v="FL250853"/>
    <s v="Jason Johnson"/>
    <x v="1"/>
    <n v="48"/>
    <x v="20"/>
    <x v="6"/>
    <x v="2"/>
    <x v="26"/>
    <x v="3"/>
    <n v="2.5125695216907653"/>
    <s v="No"/>
    <n v="0.97"/>
  </r>
  <r>
    <s v="FL250854"/>
    <s v="Jasmine Lane"/>
    <x v="0"/>
    <n v="21"/>
    <x v="6"/>
    <x v="5"/>
    <x v="6"/>
    <x v="12"/>
    <x v="0"/>
    <n v="4.3"/>
    <s v="No"/>
    <n v="0.79269417475728277"/>
  </r>
  <r>
    <s v="FL250855"/>
    <s v="Evan Soto"/>
    <x v="1"/>
    <n v="33"/>
    <x v="9"/>
    <x v="7"/>
    <x v="4"/>
    <x v="13"/>
    <x v="4"/>
    <n v="0"/>
    <s v="Yes"/>
    <n v="0.79269417475728277"/>
  </r>
  <r>
    <s v="FL250856"/>
    <s v="Kevin Serrano"/>
    <x v="1"/>
    <n v="41"/>
    <x v="6"/>
    <x v="5"/>
    <x v="8"/>
    <x v="28"/>
    <x v="2"/>
    <n v="1.3"/>
    <s v="No"/>
    <n v="0.85"/>
  </r>
  <r>
    <s v="FL250857"/>
    <s v="Nathaniel Benson"/>
    <x v="1"/>
    <n v="40"/>
    <x v="1"/>
    <x v="1"/>
    <x v="7"/>
    <x v="13"/>
    <x v="1"/>
    <n v="2.9"/>
    <s v="No"/>
    <n v="0.82"/>
  </r>
  <r>
    <s v="FL250858"/>
    <s v="Deanna Miles"/>
    <x v="0"/>
    <n v="40"/>
    <x v="19"/>
    <x v="6"/>
    <x v="2"/>
    <x v="7"/>
    <x v="2"/>
    <n v="4.3"/>
    <s v="No"/>
    <n v="0.95"/>
  </r>
  <r>
    <s v="FL250859"/>
    <s v="Beverly Roy"/>
    <x v="0"/>
    <n v="20"/>
    <x v="5"/>
    <x v="1"/>
    <x v="2"/>
    <x v="24"/>
    <x v="2"/>
    <n v="2.7"/>
    <s v="No"/>
    <n v="0.94"/>
  </r>
  <r>
    <s v="FL250860"/>
    <s v="Heather Saunders"/>
    <x v="0"/>
    <n v="42"/>
    <x v="19"/>
    <x v="6"/>
    <x v="3"/>
    <x v="14"/>
    <x v="1"/>
    <n v="4.2"/>
    <s v="No"/>
    <n v="0.96"/>
  </r>
  <r>
    <s v="FL250861"/>
    <s v="Nicholas Guerrero"/>
    <x v="1"/>
    <n v="32"/>
    <x v="14"/>
    <x v="1"/>
    <x v="0"/>
    <x v="28"/>
    <x v="2"/>
    <n v="0"/>
    <s v="Yes"/>
    <n v="0.63"/>
  </r>
  <r>
    <s v="FL250862"/>
    <s v="Christopher Johnson"/>
    <x v="1"/>
    <n v="60"/>
    <x v="9"/>
    <x v="7"/>
    <x v="4"/>
    <x v="14"/>
    <x v="5"/>
    <n v="2.2000000000000002"/>
    <s v="No"/>
    <n v="0.6"/>
  </r>
  <r>
    <s v="FL250863"/>
    <s v="Steven Flowers"/>
    <x v="1"/>
    <n v="46"/>
    <x v="16"/>
    <x v="13"/>
    <x v="9"/>
    <x v="28"/>
    <x v="1"/>
    <n v="4.7"/>
    <s v="Yes"/>
    <n v="0.77"/>
  </r>
  <r>
    <s v="FL250864"/>
    <s v="Marvin Woods "/>
    <x v="1"/>
    <n v="29"/>
    <x v="18"/>
    <x v="15"/>
    <x v="8"/>
    <x v="12"/>
    <x v="3"/>
    <n v="0"/>
    <s v="No"/>
    <n v="0.63"/>
  </r>
  <r>
    <s v="FL250865"/>
    <s v="Michelle Cook"/>
    <x v="0"/>
    <n v="39"/>
    <x v="11"/>
    <x v="9"/>
    <x v="1"/>
    <x v="10"/>
    <x v="5"/>
    <n v="2.5"/>
    <s v="Yes"/>
    <n v="0.61"/>
  </r>
  <r>
    <s v="FL250866"/>
    <s v="Logan Zamora"/>
    <x v="1"/>
    <n v="55"/>
    <x v="13"/>
    <x v="11"/>
    <x v="1"/>
    <x v="32"/>
    <x v="1"/>
    <n v="3.9"/>
    <s v="Yes"/>
    <n v="0.88"/>
  </r>
  <r>
    <s v="FL250867"/>
    <s v="Casey Roberts"/>
    <x v="1"/>
    <n v="55"/>
    <x v="6"/>
    <x v="5"/>
    <x v="7"/>
    <x v="14"/>
    <x v="0"/>
    <n v="1.2"/>
    <s v="Yes"/>
    <n v="0.69"/>
  </r>
  <r>
    <s v="FL250868"/>
    <s v="Jerry Price"/>
    <x v="1"/>
    <n v="40"/>
    <x v="4"/>
    <x v="4"/>
    <x v="5"/>
    <x v="32"/>
    <x v="4"/>
    <n v="4.5"/>
    <s v="Yes"/>
    <n v="0.79269417475728277"/>
  </r>
  <r>
    <s v="FL250869"/>
    <s v="Kelly Ellis"/>
    <x v="0"/>
    <n v="56"/>
    <x v="18"/>
    <x v="15"/>
    <x v="6"/>
    <x v="27"/>
    <x v="2"/>
    <n v="2.7"/>
    <s v="Yes"/>
    <n v="0.82"/>
  </r>
  <r>
    <s v="FL250870"/>
    <s v="Caleb Guerra"/>
    <x v="1"/>
    <n v="57"/>
    <x v="19"/>
    <x v="6"/>
    <x v="1"/>
    <x v="16"/>
    <x v="4"/>
    <n v="2"/>
    <s v="No"/>
    <n v="0.96"/>
  </r>
  <r>
    <s v="FL250871"/>
    <s v="Samantha Norman"/>
    <x v="0"/>
    <n v="56"/>
    <x v="13"/>
    <x v="11"/>
    <x v="8"/>
    <x v="15"/>
    <x v="2"/>
    <n v="1.7"/>
    <s v="No"/>
    <n v="0.71"/>
  </r>
  <r>
    <s v="FL250872"/>
    <s v="Sarah Clarke"/>
    <x v="0"/>
    <n v="49"/>
    <x v="2"/>
    <x v="2"/>
    <x v="1"/>
    <x v="38"/>
    <x v="4"/>
    <n v="3"/>
    <s v="Yes"/>
    <n v="0.77"/>
  </r>
  <r>
    <s v="FL250873"/>
    <s v="Aaron Blair"/>
    <x v="1"/>
    <n v="26"/>
    <x v="20"/>
    <x v="6"/>
    <x v="0"/>
    <x v="14"/>
    <x v="4"/>
    <n v="2.1"/>
    <s v="Yes"/>
    <n v="0.79269417475728277"/>
  </r>
  <r>
    <s v="FL250874"/>
    <s v="Courtney Burton"/>
    <x v="0"/>
    <n v="36"/>
    <x v="12"/>
    <x v="10"/>
    <x v="6"/>
    <x v="12"/>
    <x v="4"/>
    <n v="1.5"/>
    <s v="No"/>
    <n v="0.73"/>
  </r>
  <r>
    <s v="FL250875"/>
    <s v="Gerald Taylor"/>
    <x v="1"/>
    <n v="20"/>
    <x v="13"/>
    <x v="11"/>
    <x v="3"/>
    <x v="32"/>
    <x v="3"/>
    <n v="1.7"/>
    <s v="Yes"/>
    <n v="0.6"/>
  </r>
  <r>
    <s v="FL250876"/>
    <s v="Mary Ward"/>
    <x v="0"/>
    <n v="40"/>
    <x v="20"/>
    <x v="6"/>
    <x v="4"/>
    <x v="14"/>
    <x v="2"/>
    <n v="1.2"/>
    <s v="Yes"/>
    <n v="0.67"/>
  </r>
  <r>
    <s v="FL250877"/>
    <s v=" Lisa Beard "/>
    <x v="0"/>
    <n v="30"/>
    <x v="10"/>
    <x v="8"/>
    <x v="1"/>
    <x v="21"/>
    <x v="4"/>
    <n v="0"/>
    <s v="No"/>
    <n v="0.8"/>
  </r>
  <r>
    <s v="FL250878"/>
    <s v="Larry Wallace"/>
    <x v="1"/>
    <n v="51"/>
    <x v="1"/>
    <x v="1"/>
    <x v="2"/>
    <x v="16"/>
    <x v="5"/>
    <n v="2.5125695216907653"/>
    <s v="Yes"/>
    <n v="0.79269417475728277"/>
  </r>
  <r>
    <s v="FL250879"/>
    <s v="Jeremiah Thompson"/>
    <x v="1"/>
    <n v="46"/>
    <x v="5"/>
    <x v="1"/>
    <x v="6"/>
    <x v="38"/>
    <x v="2"/>
    <n v="3.3"/>
    <s v="Yes"/>
    <n v="0.87"/>
  </r>
  <r>
    <s v="FL250880"/>
    <s v=" Jessica Williams "/>
    <x v="0"/>
    <n v="25"/>
    <x v="12"/>
    <x v="10"/>
    <x v="4"/>
    <x v="21"/>
    <x v="5"/>
    <n v="2.1"/>
    <s v="No"/>
    <n v="0.79269417475728277"/>
  </r>
  <r>
    <s v="FL250881"/>
    <s v="Martin Moreno"/>
    <x v="1"/>
    <n v="53"/>
    <x v="3"/>
    <x v="3"/>
    <x v="3"/>
    <x v="19"/>
    <x v="1"/>
    <n v="2.5125695216907653"/>
    <s v="Yes"/>
    <n v="0.79269417475728277"/>
  </r>
  <r>
    <s v="FL250882"/>
    <s v="Yolanda Proctor"/>
    <x v="0"/>
    <n v="50"/>
    <x v="16"/>
    <x v="13"/>
    <x v="1"/>
    <x v="2"/>
    <x v="0"/>
    <n v="2.9"/>
    <s v="Yes"/>
    <n v="0.89"/>
  </r>
  <r>
    <s v="FL250883"/>
    <s v="Allen Turner"/>
    <x v="1"/>
    <n v="45"/>
    <x v="12"/>
    <x v="10"/>
    <x v="4"/>
    <x v="14"/>
    <x v="5"/>
    <n v="3.3"/>
    <s v="Yes"/>
    <n v="0.93"/>
  </r>
  <r>
    <s v="FL250884"/>
    <s v="Beth Huff"/>
    <x v="0"/>
    <n v="48"/>
    <x v="14"/>
    <x v="1"/>
    <x v="7"/>
    <x v="38"/>
    <x v="0"/>
    <n v="4.8"/>
    <s v="Yes"/>
    <n v="0.84"/>
  </r>
  <r>
    <s v="FL250885"/>
    <s v="John Mckinney"/>
    <x v="1"/>
    <n v="30"/>
    <x v="4"/>
    <x v="4"/>
    <x v="8"/>
    <x v="14"/>
    <x v="0"/>
    <n v="4.5"/>
    <s v="No"/>
    <n v="0.78"/>
  </r>
  <r>
    <s v="FL250886"/>
    <s v="Sarah Ho"/>
    <x v="0"/>
    <n v="33"/>
    <x v="3"/>
    <x v="3"/>
    <x v="6"/>
    <x v="21"/>
    <x v="1"/>
    <n v="3.1"/>
    <s v="No"/>
    <n v="0.9"/>
  </r>
  <r>
    <s v="FL250887"/>
    <s v="Lindsey Wang"/>
    <x v="0"/>
    <n v="50"/>
    <x v="7"/>
    <x v="1"/>
    <x v="8"/>
    <x v="0"/>
    <x v="2"/>
    <n v="4.9000000000000004"/>
    <s v="Yes"/>
    <n v="0.88"/>
  </r>
  <r>
    <s v="FL250888"/>
    <s v="Margaret Schwartz"/>
    <x v="0"/>
    <n v="24"/>
    <x v="4"/>
    <x v="4"/>
    <x v="5"/>
    <x v="14"/>
    <x v="5"/>
    <n v="0"/>
    <s v="No"/>
    <n v="0.76"/>
  </r>
  <r>
    <s v="FL250889"/>
    <s v="Kyle Ray"/>
    <x v="1"/>
    <n v="38"/>
    <x v="0"/>
    <x v="0"/>
    <x v="3"/>
    <x v="5"/>
    <x v="4"/>
    <n v="1.5"/>
    <s v="No"/>
    <n v="0.62"/>
  </r>
  <r>
    <s v="FL250890"/>
    <s v="Isaac Hebert"/>
    <x v="1"/>
    <n v="56"/>
    <x v="9"/>
    <x v="7"/>
    <x v="8"/>
    <x v="32"/>
    <x v="4"/>
    <n v="2.4"/>
    <s v="No"/>
    <n v="0.79269417475728277"/>
  </r>
  <r>
    <s v="FL250891"/>
    <s v="Michele Jones"/>
    <x v="0"/>
    <n v="41"/>
    <x v="13"/>
    <x v="11"/>
    <x v="8"/>
    <x v="32"/>
    <x v="0"/>
    <n v="4.5"/>
    <s v="No"/>
    <n v="0.75"/>
  </r>
  <r>
    <s v="FL250892"/>
    <s v="Austin Allen"/>
    <x v="1"/>
    <n v="41"/>
    <x v="0"/>
    <x v="0"/>
    <x v="6"/>
    <x v="0"/>
    <x v="0"/>
    <n v="2.5"/>
    <s v="Yes"/>
    <n v="0.8"/>
  </r>
  <r>
    <s v="FL250893"/>
    <s v="Haley Castro"/>
    <x v="0"/>
    <n v="42"/>
    <x v="2"/>
    <x v="2"/>
    <x v="2"/>
    <x v="13"/>
    <x v="3"/>
    <n v="3.3"/>
    <s v="No"/>
    <n v="0.63"/>
  </r>
  <r>
    <s v="FL250894"/>
    <s v="David Armstrong"/>
    <x v="1"/>
    <n v="26"/>
    <x v="10"/>
    <x v="8"/>
    <x v="0"/>
    <x v="23"/>
    <x v="4"/>
    <n v="3"/>
    <s v="No"/>
    <n v="0.84"/>
  </r>
  <r>
    <s v="FL250895"/>
    <s v="Wendy Mitchell"/>
    <x v="0"/>
    <n v="44"/>
    <x v="14"/>
    <x v="1"/>
    <x v="7"/>
    <x v="33"/>
    <x v="4"/>
    <n v="2.7"/>
    <s v="Yes"/>
    <n v="0.78"/>
  </r>
  <r>
    <s v="FL250896"/>
    <s v="Anthony Hernandez"/>
    <x v="1"/>
    <n v="46"/>
    <x v="14"/>
    <x v="1"/>
    <x v="2"/>
    <x v="11"/>
    <x v="5"/>
    <n v="1.2"/>
    <s v="No"/>
    <n v="0.74"/>
  </r>
  <r>
    <s v="FL250897"/>
    <s v="Erica Johnson"/>
    <x v="0"/>
    <n v="36"/>
    <x v="5"/>
    <x v="1"/>
    <x v="6"/>
    <x v="17"/>
    <x v="1"/>
    <n v="4.3"/>
    <s v="No"/>
    <n v="0.9"/>
  </r>
  <r>
    <s v="FL250898"/>
    <s v="Randall Barrett"/>
    <x v="1"/>
    <n v="26"/>
    <x v="3"/>
    <x v="3"/>
    <x v="4"/>
    <x v="21"/>
    <x v="2"/>
    <n v="1.3"/>
    <s v="No"/>
    <n v="0.79269417475728277"/>
  </r>
  <r>
    <s v="FL250899"/>
    <s v="Nathan Huff"/>
    <x v="1"/>
    <n v="21"/>
    <x v="2"/>
    <x v="2"/>
    <x v="6"/>
    <x v="15"/>
    <x v="1"/>
    <n v="4.5999999999999996"/>
    <s v="Yes"/>
    <n v="0.79269417475728277"/>
  </r>
  <r>
    <s v="FL250900"/>
    <s v="Robin Walsh"/>
    <x v="0"/>
    <n v="39"/>
    <x v="4"/>
    <x v="4"/>
    <x v="6"/>
    <x v="10"/>
    <x v="1"/>
    <n v="2.1"/>
    <s v="No"/>
    <n v="0.75"/>
  </r>
  <r>
    <s v="FL250901"/>
    <s v="Yvonne Robinson"/>
    <x v="0"/>
    <n v="37"/>
    <x v="5"/>
    <x v="1"/>
    <x v="0"/>
    <x v="10"/>
    <x v="2"/>
    <n v="4.5"/>
    <s v="No"/>
    <n v="0.72"/>
  </r>
  <r>
    <s v="FL250902"/>
    <s v="Kathleen Hendrix"/>
    <x v="0"/>
    <n v="47"/>
    <x v="13"/>
    <x v="11"/>
    <x v="6"/>
    <x v="15"/>
    <x v="2"/>
    <n v="4.4000000000000004"/>
    <s v="Yes"/>
    <n v="0.92"/>
  </r>
  <r>
    <s v="FL250903"/>
    <s v="Jennifer Baker"/>
    <x v="0"/>
    <n v="53"/>
    <x v="13"/>
    <x v="11"/>
    <x v="2"/>
    <x v="19"/>
    <x v="5"/>
    <n v="0"/>
    <s v="No"/>
    <n v="0.79269417475728277"/>
  </r>
  <r>
    <s v="FL250904"/>
    <s v="Kim Martinez"/>
    <x v="0"/>
    <n v="53"/>
    <x v="8"/>
    <x v="6"/>
    <x v="1"/>
    <x v="18"/>
    <x v="5"/>
    <n v="1.3"/>
    <s v="No"/>
    <n v="0.79269417475728277"/>
  </r>
  <r>
    <s v="FL250905"/>
    <s v="Andrew Little"/>
    <x v="1"/>
    <n v="21"/>
    <x v="10"/>
    <x v="8"/>
    <x v="5"/>
    <x v="32"/>
    <x v="1"/>
    <n v="2.6"/>
    <s v="No"/>
    <n v="0.86"/>
  </r>
  <r>
    <s v="FL250906"/>
    <s v="Kelly Shelton"/>
    <x v="0"/>
    <n v="35"/>
    <x v="7"/>
    <x v="1"/>
    <x v="0"/>
    <x v="12"/>
    <x v="2"/>
    <n v="2.5125695216907653"/>
    <s v="Yes"/>
    <n v="0.85"/>
  </r>
  <r>
    <s v="FL250907"/>
    <s v="Steven Duncan"/>
    <x v="1"/>
    <n v="31"/>
    <x v="8"/>
    <x v="6"/>
    <x v="9"/>
    <x v="13"/>
    <x v="2"/>
    <n v="1.2"/>
    <s v="No"/>
    <n v="0.62"/>
  </r>
  <r>
    <s v="FL250908"/>
    <s v="Kristen Haney"/>
    <x v="0"/>
    <n v="55"/>
    <x v="12"/>
    <x v="10"/>
    <x v="4"/>
    <x v="32"/>
    <x v="3"/>
    <n v="3.1"/>
    <s v="Yes"/>
    <n v="0.91"/>
  </r>
  <r>
    <s v="FL250909"/>
    <s v="Kathy Reese"/>
    <x v="0"/>
    <n v="59"/>
    <x v="6"/>
    <x v="5"/>
    <x v="3"/>
    <x v="0"/>
    <x v="4"/>
    <n v="2.2999999999999998"/>
    <s v="Yes"/>
    <n v="0.8"/>
  </r>
  <r>
    <s v="FL250910"/>
    <s v="Steven Murphy"/>
    <x v="1"/>
    <n v="59"/>
    <x v="15"/>
    <x v="12"/>
    <x v="7"/>
    <x v="8"/>
    <x v="0"/>
    <n v="4"/>
    <s v="No"/>
    <n v="0.72"/>
  </r>
  <r>
    <s v="FL250911"/>
    <s v="William Hartman"/>
    <x v="1"/>
    <n v="47"/>
    <x v="10"/>
    <x v="8"/>
    <x v="0"/>
    <x v="6"/>
    <x v="4"/>
    <n v="1.9"/>
    <s v="No"/>
    <n v="0.79269417475728277"/>
  </r>
  <r>
    <s v="FL250912"/>
    <s v="Sonya Haley"/>
    <x v="0"/>
    <n v="53"/>
    <x v="17"/>
    <x v="14"/>
    <x v="9"/>
    <x v="37"/>
    <x v="4"/>
    <n v="2.4"/>
    <s v="Yes"/>
    <n v="0.79269417475728277"/>
  </r>
  <r>
    <s v="FL250913"/>
    <s v="Robert Evans"/>
    <x v="1"/>
    <n v="49"/>
    <x v="17"/>
    <x v="14"/>
    <x v="5"/>
    <x v="14"/>
    <x v="3"/>
    <n v="2.5125695216907653"/>
    <s v="Yes"/>
    <n v="0.74"/>
  </r>
  <r>
    <s v="FL250914"/>
    <s v="Patricia Richardson"/>
    <x v="0"/>
    <n v="50"/>
    <x v="17"/>
    <x v="14"/>
    <x v="1"/>
    <x v="17"/>
    <x v="1"/>
    <n v="3.7"/>
    <s v="Yes"/>
    <n v="0.82"/>
  </r>
  <r>
    <s v="FL250915"/>
    <s v="Carolyn Lopez"/>
    <x v="0"/>
    <n v="59"/>
    <x v="12"/>
    <x v="10"/>
    <x v="9"/>
    <x v="7"/>
    <x v="0"/>
    <n v="1.1000000000000001"/>
    <s v="No"/>
    <n v="0.85"/>
  </r>
  <r>
    <s v="FL250916"/>
    <s v="Kyle Burns"/>
    <x v="1"/>
    <n v="33"/>
    <x v="6"/>
    <x v="5"/>
    <x v="5"/>
    <x v="17"/>
    <x v="4"/>
    <n v="2.2999999999999998"/>
    <s v="Yes"/>
    <n v="0.68"/>
  </r>
  <r>
    <s v="FL250917"/>
    <s v="Margaret Garcia"/>
    <x v="0"/>
    <n v="45"/>
    <x v="14"/>
    <x v="1"/>
    <x v="3"/>
    <x v="7"/>
    <x v="2"/>
    <n v="3.7"/>
    <s v="Yes"/>
    <n v="0.99"/>
  </r>
  <r>
    <s v="FL250918"/>
    <s v="Brittany Barker"/>
    <x v="0"/>
    <n v="36"/>
    <x v="0"/>
    <x v="0"/>
    <x v="2"/>
    <x v="5"/>
    <x v="3"/>
    <n v="1.9"/>
    <s v="No"/>
    <n v="0.62"/>
  </r>
  <r>
    <s v="FL250919"/>
    <s v="Paul Campbell"/>
    <x v="1"/>
    <n v="46"/>
    <x v="17"/>
    <x v="14"/>
    <x v="6"/>
    <x v="21"/>
    <x v="3"/>
    <n v="1.5"/>
    <s v="No"/>
    <n v="0.79269417475728277"/>
  </r>
  <r>
    <s v="FL250920"/>
    <s v="Amy Morrow"/>
    <x v="0"/>
    <n v="53"/>
    <x v="6"/>
    <x v="5"/>
    <x v="2"/>
    <x v="5"/>
    <x v="3"/>
    <n v="0"/>
    <s v="No"/>
    <n v="0.83"/>
  </r>
  <r>
    <s v="FL250921"/>
    <s v="Amy Fitzgerald"/>
    <x v="0"/>
    <n v="24"/>
    <x v="5"/>
    <x v="1"/>
    <x v="3"/>
    <x v="32"/>
    <x v="3"/>
    <n v="3.6"/>
    <s v="No"/>
    <n v="0.92"/>
  </r>
  <r>
    <s v="FL250922"/>
    <s v="Anita Becker"/>
    <x v="0"/>
    <n v="49"/>
    <x v="20"/>
    <x v="6"/>
    <x v="8"/>
    <x v="3"/>
    <x v="4"/>
    <n v="2.1"/>
    <s v="No"/>
    <n v="0.85"/>
  </r>
  <r>
    <s v="FL250923"/>
    <s v=" Amy Brooks"/>
    <x v="0"/>
    <n v="49"/>
    <x v="12"/>
    <x v="10"/>
    <x v="4"/>
    <x v="3"/>
    <x v="4"/>
    <n v="2.9"/>
    <s v="No"/>
    <n v="0.79269417475728277"/>
  </r>
  <r>
    <s v="FL250924"/>
    <s v="Lori Marshall"/>
    <x v="0"/>
    <n v="49"/>
    <x v="12"/>
    <x v="10"/>
    <x v="1"/>
    <x v="38"/>
    <x v="0"/>
    <n v="3.6"/>
    <s v="Yes"/>
    <n v="0.79269417475728277"/>
  </r>
  <r>
    <s v="FL250925"/>
    <s v="Jennifer Miller"/>
    <x v="0"/>
    <n v="58"/>
    <x v="11"/>
    <x v="9"/>
    <x v="0"/>
    <x v="35"/>
    <x v="3"/>
    <n v="3.3"/>
    <s v="Yes"/>
    <n v="0.89"/>
  </r>
  <r>
    <s v="FL250926"/>
    <s v="Thomas Young"/>
    <x v="1"/>
    <n v="50"/>
    <x v="17"/>
    <x v="14"/>
    <x v="6"/>
    <x v="13"/>
    <x v="2"/>
    <n v="2.5"/>
    <s v="Yes"/>
    <n v="0.81"/>
  </r>
  <r>
    <s v="FL250927"/>
    <s v="Zachary Larsen"/>
    <x v="1"/>
    <n v="27"/>
    <x v="17"/>
    <x v="14"/>
    <x v="8"/>
    <x v="24"/>
    <x v="0"/>
    <n v="3.7"/>
    <s v="Yes"/>
    <n v="0.61"/>
  </r>
  <r>
    <s v="FL250928"/>
    <s v="Valerie Gutierrez"/>
    <x v="0"/>
    <n v="20"/>
    <x v="12"/>
    <x v="10"/>
    <x v="9"/>
    <x v="14"/>
    <x v="3"/>
    <n v="4.5999999999999996"/>
    <s v="Yes"/>
    <n v="0.79269417475728277"/>
  </r>
  <r>
    <s v="FL250929"/>
    <s v="Daniel Parker"/>
    <x v="1"/>
    <n v="52"/>
    <x v="13"/>
    <x v="11"/>
    <x v="0"/>
    <x v="9"/>
    <x v="2"/>
    <n v="0"/>
    <s v="Yes"/>
    <n v="0.92"/>
  </r>
  <r>
    <s v="FL250930"/>
    <s v="Nicole Bennett"/>
    <x v="0"/>
    <n v="22"/>
    <x v="15"/>
    <x v="12"/>
    <x v="9"/>
    <x v="32"/>
    <x v="3"/>
    <n v="2"/>
    <s v="No"/>
    <n v="0.96"/>
  </r>
  <r>
    <s v="FL250931"/>
    <s v="Lauren Lowery"/>
    <x v="0"/>
    <n v="38"/>
    <x v="6"/>
    <x v="5"/>
    <x v="3"/>
    <x v="5"/>
    <x v="0"/>
    <n v="1.7"/>
    <s v="No"/>
    <n v="0.66"/>
  </r>
  <r>
    <s v="FL250932"/>
    <s v="Alexander Woodward"/>
    <x v="1"/>
    <n v="21"/>
    <x v="14"/>
    <x v="1"/>
    <x v="2"/>
    <x v="12"/>
    <x v="0"/>
    <n v="3"/>
    <s v="No"/>
    <n v="0.64"/>
  </r>
  <r>
    <s v="FL250933"/>
    <s v="Anthony Walter"/>
    <x v="1"/>
    <n v="41"/>
    <x v="1"/>
    <x v="1"/>
    <x v="4"/>
    <x v="9"/>
    <x v="2"/>
    <n v="3.4"/>
    <s v="No"/>
    <n v="1"/>
  </r>
  <r>
    <s v="FL250934"/>
    <s v="Valerie Finley"/>
    <x v="0"/>
    <n v="33"/>
    <x v="4"/>
    <x v="4"/>
    <x v="0"/>
    <x v="21"/>
    <x v="2"/>
    <n v="3.2"/>
    <s v="Yes"/>
    <n v="0.95"/>
  </r>
  <r>
    <s v="FL250935"/>
    <s v="Deborah Kelley"/>
    <x v="0"/>
    <n v="38"/>
    <x v="19"/>
    <x v="6"/>
    <x v="1"/>
    <x v="0"/>
    <x v="2"/>
    <n v="2.8"/>
    <s v="No"/>
    <n v="0.91"/>
  </r>
  <r>
    <s v="FL250936"/>
    <s v="Kristina Miller"/>
    <x v="0"/>
    <n v="26"/>
    <x v="13"/>
    <x v="11"/>
    <x v="8"/>
    <x v="17"/>
    <x v="5"/>
    <n v="4.0999999999999996"/>
    <s v="Yes"/>
    <n v="0.82"/>
  </r>
  <r>
    <s v="FL250937"/>
    <s v="Anne Hampton"/>
    <x v="0"/>
    <n v="43"/>
    <x v="3"/>
    <x v="3"/>
    <x v="4"/>
    <x v="15"/>
    <x v="5"/>
    <n v="0"/>
    <s v="Yes"/>
    <n v="0.95"/>
  </r>
  <r>
    <s v="FL250938"/>
    <s v="Sandra Henry"/>
    <x v="0"/>
    <n v="21"/>
    <x v="0"/>
    <x v="0"/>
    <x v="7"/>
    <x v="12"/>
    <x v="2"/>
    <n v="0"/>
    <s v="Yes"/>
    <n v="0.95"/>
  </r>
  <r>
    <s v="FL250939"/>
    <s v="Tony Hester"/>
    <x v="1"/>
    <n v="47"/>
    <x v="12"/>
    <x v="10"/>
    <x v="1"/>
    <x v="23"/>
    <x v="3"/>
    <n v="2.5125695216907653"/>
    <s v="No"/>
    <n v="0.69"/>
  </r>
  <r>
    <s v="FL250940"/>
    <s v="Nathan Davis"/>
    <x v="1"/>
    <n v="35"/>
    <x v="20"/>
    <x v="6"/>
    <x v="2"/>
    <x v="21"/>
    <x v="2"/>
    <n v="2.5125695216907653"/>
    <s v="Yes"/>
    <n v="0.91"/>
  </r>
  <r>
    <s v="FL250941"/>
    <s v="Erica Jackson"/>
    <x v="0"/>
    <n v="37"/>
    <x v="4"/>
    <x v="4"/>
    <x v="1"/>
    <x v="14"/>
    <x v="3"/>
    <n v="2.7"/>
    <s v="Yes"/>
    <n v="0.79269417475728277"/>
  </r>
  <r>
    <s v="FL250942"/>
    <s v="Nancy Glover"/>
    <x v="0"/>
    <n v="38"/>
    <x v="11"/>
    <x v="9"/>
    <x v="4"/>
    <x v="9"/>
    <x v="2"/>
    <n v="4"/>
    <s v="No"/>
    <n v="0.62"/>
  </r>
  <r>
    <s v="FL250943"/>
    <s v="Richard Sanchez"/>
    <x v="1"/>
    <n v="40"/>
    <x v="14"/>
    <x v="1"/>
    <x v="5"/>
    <x v="11"/>
    <x v="5"/>
    <n v="2.5"/>
    <s v="No"/>
    <n v="0.81"/>
  </r>
  <r>
    <s v="FL250944"/>
    <s v="Savannah Reid"/>
    <x v="0"/>
    <n v="46"/>
    <x v="11"/>
    <x v="9"/>
    <x v="5"/>
    <x v="26"/>
    <x v="4"/>
    <n v="0"/>
    <s v="No"/>
    <n v="0.94"/>
  </r>
  <r>
    <s v="FL250945"/>
    <s v="Robert Salazar"/>
    <x v="1"/>
    <n v="56"/>
    <x v="16"/>
    <x v="13"/>
    <x v="8"/>
    <x v="7"/>
    <x v="3"/>
    <n v="2.5125695216907653"/>
    <s v="No"/>
    <n v="0.95"/>
  </r>
  <r>
    <s v="FL250946"/>
    <s v="Hector Greer"/>
    <x v="1"/>
    <n v="24"/>
    <x v="6"/>
    <x v="5"/>
    <x v="2"/>
    <x v="32"/>
    <x v="2"/>
    <n v="1.6"/>
    <s v="No"/>
    <n v="1"/>
  </r>
  <r>
    <s v="FL250947"/>
    <s v="Thomas Jackson"/>
    <x v="1"/>
    <n v="41"/>
    <x v="19"/>
    <x v="6"/>
    <x v="4"/>
    <x v="24"/>
    <x v="4"/>
    <n v="0"/>
    <s v="Yes"/>
    <n v="0.94"/>
  </r>
  <r>
    <s v="FL250948"/>
    <s v="Tina Clark"/>
    <x v="0"/>
    <n v="38"/>
    <x v="6"/>
    <x v="5"/>
    <x v="1"/>
    <x v="17"/>
    <x v="3"/>
    <n v="4"/>
    <s v="Yes"/>
    <n v="0.92"/>
  </r>
  <r>
    <s v="FL250949"/>
    <s v="Heather Brown"/>
    <x v="0"/>
    <n v="28"/>
    <x v="15"/>
    <x v="12"/>
    <x v="8"/>
    <x v="17"/>
    <x v="1"/>
    <n v="2.5"/>
    <s v="Yes"/>
    <n v="0.95"/>
  </r>
  <r>
    <s v="FL250950"/>
    <s v="John Weaver"/>
    <x v="1"/>
    <n v="25"/>
    <x v="11"/>
    <x v="9"/>
    <x v="8"/>
    <x v="23"/>
    <x v="5"/>
    <n v="3.8"/>
    <s v="No"/>
    <n v="0.97"/>
  </r>
  <r>
    <s v="FL250951"/>
    <s v="Bradley Harris"/>
    <x v="1"/>
    <n v="41"/>
    <x v="7"/>
    <x v="1"/>
    <x v="8"/>
    <x v="17"/>
    <x v="1"/>
    <n v="4.8"/>
    <s v="No"/>
    <n v="0.75"/>
  </r>
  <r>
    <s v="FL250952"/>
    <s v="Cassandra Macdonald"/>
    <x v="0"/>
    <n v="45"/>
    <x v="19"/>
    <x v="6"/>
    <x v="5"/>
    <x v="21"/>
    <x v="2"/>
    <n v="2"/>
    <s v="Yes"/>
    <n v="0.78"/>
  </r>
  <r>
    <s v="FL250953"/>
    <s v="Matthew White"/>
    <x v="1"/>
    <n v="47"/>
    <x v="6"/>
    <x v="5"/>
    <x v="8"/>
    <x v="26"/>
    <x v="0"/>
    <n v="3.3"/>
    <s v="No"/>
    <n v="0.65"/>
  </r>
  <r>
    <s v="FL250954"/>
    <s v="Miss Kimberly Marshall"/>
    <x v="0"/>
    <n v="59"/>
    <x v="7"/>
    <x v="1"/>
    <x v="5"/>
    <x v="36"/>
    <x v="2"/>
    <n v="2.5"/>
    <s v="Yes"/>
    <n v="0.7"/>
  </r>
  <r>
    <s v="FL250955"/>
    <s v="Laura Thompson"/>
    <x v="0"/>
    <n v="25"/>
    <x v="14"/>
    <x v="1"/>
    <x v="0"/>
    <x v="21"/>
    <x v="0"/>
    <n v="2.5125695216907653"/>
    <s v="Yes"/>
    <n v="0.78"/>
  </r>
  <r>
    <s v="FL250956"/>
    <s v="Nathan Soto"/>
    <x v="1"/>
    <n v="27"/>
    <x v="1"/>
    <x v="1"/>
    <x v="3"/>
    <x v="15"/>
    <x v="1"/>
    <n v="2.5125695216907653"/>
    <s v="Yes"/>
    <n v="0.96"/>
  </r>
  <r>
    <s v="FL250957"/>
    <s v="Rhonda Hines"/>
    <x v="0"/>
    <n v="57"/>
    <x v="1"/>
    <x v="1"/>
    <x v="4"/>
    <x v="30"/>
    <x v="0"/>
    <n v="0"/>
    <s v="Yes"/>
    <n v="0.8"/>
  </r>
  <r>
    <s v="FL250958"/>
    <s v="Gabrielle Bowman"/>
    <x v="0"/>
    <n v="34"/>
    <x v="6"/>
    <x v="5"/>
    <x v="6"/>
    <x v="28"/>
    <x v="5"/>
    <n v="1.6"/>
    <s v="Yes"/>
    <n v="0.64"/>
  </r>
  <r>
    <s v="FL250959"/>
    <s v="Julian Edwards"/>
    <x v="1"/>
    <n v="55"/>
    <x v="15"/>
    <x v="12"/>
    <x v="6"/>
    <x v="25"/>
    <x v="1"/>
    <n v="0"/>
    <s v="No"/>
    <n v="0.92"/>
  </r>
  <r>
    <s v="FL250960"/>
    <s v="Nicholas Scott"/>
    <x v="1"/>
    <n v="21"/>
    <x v="16"/>
    <x v="13"/>
    <x v="0"/>
    <x v="24"/>
    <x v="0"/>
    <n v="0"/>
    <s v="Yes"/>
    <n v="0.79269417475728277"/>
  </r>
  <r>
    <s v="FL250961"/>
    <s v="Daniel Green"/>
    <x v="1"/>
    <n v="53"/>
    <x v="3"/>
    <x v="3"/>
    <x v="8"/>
    <x v="4"/>
    <x v="5"/>
    <n v="4.7"/>
    <s v="Yes"/>
    <n v="0.71"/>
  </r>
  <r>
    <s v="FL250962"/>
    <s v="Catherine Johnston"/>
    <x v="0"/>
    <n v="21"/>
    <x v="2"/>
    <x v="2"/>
    <x v="6"/>
    <x v="24"/>
    <x v="0"/>
    <n v="0"/>
    <s v="Yes"/>
    <n v="0.95"/>
  </r>
  <r>
    <s v="FL250963"/>
    <s v="Brenda Koch"/>
    <x v="0"/>
    <n v="36"/>
    <x v="11"/>
    <x v="9"/>
    <x v="3"/>
    <x v="14"/>
    <x v="5"/>
    <n v="4.0999999999999996"/>
    <s v="No"/>
    <n v="0.86"/>
  </r>
  <r>
    <s v="FL250964"/>
    <s v=" Robert Meza"/>
    <x v="1"/>
    <n v="40"/>
    <x v="2"/>
    <x v="2"/>
    <x v="4"/>
    <x v="32"/>
    <x v="3"/>
    <n v="1.3"/>
    <s v="Yes"/>
    <n v="0.77"/>
  </r>
  <r>
    <s v="FL250965"/>
    <s v="Latoya Brown"/>
    <x v="0"/>
    <n v="59"/>
    <x v="7"/>
    <x v="1"/>
    <x v="6"/>
    <x v="36"/>
    <x v="0"/>
    <n v="2.6"/>
    <s v="No"/>
    <n v="0.79269417475728277"/>
  </r>
  <r>
    <s v="FL250966"/>
    <s v="David Osborne "/>
    <x v="1"/>
    <n v="45"/>
    <x v="3"/>
    <x v="3"/>
    <x v="7"/>
    <x v="3"/>
    <x v="5"/>
    <n v="2.7"/>
    <s v="No"/>
    <n v="0.72"/>
  </r>
  <r>
    <s v="FL250967"/>
    <s v="David Hooper"/>
    <x v="1"/>
    <n v="44"/>
    <x v="12"/>
    <x v="10"/>
    <x v="9"/>
    <x v="14"/>
    <x v="2"/>
    <n v="2.5125695216907653"/>
    <s v="No"/>
    <n v="0.7"/>
  </r>
  <r>
    <s v="FL250968"/>
    <s v="Sarah Miller"/>
    <x v="0"/>
    <n v="36"/>
    <x v="7"/>
    <x v="1"/>
    <x v="7"/>
    <x v="13"/>
    <x v="3"/>
    <n v="3.6"/>
    <s v="No"/>
    <n v="0.86"/>
  </r>
  <r>
    <s v="FL250969"/>
    <s v="Lisa Werner "/>
    <x v="0"/>
    <n v="26"/>
    <x v="10"/>
    <x v="8"/>
    <x v="2"/>
    <x v="24"/>
    <x v="4"/>
    <n v="3"/>
    <s v="Yes"/>
    <n v="0.79269417475728277"/>
  </r>
  <r>
    <s v="FL250970"/>
    <s v="Eric Jimenez"/>
    <x v="1"/>
    <n v="49"/>
    <x v="10"/>
    <x v="8"/>
    <x v="3"/>
    <x v="24"/>
    <x v="2"/>
    <n v="0"/>
    <s v="No"/>
    <n v="0.82"/>
  </r>
  <r>
    <s v="FL250971"/>
    <s v="Jay Bush"/>
    <x v="1"/>
    <n v="29"/>
    <x v="15"/>
    <x v="12"/>
    <x v="1"/>
    <x v="15"/>
    <x v="2"/>
    <n v="0"/>
    <s v="Yes"/>
    <n v="0.81"/>
  </r>
  <r>
    <s v="FL250972"/>
    <s v="Johnny Rice"/>
    <x v="1"/>
    <n v="32"/>
    <x v="15"/>
    <x v="12"/>
    <x v="2"/>
    <x v="24"/>
    <x v="2"/>
    <n v="3.1"/>
    <s v="Yes"/>
    <n v="0.76"/>
  </r>
  <r>
    <s v="FL250973"/>
    <s v="Matthew Strong"/>
    <x v="1"/>
    <n v="24"/>
    <x v="4"/>
    <x v="4"/>
    <x v="0"/>
    <x v="15"/>
    <x v="3"/>
    <n v="3.9"/>
    <s v="No"/>
    <n v="0.9"/>
  </r>
  <r>
    <s v="FL250974"/>
    <s v="Mark Chandler"/>
    <x v="1"/>
    <n v="35"/>
    <x v="12"/>
    <x v="10"/>
    <x v="8"/>
    <x v="5"/>
    <x v="3"/>
    <n v="1.6"/>
    <s v="Yes"/>
    <n v="0.67"/>
  </r>
  <r>
    <s v="FL250975"/>
    <s v="Crystal Brown"/>
    <x v="0"/>
    <n v="43"/>
    <x v="20"/>
    <x v="6"/>
    <x v="0"/>
    <x v="32"/>
    <x v="2"/>
    <n v="1.8"/>
    <s v="No"/>
    <n v="0.61"/>
  </r>
  <r>
    <s v="FL250976"/>
    <s v="Timothy Barton"/>
    <x v="1"/>
    <n v="53"/>
    <x v="12"/>
    <x v="10"/>
    <x v="9"/>
    <x v="4"/>
    <x v="0"/>
    <n v="3.7"/>
    <s v="No"/>
    <n v="0.73"/>
  </r>
  <r>
    <s v="FL250977"/>
    <s v="Lisa Hickman"/>
    <x v="0"/>
    <n v="38"/>
    <x v="13"/>
    <x v="11"/>
    <x v="8"/>
    <x v="23"/>
    <x v="4"/>
    <n v="2.5125695216907653"/>
    <s v="No"/>
    <n v="0.79269417475728277"/>
  </r>
  <r>
    <s v="FL250978"/>
    <s v="Alan Mendoza"/>
    <x v="1"/>
    <n v="57"/>
    <x v="7"/>
    <x v="1"/>
    <x v="7"/>
    <x v="35"/>
    <x v="4"/>
    <n v="4.0999999999999996"/>
    <s v="No"/>
    <n v="0.9"/>
  </r>
  <r>
    <s v="FL250979"/>
    <s v="Jason Sanders"/>
    <x v="1"/>
    <n v="27"/>
    <x v="18"/>
    <x v="15"/>
    <x v="0"/>
    <x v="30"/>
    <x v="4"/>
    <n v="1.4"/>
    <s v="Yes"/>
    <n v="0.64"/>
  </r>
  <r>
    <s v="FL250980"/>
    <s v="Charles Dean"/>
    <x v="1"/>
    <n v="43"/>
    <x v="8"/>
    <x v="6"/>
    <x v="3"/>
    <x v="32"/>
    <x v="0"/>
    <n v="1.1000000000000001"/>
    <s v="Yes"/>
    <n v="0.63"/>
  </r>
  <r>
    <s v="FL250981"/>
    <s v="Blake Newton"/>
    <x v="1"/>
    <n v="48"/>
    <x v="14"/>
    <x v="1"/>
    <x v="5"/>
    <x v="10"/>
    <x v="2"/>
    <n v="3.9"/>
    <s v="No"/>
    <n v="0.79269417475728277"/>
  </r>
  <r>
    <s v="FL250982"/>
    <s v="David Gonzalez"/>
    <x v="1"/>
    <n v="26"/>
    <x v="11"/>
    <x v="9"/>
    <x v="7"/>
    <x v="17"/>
    <x v="5"/>
    <n v="3.6"/>
    <s v="No"/>
    <n v="0.67"/>
  </r>
  <r>
    <s v="FL250983"/>
    <s v="Cindy Williams"/>
    <x v="0"/>
    <n v="41"/>
    <x v="17"/>
    <x v="14"/>
    <x v="2"/>
    <x v="12"/>
    <x v="2"/>
    <n v="0"/>
    <s v="No"/>
    <n v="0.97"/>
  </r>
  <r>
    <s v="FL250984"/>
    <s v="Laura Wong "/>
    <x v="0"/>
    <n v="50"/>
    <x v="0"/>
    <x v="0"/>
    <x v="5"/>
    <x v="26"/>
    <x v="4"/>
    <n v="4.5"/>
    <s v="No"/>
    <n v="0.69"/>
  </r>
  <r>
    <s v="FL250985"/>
    <s v="Robert Moran"/>
    <x v="1"/>
    <n v="48"/>
    <x v="17"/>
    <x v="14"/>
    <x v="3"/>
    <x v="17"/>
    <x v="1"/>
    <n v="2.5125695216907653"/>
    <s v="Yes"/>
    <n v="0.73"/>
  </r>
  <r>
    <s v="FL250986"/>
    <s v="Bradley Wu"/>
    <x v="1"/>
    <n v="60"/>
    <x v="20"/>
    <x v="6"/>
    <x v="0"/>
    <x v="34"/>
    <x v="5"/>
    <n v="1.4"/>
    <s v="Yes"/>
    <n v="0.86"/>
  </r>
  <r>
    <s v="FL250987"/>
    <s v="Daniel Thomas"/>
    <x v="1"/>
    <n v="26"/>
    <x v="16"/>
    <x v="13"/>
    <x v="9"/>
    <x v="14"/>
    <x v="1"/>
    <n v="0"/>
    <s v="Yes"/>
    <n v="0.81"/>
  </r>
  <r>
    <s v="FL250988"/>
    <s v="Michelle Peterson"/>
    <x v="0"/>
    <n v="35"/>
    <x v="12"/>
    <x v="10"/>
    <x v="2"/>
    <x v="26"/>
    <x v="0"/>
    <n v="4.3"/>
    <s v="Yes"/>
    <n v="0.74"/>
  </r>
  <r>
    <s v="FL250989"/>
    <s v="Seth Thomas"/>
    <x v="1"/>
    <n v="23"/>
    <x v="5"/>
    <x v="1"/>
    <x v="0"/>
    <x v="3"/>
    <x v="0"/>
    <n v="2.2000000000000002"/>
    <s v="Yes"/>
    <n v="0.64"/>
  </r>
  <r>
    <s v="FL250990"/>
    <s v="Evan Ramos"/>
    <x v="1"/>
    <n v="37"/>
    <x v="1"/>
    <x v="1"/>
    <x v="2"/>
    <x v="3"/>
    <x v="4"/>
    <n v="3.2"/>
    <s v="No"/>
    <n v="0.76"/>
  </r>
  <r>
    <s v="FL250991"/>
    <s v="Michelle Solis"/>
    <x v="0"/>
    <n v="21"/>
    <x v="8"/>
    <x v="6"/>
    <x v="4"/>
    <x v="32"/>
    <x v="0"/>
    <n v="3.7"/>
    <s v="Yes"/>
    <n v="0.73"/>
  </r>
  <r>
    <s v="FL250992"/>
    <s v="Charlotte Taylor"/>
    <x v="0"/>
    <n v="58"/>
    <x v="2"/>
    <x v="2"/>
    <x v="6"/>
    <x v="39"/>
    <x v="1"/>
    <n v="4.9000000000000004"/>
    <s v="No"/>
    <n v="0.69"/>
  </r>
  <r>
    <s v="FL250993"/>
    <s v="Sandra Preston"/>
    <x v="0"/>
    <n v="52"/>
    <x v="4"/>
    <x v="4"/>
    <x v="1"/>
    <x v="19"/>
    <x v="4"/>
    <n v="3.2"/>
    <s v="No"/>
    <n v="0.79"/>
  </r>
  <r>
    <s v="FL250994"/>
    <s v="Jim Weiss"/>
    <x v="1"/>
    <n v="46"/>
    <x v="13"/>
    <x v="11"/>
    <x v="1"/>
    <x v="17"/>
    <x v="5"/>
    <n v="2.2000000000000002"/>
    <s v="No"/>
    <n v="0.89"/>
  </r>
  <r>
    <s v="FL250995"/>
    <s v="Jennifer Hinton"/>
    <x v="0"/>
    <n v="34"/>
    <x v="17"/>
    <x v="14"/>
    <x v="8"/>
    <x v="17"/>
    <x v="3"/>
    <n v="3.9"/>
    <s v="Yes"/>
    <n v="0.95"/>
  </r>
  <r>
    <s v="FL250996"/>
    <s v="Albert Wilcox"/>
    <x v="1"/>
    <n v="56"/>
    <x v="6"/>
    <x v="5"/>
    <x v="8"/>
    <x v="13"/>
    <x v="0"/>
    <n v="0"/>
    <s v="No"/>
    <n v="0.68"/>
  </r>
  <r>
    <s v="FL250997"/>
    <s v="Cheryl Norris"/>
    <x v="0"/>
    <n v="26"/>
    <x v="2"/>
    <x v="2"/>
    <x v="0"/>
    <x v="21"/>
    <x v="2"/>
    <n v="2.8"/>
    <s v="No"/>
    <n v="0.82"/>
  </r>
  <r>
    <s v="FL250998"/>
    <s v="Kathy Watkins"/>
    <x v="0"/>
    <n v="37"/>
    <x v="9"/>
    <x v="7"/>
    <x v="5"/>
    <x v="9"/>
    <x v="4"/>
    <n v="2.5125695216907653"/>
    <s v="No"/>
    <n v="0.94"/>
  </r>
  <r>
    <s v="FL250999"/>
    <s v="John Obrien"/>
    <x v="1"/>
    <n v="46"/>
    <x v="13"/>
    <x v="11"/>
    <x v="9"/>
    <x v="7"/>
    <x v="0"/>
    <n v="2.8"/>
    <s v="Yes"/>
    <n v="0.97"/>
  </r>
  <r>
    <s v="FL251000"/>
    <s v="Dawn Green"/>
    <x v="0"/>
    <n v="36"/>
    <x v="19"/>
    <x v="6"/>
    <x v="6"/>
    <x v="10"/>
    <x v="5"/>
    <n v="1.7"/>
    <s v="Yes"/>
    <n v="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D7CFC-5DDF-467C-82B1-0F644C0A2172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H46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22">
        <item x="8"/>
        <item x="1"/>
        <item x="11"/>
        <item x="14"/>
        <item x="18"/>
        <item x="16"/>
        <item x="15"/>
        <item x="2"/>
        <item x="10"/>
        <item x="4"/>
        <item x="0"/>
        <item x="9"/>
        <item x="19"/>
        <item x="3"/>
        <item x="13"/>
        <item x="17"/>
        <item x="12"/>
        <item x="20"/>
        <item x="6"/>
        <item x="7"/>
        <item x="5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9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D056C-604B-4AE0-955A-DCAD8EC9908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32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17">
        <item x="14"/>
        <item x="13"/>
        <item x="3"/>
        <item x="1"/>
        <item x="12"/>
        <item x="2"/>
        <item x="8"/>
        <item x="4"/>
        <item x="0"/>
        <item x="7"/>
        <item x="10"/>
        <item x="15"/>
        <item x="9"/>
        <item x="11"/>
        <item x="6"/>
        <item x="5"/>
        <item t="default"/>
      </items>
    </pivotField>
    <pivotField showAll="0"/>
    <pivotField showAll="0"/>
    <pivotField numFmtId="164" showAll="0"/>
    <pivotField showAll="0"/>
    <pivotField showAll="0"/>
    <pivotField numFmtId="9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37679-81AE-4757-9943-FC265040A43B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2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dataField="1" numFmtId="164" showAll="0"/>
    <pivotField showAll="0"/>
    <pivotField showAll="0"/>
    <pivotField numFmtId="9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Hourly Rate (USD)" fld="8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D5B63-C430-4E56-81ED-5EE446B62072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7">
        <item x="5"/>
        <item x="3"/>
        <item x="2"/>
        <item x="1"/>
        <item x="4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C8557-34A6-4957-AD83-81722902DCC1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3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2">
        <item x="12"/>
        <item x="24"/>
        <item x="32"/>
        <item x="15"/>
        <item x="3"/>
        <item x="30"/>
        <item x="21"/>
        <item x="23"/>
        <item x="17"/>
        <item x="14"/>
        <item x="6"/>
        <item x="0"/>
        <item x="28"/>
        <item x="13"/>
        <item x="5"/>
        <item x="9"/>
        <item x="26"/>
        <item x="8"/>
        <item x="10"/>
        <item x="18"/>
        <item x="11"/>
        <item x="16"/>
        <item x="7"/>
        <item x="22"/>
        <item x="38"/>
        <item x="33"/>
        <item x="37"/>
        <item x="4"/>
        <item x="20"/>
        <item x="35"/>
        <item x="31"/>
        <item x="2"/>
        <item x="19"/>
        <item x="25"/>
        <item x="1"/>
        <item x="27"/>
        <item x="39"/>
        <item x="29"/>
        <item x="34"/>
        <item x="36"/>
        <item x="40"/>
        <item t="default"/>
      </items>
    </pivotField>
    <pivotField numFmtId="164" showAll="0"/>
    <pivotField showAll="0"/>
    <pivotField showAll="0"/>
    <pivotField numFmtId="9" showAll="0"/>
  </pivotFields>
  <rowFields count="1">
    <field x="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Freelanc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E3880-C306-473C-B49D-B8704AEF94C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12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1">
        <item x="4"/>
        <item x="0"/>
        <item x="7"/>
        <item x="5"/>
        <item x="8"/>
        <item x="2"/>
        <item x="9"/>
        <item x="1"/>
        <item x="6"/>
        <item x="3"/>
        <item t="default"/>
      </items>
    </pivotField>
    <pivotField showAll="0"/>
    <pivotField numFmtId="164" showAll="0"/>
    <pivotField dataField="1" showAll="0"/>
    <pivotField showAll="0"/>
    <pivotField numFmtId="9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Rating" fld="9" subtotal="average" baseField="0" baseItem="0" numFmtId="2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A182-E479-4051-82BF-34BA33840EEA}">
  <dimension ref="A1:U18584"/>
  <sheetViews>
    <sheetView topLeftCell="J1" workbookViewId="0">
      <selection activeCell="U4" sqref="U4"/>
    </sheetView>
  </sheetViews>
  <sheetFormatPr defaultRowHeight="14.5" x14ac:dyDescent="0.35"/>
  <cols>
    <col min="1" max="1" width="12.08984375" style="8" bestFit="1" customWidth="1"/>
    <col min="2" max="2" width="23" style="8" bestFit="1" customWidth="1"/>
    <col min="3" max="3" width="7.453125" style="8" bestFit="1" customWidth="1"/>
    <col min="4" max="4" width="7.453125" style="8" customWidth="1"/>
    <col min="5" max="5" width="3.90625" style="8" customWidth="1"/>
    <col min="6" max="6" width="13.08984375" style="8" customWidth="1"/>
    <col min="7" max="7" width="14.1796875" style="8" bestFit="1" customWidth="1"/>
    <col min="8" max="8" width="10.1796875" style="8" bestFit="1" customWidth="1"/>
    <col min="9" max="9" width="21.54296875" style="8" bestFit="1" customWidth="1"/>
    <col min="10" max="10" width="18.26953125" style="8" bestFit="1" customWidth="1"/>
    <col min="11" max="11" width="18.26953125" style="8" customWidth="1"/>
    <col min="12" max="12" width="15.81640625" style="8" bestFit="1" customWidth="1"/>
    <col min="13" max="13" width="15.81640625" style="9" customWidth="1"/>
    <col min="14" max="14" width="5.6328125" style="8" bestFit="1" customWidth="1"/>
    <col min="15" max="15" width="5.6328125" style="8" customWidth="1"/>
    <col min="16" max="16" width="7.90625" style="13" bestFit="1" customWidth="1"/>
    <col min="17" max="17" width="15.81640625" style="8" bestFit="1" customWidth="1"/>
    <col min="18" max="18" width="15.81640625" style="12" customWidth="1"/>
    <col min="19" max="19" width="15.26953125" style="12" customWidth="1"/>
  </cols>
  <sheetData>
    <row r="1" spans="1:21" x14ac:dyDescent="0.35">
      <c r="A1" s="5" t="s">
        <v>2052</v>
      </c>
      <c r="B1" s="5" t="s">
        <v>2053</v>
      </c>
      <c r="C1" s="5" t="s">
        <v>2054</v>
      </c>
      <c r="D1" s="5" t="s">
        <v>2054</v>
      </c>
      <c r="E1" s="5" t="s">
        <v>2055</v>
      </c>
      <c r="F1" s="5" t="s">
        <v>2056</v>
      </c>
      <c r="G1" s="5" t="s">
        <v>2057</v>
      </c>
      <c r="H1" s="5" t="s">
        <v>2058</v>
      </c>
      <c r="I1" s="5" t="s">
        <v>2059</v>
      </c>
      <c r="J1" s="5" t="s">
        <v>2060</v>
      </c>
      <c r="K1" s="5" t="s">
        <v>2060</v>
      </c>
      <c r="L1" s="5" t="s">
        <v>2061</v>
      </c>
      <c r="M1" s="5" t="s">
        <v>2061</v>
      </c>
      <c r="N1" s="5" t="s">
        <v>2062</v>
      </c>
      <c r="O1" s="5" t="s">
        <v>2062</v>
      </c>
      <c r="P1" s="5" t="s">
        <v>2063</v>
      </c>
      <c r="Q1" s="5" t="s">
        <v>2064</v>
      </c>
      <c r="R1" s="5" t="s">
        <v>2064</v>
      </c>
      <c r="S1" s="5" t="s">
        <v>2064</v>
      </c>
    </row>
    <row r="2" spans="1:21" x14ac:dyDescent="0.35">
      <c r="A2" s="8" t="s">
        <v>0</v>
      </c>
      <c r="B2" s="8" t="s">
        <v>2049</v>
      </c>
      <c r="C2" s="8" t="s">
        <v>1</v>
      </c>
      <c r="D2" s="8" t="str">
        <f>IF(LEFT(C2,1)="f","Female","Male")</f>
        <v>Female</v>
      </c>
      <c r="E2" s="8">
        <v>52</v>
      </c>
      <c r="F2" s="8">
        <f>IF(ISBLANK(E2),MEDIAN($E$2:$E$1001),E2)</f>
        <v>52</v>
      </c>
      <c r="G2" s="8" t="s">
        <v>2</v>
      </c>
      <c r="H2" s="8" t="s">
        <v>3</v>
      </c>
      <c r="I2" s="8" t="s">
        <v>4</v>
      </c>
      <c r="J2" s="8">
        <v>11</v>
      </c>
      <c r="K2" s="8">
        <f>IF(ISBLANK(J2),MEDIAN($J$2:$J$1001),J2)</f>
        <v>11</v>
      </c>
      <c r="L2" s="8">
        <v>100</v>
      </c>
      <c r="M2" s="9">
        <f>IF(ISBLANK(L2),MEDIAN($L$2:$L$1001),L2)</f>
        <v>100</v>
      </c>
      <c r="O2" s="10">
        <f>IF(ISBLANK(N2),AVERAGE($N$2:$N$1001),N2)</f>
        <v>2.5125695216907653</v>
      </c>
      <c r="P2" s="8" t="s">
        <v>2050</v>
      </c>
      <c r="Q2" s="13"/>
      <c r="S2" s="12">
        <f>IF(ISBLANK(R2),AVERAGE($R$2:$R$1001),R2)</f>
        <v>0.79269417475728277</v>
      </c>
    </row>
    <row r="3" spans="1:21" x14ac:dyDescent="0.35">
      <c r="A3" s="8" t="s">
        <v>5</v>
      </c>
      <c r="B3" s="8" t="s">
        <v>6</v>
      </c>
      <c r="C3" s="8" t="s">
        <v>7</v>
      </c>
      <c r="D3" s="8" t="str">
        <f t="shared" ref="D3:D66" si="0">IF(LEFT(C3,1)="f","Female","Male")</f>
        <v>Female</v>
      </c>
      <c r="E3" s="8">
        <v>52</v>
      </c>
      <c r="F3" s="8">
        <f t="shared" ref="F3:F66" si="1">IF(ISBLANK(E3),MEDIAN($E$2:$E$1001),E3)</f>
        <v>52</v>
      </c>
      <c r="G3" s="8" t="s">
        <v>8</v>
      </c>
      <c r="H3" s="8" t="s">
        <v>9</v>
      </c>
      <c r="I3" s="8" t="s">
        <v>10</v>
      </c>
      <c r="J3" s="8">
        <v>34</v>
      </c>
      <c r="K3" s="8">
        <f t="shared" ref="K3:K66" si="2">IF(ISBLANK(J3),MEDIAN($J$2:$J$1001),J3)</f>
        <v>34</v>
      </c>
      <c r="L3" s="8">
        <v>100</v>
      </c>
      <c r="M3" s="9">
        <f t="shared" ref="M3:M66" si="3">IF(ISBLANK(L3),MEDIAN($L$2:$L$1001),L3)</f>
        <v>100</v>
      </c>
      <c r="N3" s="8">
        <v>3.3</v>
      </c>
      <c r="O3" s="10">
        <f t="shared" ref="O3:O66" si="4">IF(ISBLANK(N3),AVERAGE($N$2:$N$1001),N3)</f>
        <v>3.3</v>
      </c>
      <c r="P3" s="8" t="s">
        <v>2051</v>
      </c>
      <c r="Q3" s="14">
        <v>0.84</v>
      </c>
      <c r="R3" s="12">
        <f>Q3</f>
        <v>0.84</v>
      </c>
      <c r="S3" s="12">
        <f>IF(ISBLANK(R3),AVERAGE($R$2:$R$1001),R3)</f>
        <v>0.84</v>
      </c>
      <c r="T3">
        <f>COUNTIF(P2:P1001,"No")</f>
        <v>554</v>
      </c>
      <c r="U3" t="s">
        <v>2070</v>
      </c>
    </row>
    <row r="4" spans="1:21" x14ac:dyDescent="0.35">
      <c r="A4" s="8" t="s">
        <v>11</v>
      </c>
      <c r="B4" s="8" t="s">
        <v>12</v>
      </c>
      <c r="C4" s="8" t="s">
        <v>13</v>
      </c>
      <c r="D4" s="8" t="str">
        <f t="shared" si="0"/>
        <v>Male</v>
      </c>
      <c r="E4" s="8">
        <v>53</v>
      </c>
      <c r="F4" s="8">
        <f t="shared" si="1"/>
        <v>53</v>
      </c>
      <c r="G4" s="8" t="s">
        <v>14</v>
      </c>
      <c r="H4" s="8" t="s">
        <v>15</v>
      </c>
      <c r="I4" s="8" t="s">
        <v>16</v>
      </c>
      <c r="J4" s="8">
        <v>31</v>
      </c>
      <c r="K4" s="8">
        <f t="shared" si="2"/>
        <v>31</v>
      </c>
      <c r="L4" s="8">
        <v>50</v>
      </c>
      <c r="M4" s="9">
        <f t="shared" si="3"/>
        <v>50</v>
      </c>
      <c r="N4" s="8">
        <v>0</v>
      </c>
      <c r="O4" s="11">
        <f t="shared" si="4"/>
        <v>0</v>
      </c>
      <c r="P4" s="8" t="s">
        <v>2050</v>
      </c>
      <c r="Q4" s="14">
        <v>0.71</v>
      </c>
      <c r="R4" s="12">
        <f t="shared" ref="R4:R6" si="5">Q4</f>
        <v>0.71</v>
      </c>
      <c r="S4" s="12">
        <f t="shared" ref="S4:S67" si="6">IF(ISBLANK(R4),AVERAGE($R$2:$R$1001),R4)</f>
        <v>0.71</v>
      </c>
      <c r="T4">
        <f>COUNTIF(P2:P1001,"Yes")</f>
        <v>446</v>
      </c>
      <c r="U4" t="s">
        <v>47</v>
      </c>
    </row>
    <row r="5" spans="1:21" x14ac:dyDescent="0.35">
      <c r="A5" s="8" t="s">
        <v>17</v>
      </c>
      <c r="B5" s="8" t="s">
        <v>18</v>
      </c>
      <c r="C5" s="8" t="s">
        <v>19</v>
      </c>
      <c r="D5" s="8" t="str">
        <f t="shared" si="0"/>
        <v>Female</v>
      </c>
      <c r="E5" s="8">
        <v>38</v>
      </c>
      <c r="F5" s="8">
        <f t="shared" si="1"/>
        <v>38</v>
      </c>
      <c r="G5" s="8" t="s">
        <v>8</v>
      </c>
      <c r="H5" s="8" t="s">
        <v>9</v>
      </c>
      <c r="I5" s="8" t="s">
        <v>20</v>
      </c>
      <c r="J5" s="8">
        <v>4</v>
      </c>
      <c r="K5" s="8">
        <f t="shared" si="2"/>
        <v>4</v>
      </c>
      <c r="L5" s="8">
        <v>40</v>
      </c>
      <c r="M5" s="9">
        <f t="shared" si="3"/>
        <v>40</v>
      </c>
      <c r="N5" s="8">
        <v>1.5</v>
      </c>
      <c r="O5" s="10">
        <f t="shared" si="4"/>
        <v>1.5</v>
      </c>
      <c r="P5" s="8" t="s">
        <v>2050</v>
      </c>
      <c r="Q5" s="14">
        <v>0.9</v>
      </c>
      <c r="R5" s="12">
        <f t="shared" si="5"/>
        <v>0.9</v>
      </c>
      <c r="S5" s="12">
        <f t="shared" si="6"/>
        <v>0.9</v>
      </c>
    </row>
    <row r="6" spans="1:21" x14ac:dyDescent="0.35">
      <c r="A6" s="8" t="s">
        <v>21</v>
      </c>
      <c r="B6" s="8" t="s">
        <v>2030</v>
      </c>
      <c r="C6" s="8" t="s">
        <v>22</v>
      </c>
      <c r="D6" s="8" t="str">
        <f t="shared" si="0"/>
        <v>Female</v>
      </c>
      <c r="E6" s="8">
        <v>53</v>
      </c>
      <c r="F6" s="8">
        <f t="shared" si="1"/>
        <v>53</v>
      </c>
      <c r="G6" s="8" t="s">
        <v>14</v>
      </c>
      <c r="H6" s="8" t="s">
        <v>15</v>
      </c>
      <c r="I6" s="8" t="s">
        <v>20</v>
      </c>
      <c r="J6" s="8">
        <v>27</v>
      </c>
      <c r="K6" s="8">
        <f t="shared" si="2"/>
        <v>27</v>
      </c>
      <c r="L6" s="8">
        <v>30</v>
      </c>
      <c r="M6" s="9">
        <f t="shared" si="3"/>
        <v>30</v>
      </c>
      <c r="N6" s="8">
        <v>4.8</v>
      </c>
      <c r="O6" s="10">
        <f t="shared" si="4"/>
        <v>4.8</v>
      </c>
      <c r="P6" s="8" t="s">
        <v>2050</v>
      </c>
      <c r="Q6" s="14">
        <v>0.83</v>
      </c>
      <c r="R6" s="12">
        <f t="shared" si="5"/>
        <v>0.83</v>
      </c>
      <c r="S6" s="12">
        <f t="shared" si="6"/>
        <v>0.83</v>
      </c>
    </row>
    <row r="7" spans="1:21" x14ac:dyDescent="0.35">
      <c r="A7" s="8" t="s">
        <v>23</v>
      </c>
      <c r="B7" s="8" t="s">
        <v>24</v>
      </c>
      <c r="C7" s="8" t="s">
        <v>22</v>
      </c>
      <c r="D7" s="8" t="str">
        <f t="shared" si="0"/>
        <v>Female</v>
      </c>
      <c r="E7" s="8">
        <v>59</v>
      </c>
      <c r="F7" s="8">
        <f t="shared" si="1"/>
        <v>59</v>
      </c>
      <c r="G7" s="8" t="s">
        <v>25</v>
      </c>
      <c r="H7" s="8" t="s">
        <v>26</v>
      </c>
      <c r="I7" s="8" t="s">
        <v>27</v>
      </c>
      <c r="J7" s="8">
        <v>14</v>
      </c>
      <c r="K7" s="8">
        <f t="shared" si="2"/>
        <v>14</v>
      </c>
      <c r="L7" s="8">
        <v>30</v>
      </c>
      <c r="M7" s="9">
        <f t="shared" si="3"/>
        <v>30</v>
      </c>
      <c r="N7" s="8">
        <v>2.4</v>
      </c>
      <c r="O7" s="10">
        <f t="shared" si="4"/>
        <v>2.4</v>
      </c>
      <c r="P7" s="8" t="s">
        <v>2050</v>
      </c>
      <c r="Q7" s="13"/>
      <c r="S7" s="12">
        <f t="shared" si="6"/>
        <v>0.79269417475728277</v>
      </c>
    </row>
    <row r="8" spans="1:21" x14ac:dyDescent="0.35">
      <c r="A8" s="8" t="s">
        <v>28</v>
      </c>
      <c r="B8" s="8" t="s">
        <v>29</v>
      </c>
      <c r="C8" s="8" t="s">
        <v>30</v>
      </c>
      <c r="D8" s="8" t="str">
        <f t="shared" si="0"/>
        <v>Male</v>
      </c>
      <c r="E8" s="8">
        <v>52</v>
      </c>
      <c r="F8" s="8">
        <f t="shared" si="1"/>
        <v>52</v>
      </c>
      <c r="G8" s="8" t="s">
        <v>31</v>
      </c>
      <c r="H8" s="8" t="s">
        <v>32</v>
      </c>
      <c r="I8" s="8" t="s">
        <v>33</v>
      </c>
      <c r="J8" s="8">
        <v>10</v>
      </c>
      <c r="K8" s="8">
        <f t="shared" si="2"/>
        <v>10</v>
      </c>
      <c r="L8" s="8">
        <v>75</v>
      </c>
      <c r="M8" s="9">
        <f t="shared" si="3"/>
        <v>75</v>
      </c>
      <c r="N8" s="8">
        <v>3.1</v>
      </c>
      <c r="O8" s="10">
        <f t="shared" si="4"/>
        <v>3.1</v>
      </c>
      <c r="P8" s="8" t="s">
        <v>2050</v>
      </c>
      <c r="Q8" s="14">
        <v>0.94</v>
      </c>
      <c r="R8" s="12">
        <f t="shared" ref="R8:R10" si="7">Q8</f>
        <v>0.94</v>
      </c>
      <c r="S8" s="12">
        <f t="shared" si="6"/>
        <v>0.94</v>
      </c>
    </row>
    <row r="9" spans="1:21" x14ac:dyDescent="0.35">
      <c r="A9" s="8" t="s">
        <v>34</v>
      </c>
      <c r="B9" s="8" t="s">
        <v>35</v>
      </c>
      <c r="C9" s="8" t="s">
        <v>13</v>
      </c>
      <c r="D9" s="8" t="str">
        <f t="shared" si="0"/>
        <v>Male</v>
      </c>
      <c r="E9" s="8">
        <v>43</v>
      </c>
      <c r="F9" s="8">
        <f t="shared" si="1"/>
        <v>43</v>
      </c>
      <c r="G9" s="8" t="s">
        <v>2</v>
      </c>
      <c r="H9" s="8" t="s">
        <v>3</v>
      </c>
      <c r="I9" s="8" t="s">
        <v>4</v>
      </c>
      <c r="J9" s="8">
        <v>14</v>
      </c>
      <c r="K9" s="8">
        <f t="shared" si="2"/>
        <v>14</v>
      </c>
      <c r="L9" s="8">
        <v>40</v>
      </c>
      <c r="M9" s="9">
        <f t="shared" si="3"/>
        <v>40</v>
      </c>
      <c r="N9" s="8">
        <v>4.5999999999999996</v>
      </c>
      <c r="O9" s="10">
        <f t="shared" si="4"/>
        <v>4.5999999999999996</v>
      </c>
      <c r="P9" s="8" t="s">
        <v>2050</v>
      </c>
      <c r="Q9" s="14">
        <v>0.94</v>
      </c>
      <c r="R9" s="12">
        <f t="shared" si="7"/>
        <v>0.94</v>
      </c>
      <c r="S9" s="12">
        <f t="shared" si="6"/>
        <v>0.94</v>
      </c>
    </row>
    <row r="10" spans="1:21" x14ac:dyDescent="0.35">
      <c r="A10" s="8" t="s">
        <v>36</v>
      </c>
      <c r="B10" s="8" t="s">
        <v>37</v>
      </c>
      <c r="C10" s="8" t="s">
        <v>13</v>
      </c>
      <c r="D10" s="8" t="str">
        <f t="shared" si="0"/>
        <v>Male</v>
      </c>
      <c r="E10" s="8">
        <v>26</v>
      </c>
      <c r="F10" s="8">
        <f t="shared" si="1"/>
        <v>26</v>
      </c>
      <c r="G10" s="8" t="s">
        <v>38</v>
      </c>
      <c r="H10" s="8" t="s">
        <v>9</v>
      </c>
      <c r="I10" s="8" t="s">
        <v>4</v>
      </c>
      <c r="J10" s="8">
        <v>4</v>
      </c>
      <c r="K10" s="8">
        <f t="shared" si="2"/>
        <v>4</v>
      </c>
      <c r="L10" s="13"/>
      <c r="M10" s="9">
        <f t="shared" si="3"/>
        <v>40</v>
      </c>
      <c r="N10" s="8">
        <v>4</v>
      </c>
      <c r="O10" s="10">
        <f t="shared" si="4"/>
        <v>4</v>
      </c>
      <c r="P10" s="8" t="s">
        <v>2051</v>
      </c>
      <c r="Q10" s="14">
        <v>0.76</v>
      </c>
      <c r="R10" s="12">
        <f t="shared" si="7"/>
        <v>0.76</v>
      </c>
      <c r="S10" s="12">
        <f t="shared" si="6"/>
        <v>0.76</v>
      </c>
    </row>
    <row r="11" spans="1:21" x14ac:dyDescent="0.35">
      <c r="A11" s="8" t="s">
        <v>39</v>
      </c>
      <c r="B11" s="8" t="s">
        <v>40</v>
      </c>
      <c r="C11" s="8" t="s">
        <v>41</v>
      </c>
      <c r="D11" s="8" t="str">
        <f t="shared" si="0"/>
        <v>Male</v>
      </c>
      <c r="E11" s="8">
        <v>52</v>
      </c>
      <c r="F11" s="8">
        <f t="shared" si="1"/>
        <v>52</v>
      </c>
      <c r="G11" s="8" t="s">
        <v>42</v>
      </c>
      <c r="H11" s="8" t="s">
        <v>43</v>
      </c>
      <c r="I11" s="8" t="s">
        <v>27</v>
      </c>
      <c r="J11" s="8">
        <v>22</v>
      </c>
      <c r="K11" s="8">
        <f t="shared" si="2"/>
        <v>22</v>
      </c>
      <c r="L11" s="8">
        <v>50</v>
      </c>
      <c r="M11" s="9">
        <f t="shared" si="3"/>
        <v>50</v>
      </c>
      <c r="O11" s="10">
        <f t="shared" si="4"/>
        <v>2.5125695216907653</v>
      </c>
      <c r="P11" s="8" t="s">
        <v>2051</v>
      </c>
      <c r="Q11" s="13"/>
      <c r="S11" s="12">
        <f t="shared" si="6"/>
        <v>0.79269417475728277</v>
      </c>
    </row>
    <row r="12" spans="1:21" x14ac:dyDescent="0.35">
      <c r="A12" s="8" t="s">
        <v>44</v>
      </c>
      <c r="B12" s="8" t="s">
        <v>45</v>
      </c>
      <c r="C12" s="8" t="s">
        <v>30</v>
      </c>
      <c r="D12" s="8" t="str">
        <f t="shared" si="0"/>
        <v>Male</v>
      </c>
      <c r="E12" s="8">
        <v>40</v>
      </c>
      <c r="F12" s="8">
        <f t="shared" si="1"/>
        <v>40</v>
      </c>
      <c r="G12" s="8" t="s">
        <v>46</v>
      </c>
      <c r="H12" s="8" t="s">
        <v>9</v>
      </c>
      <c r="I12" s="8" t="s">
        <v>33</v>
      </c>
      <c r="J12" s="8">
        <v>17</v>
      </c>
      <c r="K12" s="8">
        <f t="shared" si="2"/>
        <v>17</v>
      </c>
      <c r="L12" s="8">
        <v>40</v>
      </c>
      <c r="M12" s="9">
        <f t="shared" si="3"/>
        <v>40</v>
      </c>
      <c r="N12" s="8">
        <v>3.6</v>
      </c>
      <c r="O12" s="10">
        <f t="shared" si="4"/>
        <v>3.6</v>
      </c>
      <c r="P12" s="8" t="s">
        <v>2051</v>
      </c>
      <c r="Q12" s="14">
        <v>0.77</v>
      </c>
      <c r="R12" s="12">
        <f t="shared" ref="R12:R23" si="8">Q12</f>
        <v>0.77</v>
      </c>
      <c r="S12" s="12">
        <f t="shared" si="6"/>
        <v>0.77</v>
      </c>
    </row>
    <row r="13" spans="1:21" x14ac:dyDescent="0.35">
      <c r="A13" s="8" t="s">
        <v>48</v>
      </c>
      <c r="B13" s="8" t="s">
        <v>49</v>
      </c>
      <c r="C13" s="8" t="s">
        <v>7</v>
      </c>
      <c r="D13" s="8" t="str">
        <f t="shared" si="0"/>
        <v>Female</v>
      </c>
      <c r="E13" s="8">
        <v>55</v>
      </c>
      <c r="F13" s="8">
        <f t="shared" si="1"/>
        <v>55</v>
      </c>
      <c r="G13" s="8" t="s">
        <v>50</v>
      </c>
      <c r="H13" s="8" t="s">
        <v>51</v>
      </c>
      <c r="I13" s="8" t="s">
        <v>52</v>
      </c>
      <c r="J13" s="8">
        <v>15</v>
      </c>
      <c r="K13" s="8">
        <f t="shared" si="2"/>
        <v>15</v>
      </c>
      <c r="L13" s="13"/>
      <c r="M13" s="9">
        <f t="shared" si="3"/>
        <v>40</v>
      </c>
      <c r="O13" s="10">
        <f t="shared" si="4"/>
        <v>2.5125695216907653</v>
      </c>
      <c r="P13" s="8" t="s">
        <v>2051</v>
      </c>
      <c r="Q13" s="14">
        <v>0.86</v>
      </c>
      <c r="R13" s="12">
        <f t="shared" si="8"/>
        <v>0.86</v>
      </c>
      <c r="S13" s="12">
        <f t="shared" si="6"/>
        <v>0.86</v>
      </c>
    </row>
    <row r="14" spans="1:21" x14ac:dyDescent="0.35">
      <c r="A14" s="8" t="s">
        <v>53</v>
      </c>
      <c r="B14" s="8" t="s">
        <v>54</v>
      </c>
      <c r="C14" s="8" t="s">
        <v>55</v>
      </c>
      <c r="D14" s="8" t="str">
        <f t="shared" si="0"/>
        <v>Female</v>
      </c>
      <c r="E14" s="8">
        <v>57</v>
      </c>
      <c r="F14" s="8">
        <f t="shared" si="1"/>
        <v>57</v>
      </c>
      <c r="G14" s="8" t="s">
        <v>46</v>
      </c>
      <c r="H14" s="8" t="s">
        <v>9</v>
      </c>
      <c r="I14" s="8" t="s">
        <v>56</v>
      </c>
      <c r="J14" s="8">
        <v>18</v>
      </c>
      <c r="K14" s="8">
        <f t="shared" si="2"/>
        <v>18</v>
      </c>
      <c r="L14" s="13"/>
      <c r="M14" s="9">
        <f t="shared" si="3"/>
        <v>40</v>
      </c>
      <c r="N14" s="8">
        <v>2</v>
      </c>
      <c r="O14" s="10">
        <f t="shared" si="4"/>
        <v>2</v>
      </c>
      <c r="P14" s="8" t="s">
        <v>2050</v>
      </c>
      <c r="Q14" s="14">
        <v>0.86</v>
      </c>
      <c r="R14" s="12">
        <f t="shared" si="8"/>
        <v>0.86</v>
      </c>
      <c r="S14" s="12">
        <f t="shared" si="6"/>
        <v>0.86</v>
      </c>
    </row>
    <row r="15" spans="1:21" x14ac:dyDescent="0.35">
      <c r="A15" s="8" t="s">
        <v>57</v>
      </c>
      <c r="B15" s="8" t="s">
        <v>58</v>
      </c>
      <c r="C15" s="8" t="s">
        <v>41</v>
      </c>
      <c r="D15" s="8" t="str">
        <f t="shared" si="0"/>
        <v>Male</v>
      </c>
      <c r="E15" s="8">
        <v>38</v>
      </c>
      <c r="F15" s="8">
        <f t="shared" si="1"/>
        <v>38</v>
      </c>
      <c r="G15" s="8" t="s">
        <v>50</v>
      </c>
      <c r="H15" s="8" t="s">
        <v>51</v>
      </c>
      <c r="I15" s="8" t="s">
        <v>16</v>
      </c>
      <c r="J15" s="8">
        <v>20</v>
      </c>
      <c r="K15" s="8">
        <f t="shared" si="2"/>
        <v>20</v>
      </c>
      <c r="L15" s="8">
        <v>75</v>
      </c>
      <c r="M15" s="9">
        <f t="shared" si="3"/>
        <v>75</v>
      </c>
      <c r="N15" s="8">
        <v>2.9</v>
      </c>
      <c r="O15" s="10">
        <f t="shared" si="4"/>
        <v>2.9</v>
      </c>
      <c r="P15" s="8" t="s">
        <v>2051</v>
      </c>
      <c r="Q15" s="14">
        <v>0.93</v>
      </c>
      <c r="R15" s="12">
        <f t="shared" si="8"/>
        <v>0.93</v>
      </c>
      <c r="S15" s="12">
        <f t="shared" si="6"/>
        <v>0.93</v>
      </c>
    </row>
    <row r="16" spans="1:21" x14ac:dyDescent="0.35">
      <c r="A16" s="8" t="s">
        <v>59</v>
      </c>
      <c r="B16" s="8" t="s">
        <v>60</v>
      </c>
      <c r="C16" s="8" t="s">
        <v>41</v>
      </c>
      <c r="D16" s="8" t="str">
        <f t="shared" si="0"/>
        <v>Male</v>
      </c>
      <c r="E16" s="8">
        <v>50</v>
      </c>
      <c r="F16" s="8">
        <f t="shared" si="1"/>
        <v>50</v>
      </c>
      <c r="G16" s="8" t="s">
        <v>14</v>
      </c>
      <c r="H16" s="8" t="s">
        <v>15</v>
      </c>
      <c r="I16" s="8" t="s">
        <v>33</v>
      </c>
      <c r="J16" s="8">
        <v>22</v>
      </c>
      <c r="K16" s="8">
        <f t="shared" si="2"/>
        <v>22</v>
      </c>
      <c r="L16" s="8">
        <v>75</v>
      </c>
      <c r="M16" s="9">
        <f t="shared" si="3"/>
        <v>75</v>
      </c>
      <c r="N16" s="8">
        <v>3.7</v>
      </c>
      <c r="O16" s="10">
        <f t="shared" si="4"/>
        <v>3.7</v>
      </c>
      <c r="P16" s="8" t="s">
        <v>2051</v>
      </c>
      <c r="Q16" s="14">
        <v>0.7</v>
      </c>
      <c r="R16" s="12">
        <f t="shared" si="8"/>
        <v>0.7</v>
      </c>
      <c r="S16" s="12">
        <f t="shared" si="6"/>
        <v>0.7</v>
      </c>
    </row>
    <row r="17" spans="1:19" x14ac:dyDescent="0.35">
      <c r="A17" s="8" t="s">
        <v>61</v>
      </c>
      <c r="B17" s="8" t="s">
        <v>62</v>
      </c>
      <c r="C17" s="8" t="s">
        <v>30</v>
      </c>
      <c r="D17" s="8" t="str">
        <f t="shared" si="0"/>
        <v>Male</v>
      </c>
      <c r="E17" s="8">
        <v>42</v>
      </c>
      <c r="F17" s="8">
        <f t="shared" si="1"/>
        <v>42</v>
      </c>
      <c r="G17" s="8" t="s">
        <v>63</v>
      </c>
      <c r="H17" s="8" t="s">
        <v>64</v>
      </c>
      <c r="I17" s="8" t="s">
        <v>33</v>
      </c>
      <c r="J17" s="8">
        <v>0</v>
      </c>
      <c r="K17" s="8">
        <f t="shared" si="2"/>
        <v>0</v>
      </c>
      <c r="L17" s="8">
        <v>30</v>
      </c>
      <c r="M17" s="9">
        <f t="shared" si="3"/>
        <v>30</v>
      </c>
      <c r="N17" s="8">
        <v>1.2</v>
      </c>
      <c r="O17" s="10">
        <f t="shared" si="4"/>
        <v>1.2</v>
      </c>
      <c r="P17" s="8" t="s">
        <v>2050</v>
      </c>
      <c r="Q17" s="14">
        <v>0.69</v>
      </c>
      <c r="R17" s="12">
        <f t="shared" si="8"/>
        <v>0.69</v>
      </c>
      <c r="S17" s="12">
        <f t="shared" si="6"/>
        <v>0.69</v>
      </c>
    </row>
    <row r="18" spans="1:19" x14ac:dyDescent="0.35">
      <c r="A18" s="8" t="s">
        <v>65</v>
      </c>
      <c r="B18" s="8" t="s">
        <v>66</v>
      </c>
      <c r="C18" s="8" t="s">
        <v>55</v>
      </c>
      <c r="D18" s="8" t="str">
        <f t="shared" si="0"/>
        <v>Female</v>
      </c>
      <c r="E18" s="8">
        <v>39</v>
      </c>
      <c r="F18" s="8">
        <f t="shared" si="1"/>
        <v>39</v>
      </c>
      <c r="G18" s="8" t="s">
        <v>8</v>
      </c>
      <c r="H18" s="8" t="s">
        <v>9</v>
      </c>
      <c r="I18" s="8" t="s">
        <v>67</v>
      </c>
      <c r="J18" s="8">
        <v>13</v>
      </c>
      <c r="K18" s="8">
        <f t="shared" si="2"/>
        <v>13</v>
      </c>
      <c r="L18" s="8">
        <v>30</v>
      </c>
      <c r="M18" s="9">
        <f t="shared" si="3"/>
        <v>30</v>
      </c>
      <c r="N18" s="8">
        <v>2.5</v>
      </c>
      <c r="O18" s="10">
        <f t="shared" si="4"/>
        <v>2.5</v>
      </c>
      <c r="P18" s="8" t="s">
        <v>2050</v>
      </c>
      <c r="Q18" s="14">
        <v>0.6</v>
      </c>
      <c r="R18" s="12">
        <f t="shared" si="8"/>
        <v>0.6</v>
      </c>
      <c r="S18" s="12">
        <f t="shared" si="6"/>
        <v>0.6</v>
      </c>
    </row>
    <row r="19" spans="1:19" x14ac:dyDescent="0.35">
      <c r="A19" s="8" t="s">
        <v>68</v>
      </c>
      <c r="B19" s="8" t="s">
        <v>69</v>
      </c>
      <c r="C19" s="8" t="s">
        <v>70</v>
      </c>
      <c r="D19" s="8" t="str">
        <f t="shared" si="0"/>
        <v>Male</v>
      </c>
      <c r="E19" s="8">
        <v>56</v>
      </c>
      <c r="F19" s="8">
        <f t="shared" si="1"/>
        <v>56</v>
      </c>
      <c r="G19" s="8" t="s">
        <v>71</v>
      </c>
      <c r="H19" s="8" t="s">
        <v>72</v>
      </c>
      <c r="I19" s="8" t="s">
        <v>4</v>
      </c>
      <c r="J19" s="13"/>
      <c r="K19" s="8">
        <f t="shared" si="2"/>
        <v>9</v>
      </c>
      <c r="L19" s="13"/>
      <c r="M19" s="9">
        <f t="shared" si="3"/>
        <v>40</v>
      </c>
      <c r="O19" s="10">
        <f t="shared" si="4"/>
        <v>2.5125695216907653</v>
      </c>
      <c r="P19" s="13" t="s">
        <v>2050</v>
      </c>
      <c r="Q19" s="14">
        <v>0.87</v>
      </c>
      <c r="R19" s="12">
        <f t="shared" si="8"/>
        <v>0.87</v>
      </c>
      <c r="S19" s="12">
        <f t="shared" si="6"/>
        <v>0.87</v>
      </c>
    </row>
    <row r="20" spans="1:19" x14ac:dyDescent="0.35">
      <c r="A20" s="8" t="s">
        <v>73</v>
      </c>
      <c r="B20" s="8" t="s">
        <v>74</v>
      </c>
      <c r="C20" s="8" t="s">
        <v>75</v>
      </c>
      <c r="D20" s="8" t="str">
        <f t="shared" si="0"/>
        <v>Male</v>
      </c>
      <c r="E20" s="8">
        <v>56</v>
      </c>
      <c r="F20" s="8">
        <f t="shared" si="1"/>
        <v>56</v>
      </c>
      <c r="G20" s="8" t="s">
        <v>38</v>
      </c>
      <c r="H20" s="8" t="s">
        <v>9</v>
      </c>
      <c r="I20" s="8" t="s">
        <v>52</v>
      </c>
      <c r="J20" s="8">
        <v>31</v>
      </c>
      <c r="K20" s="8">
        <f>IF(ISBLANK(J20),MEDIAN($J$2:$J$1001),J20)</f>
        <v>31</v>
      </c>
      <c r="L20" s="8">
        <v>50</v>
      </c>
      <c r="M20" s="9">
        <f t="shared" si="3"/>
        <v>50</v>
      </c>
      <c r="N20" s="8">
        <v>1.1000000000000001</v>
      </c>
      <c r="O20" s="10">
        <f t="shared" si="4"/>
        <v>1.1000000000000001</v>
      </c>
      <c r="P20" s="8" t="s">
        <v>2050</v>
      </c>
      <c r="Q20" s="14">
        <v>0.75</v>
      </c>
      <c r="R20" s="12">
        <f t="shared" si="8"/>
        <v>0.75</v>
      </c>
      <c r="S20" s="12">
        <f t="shared" si="6"/>
        <v>0.75</v>
      </c>
    </row>
    <row r="21" spans="1:19" x14ac:dyDescent="0.35">
      <c r="A21" s="8" t="s">
        <v>76</v>
      </c>
      <c r="B21" s="8" t="s">
        <v>77</v>
      </c>
      <c r="C21" s="8" t="s">
        <v>75</v>
      </c>
      <c r="D21" s="8" t="str">
        <f t="shared" si="0"/>
        <v>Male</v>
      </c>
      <c r="E21" s="8">
        <v>57</v>
      </c>
      <c r="F21" s="8">
        <f t="shared" si="1"/>
        <v>57</v>
      </c>
      <c r="G21" s="8" t="s">
        <v>2</v>
      </c>
      <c r="H21" s="8" t="s">
        <v>3</v>
      </c>
      <c r="I21" s="8" t="s">
        <v>20</v>
      </c>
      <c r="J21" s="8">
        <v>3</v>
      </c>
      <c r="K21" s="8">
        <f t="shared" si="2"/>
        <v>3</v>
      </c>
      <c r="L21" s="8">
        <v>100</v>
      </c>
      <c r="M21" s="9">
        <f t="shared" si="3"/>
        <v>100</v>
      </c>
      <c r="N21" s="8">
        <v>1.8</v>
      </c>
      <c r="O21" s="10">
        <f t="shared" si="4"/>
        <v>1.8</v>
      </c>
      <c r="P21" s="8" t="s">
        <v>2051</v>
      </c>
      <c r="Q21" s="14">
        <v>0.68</v>
      </c>
      <c r="R21" s="12">
        <f t="shared" si="8"/>
        <v>0.68</v>
      </c>
      <c r="S21" s="12">
        <f t="shared" si="6"/>
        <v>0.68</v>
      </c>
    </row>
    <row r="22" spans="1:19" x14ac:dyDescent="0.35">
      <c r="A22" s="8" t="s">
        <v>78</v>
      </c>
      <c r="B22" s="8" t="s">
        <v>79</v>
      </c>
      <c r="C22" s="8" t="s">
        <v>75</v>
      </c>
      <c r="D22" s="8" t="str">
        <f t="shared" si="0"/>
        <v>Male</v>
      </c>
      <c r="E22" s="13"/>
      <c r="F22" s="8">
        <f t="shared" si="1"/>
        <v>41</v>
      </c>
      <c r="G22" s="8" t="s">
        <v>31</v>
      </c>
      <c r="H22" s="8" t="s">
        <v>32</v>
      </c>
      <c r="I22" s="8" t="s">
        <v>27</v>
      </c>
      <c r="J22" s="8">
        <v>9</v>
      </c>
      <c r="K22" s="8">
        <f t="shared" si="2"/>
        <v>9</v>
      </c>
      <c r="L22" s="8">
        <v>50</v>
      </c>
      <c r="M22" s="9">
        <f t="shared" si="3"/>
        <v>50</v>
      </c>
      <c r="N22" s="8">
        <v>1.8</v>
      </c>
      <c r="O22" s="10">
        <f t="shared" si="4"/>
        <v>1.8</v>
      </c>
      <c r="P22" s="8" t="s">
        <v>2050</v>
      </c>
      <c r="Q22" s="14">
        <v>0.65</v>
      </c>
      <c r="R22" s="12">
        <f t="shared" si="8"/>
        <v>0.65</v>
      </c>
      <c r="S22" s="12">
        <f t="shared" si="6"/>
        <v>0.65</v>
      </c>
    </row>
    <row r="23" spans="1:19" x14ac:dyDescent="0.35">
      <c r="A23" s="8" t="s">
        <v>80</v>
      </c>
      <c r="B23" s="8" t="s">
        <v>81</v>
      </c>
      <c r="C23" s="8" t="s">
        <v>30</v>
      </c>
      <c r="D23" s="8" t="str">
        <f t="shared" si="0"/>
        <v>Male</v>
      </c>
      <c r="E23" s="8">
        <v>51</v>
      </c>
      <c r="F23" s="8">
        <f t="shared" si="1"/>
        <v>51</v>
      </c>
      <c r="G23" s="8" t="s">
        <v>63</v>
      </c>
      <c r="H23" s="8" t="s">
        <v>64</v>
      </c>
      <c r="I23" s="8" t="s">
        <v>67</v>
      </c>
      <c r="J23" s="13"/>
      <c r="K23" s="8">
        <f t="shared" si="2"/>
        <v>9</v>
      </c>
      <c r="L23" s="13"/>
      <c r="M23" s="9">
        <f t="shared" si="3"/>
        <v>40</v>
      </c>
      <c r="N23" s="8">
        <v>2.4</v>
      </c>
      <c r="O23" s="10">
        <f t="shared" si="4"/>
        <v>2.4</v>
      </c>
      <c r="P23" s="8" t="s">
        <v>2050</v>
      </c>
      <c r="Q23" s="14">
        <v>0.69</v>
      </c>
      <c r="R23" s="12">
        <f t="shared" si="8"/>
        <v>0.69</v>
      </c>
      <c r="S23" s="12">
        <f t="shared" si="6"/>
        <v>0.69</v>
      </c>
    </row>
    <row r="24" spans="1:19" x14ac:dyDescent="0.35">
      <c r="A24" s="8" t="s">
        <v>82</v>
      </c>
      <c r="B24" s="8" t="s">
        <v>83</v>
      </c>
      <c r="C24" s="8" t="s">
        <v>30</v>
      </c>
      <c r="D24" s="8" t="str">
        <f t="shared" si="0"/>
        <v>Male</v>
      </c>
      <c r="E24" s="8">
        <v>51</v>
      </c>
      <c r="F24" s="8">
        <f t="shared" si="1"/>
        <v>51</v>
      </c>
      <c r="G24" s="8" t="s">
        <v>84</v>
      </c>
      <c r="H24" s="8" t="s">
        <v>85</v>
      </c>
      <c r="I24" s="8" t="s">
        <v>56</v>
      </c>
      <c r="J24" s="8">
        <v>21</v>
      </c>
      <c r="K24" s="8">
        <f t="shared" si="2"/>
        <v>21</v>
      </c>
      <c r="L24" s="8">
        <v>30</v>
      </c>
      <c r="M24" s="9">
        <f t="shared" si="3"/>
        <v>30</v>
      </c>
      <c r="N24" s="8">
        <v>4.7</v>
      </c>
      <c r="O24" s="10">
        <f t="shared" si="4"/>
        <v>4.7</v>
      </c>
      <c r="P24" s="8" t="s">
        <v>2050</v>
      </c>
      <c r="Q24" s="13"/>
      <c r="S24" s="12">
        <f t="shared" si="6"/>
        <v>0.79269417475728277</v>
      </c>
    </row>
    <row r="25" spans="1:19" x14ac:dyDescent="0.35">
      <c r="A25" s="8" t="s">
        <v>86</v>
      </c>
      <c r="B25" s="8" t="s">
        <v>87</v>
      </c>
      <c r="C25" s="8" t="s">
        <v>22</v>
      </c>
      <c r="D25" s="8" t="str">
        <f t="shared" si="0"/>
        <v>Female</v>
      </c>
      <c r="E25" s="8">
        <v>51</v>
      </c>
      <c r="F25" s="8">
        <f t="shared" si="1"/>
        <v>51</v>
      </c>
      <c r="G25" s="8" t="s">
        <v>88</v>
      </c>
      <c r="H25" s="8" t="s">
        <v>89</v>
      </c>
      <c r="I25" s="8" t="s">
        <v>90</v>
      </c>
      <c r="J25" s="8">
        <v>15</v>
      </c>
      <c r="K25" s="8">
        <f t="shared" si="2"/>
        <v>15</v>
      </c>
      <c r="L25" s="8">
        <v>50</v>
      </c>
      <c r="M25" s="9">
        <f t="shared" si="3"/>
        <v>50</v>
      </c>
      <c r="N25" s="8">
        <v>1.3</v>
      </c>
      <c r="O25" s="10">
        <f t="shared" si="4"/>
        <v>1.3</v>
      </c>
      <c r="P25" s="8" t="s">
        <v>2051</v>
      </c>
      <c r="Q25" s="14">
        <v>1</v>
      </c>
      <c r="R25" s="12">
        <f>Q25</f>
        <v>1</v>
      </c>
      <c r="S25" s="12">
        <f t="shared" si="6"/>
        <v>1</v>
      </c>
    </row>
    <row r="26" spans="1:19" x14ac:dyDescent="0.35">
      <c r="A26" s="8" t="s">
        <v>91</v>
      </c>
      <c r="B26" s="8" t="s">
        <v>92</v>
      </c>
      <c r="C26" s="8" t="s">
        <v>1</v>
      </c>
      <c r="D26" s="8" t="str">
        <f t="shared" si="0"/>
        <v>Female</v>
      </c>
      <c r="E26" s="8">
        <v>54</v>
      </c>
      <c r="F26" s="8">
        <f t="shared" si="1"/>
        <v>54</v>
      </c>
      <c r="G26" s="8" t="s">
        <v>31</v>
      </c>
      <c r="H26" s="8" t="s">
        <v>32</v>
      </c>
      <c r="I26" s="8" t="s">
        <v>90</v>
      </c>
      <c r="J26" s="8">
        <v>13</v>
      </c>
      <c r="K26" s="8">
        <f t="shared" si="2"/>
        <v>13</v>
      </c>
      <c r="L26" s="8">
        <v>75</v>
      </c>
      <c r="M26" s="9">
        <f t="shared" si="3"/>
        <v>75</v>
      </c>
      <c r="N26" s="8">
        <v>2.9</v>
      </c>
      <c r="O26" s="10">
        <f t="shared" si="4"/>
        <v>2.9</v>
      </c>
      <c r="P26" s="13" t="s">
        <v>2050</v>
      </c>
      <c r="Q26" s="8">
        <v>92</v>
      </c>
      <c r="R26" s="12">
        <v>0.92</v>
      </c>
      <c r="S26" s="12">
        <f t="shared" si="6"/>
        <v>0.92</v>
      </c>
    </row>
    <row r="27" spans="1:19" x14ac:dyDescent="0.35">
      <c r="A27" s="8" t="s">
        <v>93</v>
      </c>
      <c r="B27" s="8" t="s">
        <v>94</v>
      </c>
      <c r="C27" s="8" t="s">
        <v>7</v>
      </c>
      <c r="D27" s="8" t="str">
        <f t="shared" si="0"/>
        <v>Female</v>
      </c>
      <c r="E27" s="8">
        <v>22</v>
      </c>
      <c r="F27" s="8">
        <f t="shared" si="1"/>
        <v>22</v>
      </c>
      <c r="G27" s="8" t="s">
        <v>88</v>
      </c>
      <c r="H27" s="8" t="s">
        <v>89</v>
      </c>
      <c r="I27" s="8" t="s">
        <v>67</v>
      </c>
      <c r="J27" s="8">
        <v>0</v>
      </c>
      <c r="K27" s="8">
        <f t="shared" si="2"/>
        <v>0</v>
      </c>
      <c r="L27" s="8">
        <v>30</v>
      </c>
      <c r="M27" s="9">
        <f t="shared" si="3"/>
        <v>30</v>
      </c>
      <c r="N27" s="8">
        <v>1.2</v>
      </c>
      <c r="O27" s="10">
        <f t="shared" si="4"/>
        <v>1.2</v>
      </c>
      <c r="P27" s="8" t="s">
        <v>2051</v>
      </c>
      <c r="Q27" s="14">
        <v>0.7</v>
      </c>
      <c r="R27" s="12">
        <f t="shared" ref="R27:R30" si="9">Q27</f>
        <v>0.7</v>
      </c>
      <c r="S27" s="12">
        <f t="shared" si="6"/>
        <v>0.7</v>
      </c>
    </row>
    <row r="28" spans="1:19" x14ac:dyDescent="0.35">
      <c r="A28" s="8" t="s">
        <v>95</v>
      </c>
      <c r="B28" s="8" t="s">
        <v>96</v>
      </c>
      <c r="C28" s="8" t="s">
        <v>22</v>
      </c>
      <c r="D28" s="8" t="str">
        <f t="shared" si="0"/>
        <v>Female</v>
      </c>
      <c r="E28" s="8">
        <v>34</v>
      </c>
      <c r="F28" s="8">
        <f t="shared" si="1"/>
        <v>34</v>
      </c>
      <c r="G28" s="8" t="s">
        <v>63</v>
      </c>
      <c r="H28" s="8" t="s">
        <v>64</v>
      </c>
      <c r="I28" s="8" t="s">
        <v>4</v>
      </c>
      <c r="J28" s="8">
        <v>8</v>
      </c>
      <c r="K28" s="8">
        <f t="shared" si="2"/>
        <v>8</v>
      </c>
      <c r="L28" s="8">
        <v>20</v>
      </c>
      <c r="M28" s="9">
        <f t="shared" si="3"/>
        <v>20</v>
      </c>
      <c r="N28" s="8">
        <v>0</v>
      </c>
      <c r="O28" s="11">
        <f t="shared" si="4"/>
        <v>0</v>
      </c>
      <c r="P28" s="8" t="s">
        <v>2051</v>
      </c>
      <c r="Q28" s="14">
        <v>0.89</v>
      </c>
      <c r="R28" s="12">
        <f t="shared" si="9"/>
        <v>0.89</v>
      </c>
      <c r="S28" s="12">
        <f t="shared" si="6"/>
        <v>0.89</v>
      </c>
    </row>
    <row r="29" spans="1:19" x14ac:dyDescent="0.35">
      <c r="A29" s="8" t="s">
        <v>97</v>
      </c>
      <c r="B29" s="8" t="s">
        <v>98</v>
      </c>
      <c r="C29" s="8" t="s">
        <v>55</v>
      </c>
      <c r="D29" s="8" t="str">
        <f t="shared" si="0"/>
        <v>Female</v>
      </c>
      <c r="E29" s="8">
        <v>36</v>
      </c>
      <c r="F29" s="8">
        <f t="shared" si="1"/>
        <v>36</v>
      </c>
      <c r="G29" s="8" t="s">
        <v>99</v>
      </c>
      <c r="H29" s="8" t="s">
        <v>100</v>
      </c>
      <c r="I29" s="8" t="s">
        <v>16</v>
      </c>
      <c r="J29" s="8">
        <v>11</v>
      </c>
      <c r="K29" s="8">
        <f t="shared" si="2"/>
        <v>11</v>
      </c>
      <c r="L29" s="13"/>
      <c r="M29" s="9">
        <f t="shared" si="3"/>
        <v>40</v>
      </c>
      <c r="N29" s="8">
        <v>1.8</v>
      </c>
      <c r="O29" s="10">
        <f t="shared" si="4"/>
        <v>1.8</v>
      </c>
      <c r="P29" s="8" t="s">
        <v>2051</v>
      </c>
      <c r="Q29" s="14">
        <v>0.86</v>
      </c>
      <c r="R29" s="12">
        <f t="shared" si="9"/>
        <v>0.86</v>
      </c>
      <c r="S29" s="12">
        <f t="shared" si="6"/>
        <v>0.86</v>
      </c>
    </row>
    <row r="30" spans="1:19" x14ac:dyDescent="0.35">
      <c r="A30" s="8" t="s">
        <v>101</v>
      </c>
      <c r="B30" s="8" t="s">
        <v>102</v>
      </c>
      <c r="C30" s="8" t="s">
        <v>22</v>
      </c>
      <c r="D30" s="8" t="str">
        <f t="shared" si="0"/>
        <v>Female</v>
      </c>
      <c r="E30" s="8">
        <v>47</v>
      </c>
      <c r="F30" s="8">
        <f t="shared" si="1"/>
        <v>47</v>
      </c>
      <c r="G30" s="8" t="s">
        <v>103</v>
      </c>
      <c r="H30" s="8" t="s">
        <v>9</v>
      </c>
      <c r="I30" s="8" t="s">
        <v>27</v>
      </c>
      <c r="J30" s="8">
        <v>22</v>
      </c>
      <c r="K30" s="8">
        <f t="shared" si="2"/>
        <v>22</v>
      </c>
      <c r="L30" s="8">
        <v>30</v>
      </c>
      <c r="M30" s="9">
        <f t="shared" si="3"/>
        <v>30</v>
      </c>
      <c r="N30" s="8">
        <v>1.3</v>
      </c>
      <c r="O30" s="10">
        <f t="shared" si="4"/>
        <v>1.3</v>
      </c>
      <c r="P30" s="8" t="s">
        <v>2050</v>
      </c>
      <c r="Q30" s="14">
        <v>0.62</v>
      </c>
      <c r="R30" s="12">
        <f t="shared" si="9"/>
        <v>0.62</v>
      </c>
      <c r="S30" s="12">
        <f t="shared" si="6"/>
        <v>0.62</v>
      </c>
    </row>
    <row r="31" spans="1:19" x14ac:dyDescent="0.35">
      <c r="A31" s="8" t="s">
        <v>104</v>
      </c>
      <c r="B31" s="8" t="s">
        <v>105</v>
      </c>
      <c r="C31" s="8" t="s">
        <v>7</v>
      </c>
      <c r="D31" s="8" t="str">
        <f t="shared" si="0"/>
        <v>Female</v>
      </c>
      <c r="E31" s="8">
        <v>41</v>
      </c>
      <c r="F31" s="8">
        <f t="shared" si="1"/>
        <v>41</v>
      </c>
      <c r="G31" s="8" t="s">
        <v>25</v>
      </c>
      <c r="H31" s="8" t="s">
        <v>26</v>
      </c>
      <c r="I31" s="8" t="s">
        <v>33</v>
      </c>
      <c r="J31" s="8">
        <v>14</v>
      </c>
      <c r="K31" s="8">
        <f t="shared" si="2"/>
        <v>14</v>
      </c>
      <c r="L31" s="8">
        <v>75</v>
      </c>
      <c r="M31" s="9">
        <f t="shared" si="3"/>
        <v>75</v>
      </c>
      <c r="N31" s="8">
        <v>1.2</v>
      </c>
      <c r="O31" s="10">
        <f t="shared" si="4"/>
        <v>1.2</v>
      </c>
      <c r="P31" s="8" t="s">
        <v>2050</v>
      </c>
      <c r="Q31" s="13"/>
      <c r="S31" s="12">
        <f t="shared" si="6"/>
        <v>0.79269417475728277</v>
      </c>
    </row>
    <row r="32" spans="1:19" x14ac:dyDescent="0.35">
      <c r="A32" s="8" t="s">
        <v>106</v>
      </c>
      <c r="B32" s="8" t="s">
        <v>107</v>
      </c>
      <c r="C32" s="8" t="s">
        <v>75</v>
      </c>
      <c r="D32" s="8" t="str">
        <f t="shared" si="0"/>
        <v>Male</v>
      </c>
      <c r="E32" s="8">
        <v>22</v>
      </c>
      <c r="F32" s="8">
        <f t="shared" si="1"/>
        <v>22</v>
      </c>
      <c r="G32" s="8" t="s">
        <v>25</v>
      </c>
      <c r="H32" s="8" t="s">
        <v>26</v>
      </c>
      <c r="I32" s="8" t="s">
        <v>67</v>
      </c>
      <c r="J32" s="8">
        <v>4</v>
      </c>
      <c r="K32" s="8">
        <f t="shared" si="2"/>
        <v>4</v>
      </c>
      <c r="L32" s="13"/>
      <c r="M32" s="9">
        <f t="shared" si="3"/>
        <v>40</v>
      </c>
      <c r="N32" s="8">
        <v>1</v>
      </c>
      <c r="O32" s="10">
        <f t="shared" si="4"/>
        <v>1</v>
      </c>
      <c r="P32" s="8" t="s">
        <v>2051</v>
      </c>
      <c r="Q32" s="13"/>
      <c r="S32" s="12">
        <f t="shared" si="6"/>
        <v>0.79269417475728277</v>
      </c>
    </row>
    <row r="33" spans="1:19" x14ac:dyDescent="0.35">
      <c r="A33" s="8" t="s">
        <v>108</v>
      </c>
      <c r="B33" s="8" t="s">
        <v>109</v>
      </c>
      <c r="C33" s="8" t="s">
        <v>75</v>
      </c>
      <c r="D33" s="8" t="str">
        <f t="shared" si="0"/>
        <v>Male</v>
      </c>
      <c r="E33" s="8">
        <v>38</v>
      </c>
      <c r="F33" s="8">
        <f t="shared" si="1"/>
        <v>38</v>
      </c>
      <c r="G33" s="8" t="s">
        <v>110</v>
      </c>
      <c r="H33" s="8" t="s">
        <v>111</v>
      </c>
      <c r="I33" s="8" t="s">
        <v>90</v>
      </c>
      <c r="J33" s="8">
        <v>19</v>
      </c>
      <c r="K33" s="8">
        <f t="shared" si="2"/>
        <v>19</v>
      </c>
      <c r="L33" s="8">
        <v>100</v>
      </c>
      <c r="M33" s="9">
        <f t="shared" si="3"/>
        <v>100</v>
      </c>
      <c r="N33" s="8">
        <v>4.2</v>
      </c>
      <c r="O33" s="10">
        <f t="shared" si="4"/>
        <v>4.2</v>
      </c>
      <c r="P33" s="8" t="s">
        <v>2050</v>
      </c>
      <c r="Q33" s="14">
        <v>0.68</v>
      </c>
      <c r="R33" s="12">
        <f t="shared" ref="R33:R34" si="10">Q33</f>
        <v>0.68</v>
      </c>
      <c r="S33" s="12">
        <f t="shared" si="6"/>
        <v>0.68</v>
      </c>
    </row>
    <row r="34" spans="1:19" x14ac:dyDescent="0.35">
      <c r="A34" s="8" t="s">
        <v>112</v>
      </c>
      <c r="B34" s="8" t="s">
        <v>113</v>
      </c>
      <c r="C34" s="8" t="s">
        <v>70</v>
      </c>
      <c r="D34" s="8" t="str">
        <f t="shared" si="0"/>
        <v>Male</v>
      </c>
      <c r="E34" s="8">
        <v>46</v>
      </c>
      <c r="F34" s="8">
        <f t="shared" si="1"/>
        <v>46</v>
      </c>
      <c r="G34" s="8" t="s">
        <v>114</v>
      </c>
      <c r="H34" s="8" t="s">
        <v>115</v>
      </c>
      <c r="I34" s="8" t="s">
        <v>27</v>
      </c>
      <c r="J34" s="8">
        <v>9</v>
      </c>
      <c r="K34" s="8">
        <f t="shared" si="2"/>
        <v>9</v>
      </c>
      <c r="L34" s="8">
        <v>20</v>
      </c>
      <c r="M34" s="9">
        <f t="shared" si="3"/>
        <v>20</v>
      </c>
      <c r="N34" s="8">
        <v>1.4</v>
      </c>
      <c r="O34" s="10">
        <f t="shared" si="4"/>
        <v>1.4</v>
      </c>
      <c r="P34" s="8" t="s">
        <v>2051</v>
      </c>
      <c r="Q34" s="14">
        <v>0.76</v>
      </c>
      <c r="R34" s="12">
        <f t="shared" si="10"/>
        <v>0.76</v>
      </c>
      <c r="S34" s="12">
        <f t="shared" si="6"/>
        <v>0.76</v>
      </c>
    </row>
    <row r="35" spans="1:19" x14ac:dyDescent="0.35">
      <c r="A35" s="8" t="s">
        <v>116</v>
      </c>
      <c r="B35" s="8" t="s">
        <v>117</v>
      </c>
      <c r="C35" s="8" t="s">
        <v>13</v>
      </c>
      <c r="D35" s="8" t="str">
        <f t="shared" si="0"/>
        <v>Male</v>
      </c>
      <c r="E35" s="13"/>
      <c r="F35" s="8">
        <f t="shared" si="1"/>
        <v>41</v>
      </c>
      <c r="G35" s="8" t="s">
        <v>88</v>
      </c>
      <c r="H35" s="8" t="s">
        <v>89</v>
      </c>
      <c r="I35" s="8" t="s">
        <v>27</v>
      </c>
      <c r="J35" s="8">
        <v>9</v>
      </c>
      <c r="K35" s="8">
        <f t="shared" si="2"/>
        <v>9</v>
      </c>
      <c r="L35" s="8">
        <v>40</v>
      </c>
      <c r="M35" s="9">
        <f t="shared" si="3"/>
        <v>40</v>
      </c>
      <c r="N35" s="8">
        <v>2.4</v>
      </c>
      <c r="O35" s="10">
        <f t="shared" si="4"/>
        <v>2.4</v>
      </c>
      <c r="P35" s="8" t="s">
        <v>2051</v>
      </c>
      <c r="Q35" s="8">
        <v>82</v>
      </c>
      <c r="R35" s="12">
        <v>0.82</v>
      </c>
      <c r="S35" s="12">
        <f t="shared" si="6"/>
        <v>0.82</v>
      </c>
    </row>
    <row r="36" spans="1:19" x14ac:dyDescent="0.35">
      <c r="A36" s="8" t="s">
        <v>118</v>
      </c>
      <c r="B36" s="8" t="s">
        <v>119</v>
      </c>
      <c r="C36" s="8" t="s">
        <v>7</v>
      </c>
      <c r="D36" s="8" t="str">
        <f t="shared" si="0"/>
        <v>Female</v>
      </c>
      <c r="E36" s="8">
        <v>54</v>
      </c>
      <c r="F36" s="8">
        <f t="shared" si="1"/>
        <v>54</v>
      </c>
      <c r="G36" s="8" t="s">
        <v>38</v>
      </c>
      <c r="H36" s="8" t="s">
        <v>9</v>
      </c>
      <c r="I36" s="8" t="s">
        <v>20</v>
      </c>
      <c r="J36" s="8">
        <v>32</v>
      </c>
      <c r="K36" s="8">
        <f t="shared" si="2"/>
        <v>32</v>
      </c>
      <c r="L36" s="8">
        <v>75</v>
      </c>
      <c r="M36" s="9">
        <f t="shared" si="3"/>
        <v>75</v>
      </c>
      <c r="N36" s="8">
        <v>1</v>
      </c>
      <c r="O36" s="10">
        <f t="shared" si="4"/>
        <v>1</v>
      </c>
      <c r="P36" s="8" t="s">
        <v>2051</v>
      </c>
      <c r="Q36" s="14">
        <v>0.81</v>
      </c>
      <c r="R36" s="12">
        <f>Q36</f>
        <v>0.81</v>
      </c>
      <c r="S36" s="12">
        <f t="shared" si="6"/>
        <v>0.81</v>
      </c>
    </row>
    <row r="37" spans="1:19" x14ac:dyDescent="0.35">
      <c r="A37" s="8" t="s">
        <v>120</v>
      </c>
      <c r="B37" s="8" t="s">
        <v>121</v>
      </c>
      <c r="C37" s="8" t="s">
        <v>22</v>
      </c>
      <c r="D37" s="8" t="str">
        <f t="shared" si="0"/>
        <v>Female</v>
      </c>
      <c r="E37" s="8">
        <v>52</v>
      </c>
      <c r="F37" s="8">
        <f t="shared" si="1"/>
        <v>52</v>
      </c>
      <c r="G37" s="8" t="s">
        <v>88</v>
      </c>
      <c r="H37" s="8" t="s">
        <v>89</v>
      </c>
      <c r="I37" s="8" t="s">
        <v>20</v>
      </c>
      <c r="J37" s="8">
        <v>28</v>
      </c>
      <c r="K37" s="8">
        <f t="shared" si="2"/>
        <v>28</v>
      </c>
      <c r="L37" s="8">
        <v>20</v>
      </c>
      <c r="M37" s="9">
        <f t="shared" si="3"/>
        <v>20</v>
      </c>
      <c r="O37" s="10">
        <f t="shared" si="4"/>
        <v>2.5125695216907653</v>
      </c>
      <c r="P37" s="8" t="s">
        <v>2050</v>
      </c>
      <c r="Q37" s="13"/>
      <c r="S37" s="12">
        <f t="shared" si="6"/>
        <v>0.79269417475728277</v>
      </c>
    </row>
    <row r="38" spans="1:19" x14ac:dyDescent="0.35">
      <c r="A38" s="8" t="s">
        <v>122</v>
      </c>
      <c r="B38" s="8" t="s">
        <v>123</v>
      </c>
      <c r="C38" s="8" t="s">
        <v>1</v>
      </c>
      <c r="D38" s="8" t="str">
        <f t="shared" si="0"/>
        <v>Female</v>
      </c>
      <c r="E38" s="8">
        <v>42</v>
      </c>
      <c r="F38" s="8">
        <f t="shared" si="1"/>
        <v>42</v>
      </c>
      <c r="G38" s="8" t="s">
        <v>63</v>
      </c>
      <c r="H38" s="8" t="s">
        <v>64</v>
      </c>
      <c r="I38" s="8" t="s">
        <v>10</v>
      </c>
      <c r="J38" s="8">
        <v>6</v>
      </c>
      <c r="K38" s="8">
        <f t="shared" si="2"/>
        <v>6</v>
      </c>
      <c r="L38" s="8">
        <v>40</v>
      </c>
      <c r="M38" s="9">
        <f t="shared" si="3"/>
        <v>40</v>
      </c>
      <c r="O38" s="10">
        <f t="shared" si="4"/>
        <v>2.5125695216907653</v>
      </c>
      <c r="P38" s="8" t="s">
        <v>2050</v>
      </c>
      <c r="Q38" s="14">
        <v>0.63</v>
      </c>
      <c r="R38" s="12">
        <f t="shared" ref="R38:R39" si="11">Q38</f>
        <v>0.63</v>
      </c>
      <c r="S38" s="12">
        <f t="shared" si="6"/>
        <v>0.63</v>
      </c>
    </row>
    <row r="39" spans="1:19" x14ac:dyDescent="0.35">
      <c r="A39" s="8" t="s">
        <v>124</v>
      </c>
      <c r="B39" s="8" t="s">
        <v>125</v>
      </c>
      <c r="C39" s="8" t="s">
        <v>19</v>
      </c>
      <c r="D39" s="8" t="str">
        <f t="shared" si="0"/>
        <v>Female</v>
      </c>
      <c r="E39" s="8">
        <v>29</v>
      </c>
      <c r="F39" s="8">
        <f t="shared" si="1"/>
        <v>29</v>
      </c>
      <c r="G39" s="8" t="s">
        <v>25</v>
      </c>
      <c r="H39" s="8" t="s">
        <v>26</v>
      </c>
      <c r="I39" s="8" t="s">
        <v>16</v>
      </c>
      <c r="J39" s="8">
        <v>10</v>
      </c>
      <c r="K39" s="8">
        <f t="shared" si="2"/>
        <v>10</v>
      </c>
      <c r="L39" s="8">
        <v>40</v>
      </c>
      <c r="M39" s="9">
        <f t="shared" si="3"/>
        <v>40</v>
      </c>
      <c r="N39" s="8">
        <v>2.2000000000000002</v>
      </c>
      <c r="O39" s="10">
        <f t="shared" si="4"/>
        <v>2.2000000000000002</v>
      </c>
      <c r="P39" s="8" t="s">
        <v>2050</v>
      </c>
      <c r="Q39" s="14">
        <v>0.67</v>
      </c>
      <c r="R39" s="12">
        <f t="shared" si="11"/>
        <v>0.67</v>
      </c>
      <c r="S39" s="12">
        <f t="shared" si="6"/>
        <v>0.67</v>
      </c>
    </row>
    <row r="40" spans="1:19" x14ac:dyDescent="0.35">
      <c r="A40" s="8" t="s">
        <v>126</v>
      </c>
      <c r="B40" s="8" t="s">
        <v>127</v>
      </c>
      <c r="C40" s="8" t="s">
        <v>19</v>
      </c>
      <c r="D40" s="8" t="str">
        <f t="shared" si="0"/>
        <v>Female</v>
      </c>
      <c r="E40" s="8">
        <v>42</v>
      </c>
      <c r="F40" s="8">
        <f t="shared" si="1"/>
        <v>42</v>
      </c>
      <c r="G40" s="8" t="s">
        <v>128</v>
      </c>
      <c r="H40" s="8" t="s">
        <v>129</v>
      </c>
      <c r="I40" s="8" t="s">
        <v>10</v>
      </c>
      <c r="J40" s="8">
        <v>23</v>
      </c>
      <c r="K40" s="8">
        <f t="shared" si="2"/>
        <v>23</v>
      </c>
      <c r="L40" s="8">
        <v>50</v>
      </c>
      <c r="M40" s="9">
        <f t="shared" si="3"/>
        <v>50</v>
      </c>
      <c r="N40" s="8">
        <v>3.2</v>
      </c>
      <c r="O40" s="10">
        <f t="shared" si="4"/>
        <v>3.2</v>
      </c>
      <c r="P40" s="8" t="s">
        <v>2051</v>
      </c>
      <c r="Q40" s="13"/>
      <c r="S40" s="12">
        <f t="shared" si="6"/>
        <v>0.79269417475728277</v>
      </c>
    </row>
    <row r="41" spans="1:19" x14ac:dyDescent="0.35">
      <c r="A41" s="8" t="s">
        <v>130</v>
      </c>
      <c r="B41" s="8" t="s">
        <v>131</v>
      </c>
      <c r="C41" s="8" t="s">
        <v>75</v>
      </c>
      <c r="D41" s="8" t="str">
        <f t="shared" si="0"/>
        <v>Male</v>
      </c>
      <c r="E41" s="8">
        <v>60</v>
      </c>
      <c r="F41" s="8">
        <f t="shared" si="1"/>
        <v>60</v>
      </c>
      <c r="G41" s="8" t="s">
        <v>63</v>
      </c>
      <c r="H41" s="8" t="s">
        <v>64</v>
      </c>
      <c r="I41" s="8" t="s">
        <v>20</v>
      </c>
      <c r="J41" s="8">
        <v>13</v>
      </c>
      <c r="K41" s="8">
        <f t="shared" si="2"/>
        <v>13</v>
      </c>
      <c r="L41" s="8">
        <v>20</v>
      </c>
      <c r="M41" s="9">
        <f t="shared" si="3"/>
        <v>20</v>
      </c>
      <c r="N41" s="8">
        <v>3.6</v>
      </c>
      <c r="O41" s="10">
        <f t="shared" si="4"/>
        <v>3.6</v>
      </c>
      <c r="P41" s="8" t="s">
        <v>2050</v>
      </c>
      <c r="Q41" s="14">
        <v>0.8</v>
      </c>
      <c r="R41" s="12">
        <f>Q41</f>
        <v>0.8</v>
      </c>
      <c r="S41" s="12">
        <f t="shared" si="6"/>
        <v>0.8</v>
      </c>
    </row>
    <row r="42" spans="1:19" x14ac:dyDescent="0.35">
      <c r="A42" s="8" t="s">
        <v>132</v>
      </c>
      <c r="B42" s="8" t="s">
        <v>133</v>
      </c>
      <c r="C42" s="8" t="s">
        <v>55</v>
      </c>
      <c r="D42" s="8" t="str">
        <f t="shared" si="0"/>
        <v>Female</v>
      </c>
      <c r="E42" s="8">
        <v>59</v>
      </c>
      <c r="F42" s="8">
        <f t="shared" si="1"/>
        <v>59</v>
      </c>
      <c r="G42" s="8" t="s">
        <v>46</v>
      </c>
      <c r="H42" s="8" t="s">
        <v>9</v>
      </c>
      <c r="I42" s="8" t="s">
        <v>27</v>
      </c>
      <c r="J42" s="8">
        <v>3</v>
      </c>
      <c r="K42" s="8">
        <f t="shared" si="2"/>
        <v>3</v>
      </c>
      <c r="L42" s="8">
        <v>50</v>
      </c>
      <c r="M42" s="9">
        <f t="shared" si="3"/>
        <v>50</v>
      </c>
      <c r="N42" s="8">
        <v>0</v>
      </c>
      <c r="O42" s="11">
        <f t="shared" si="4"/>
        <v>0</v>
      </c>
      <c r="P42" s="8" t="s">
        <v>2050</v>
      </c>
      <c r="Q42" s="13"/>
      <c r="S42" s="12">
        <f t="shared" si="6"/>
        <v>0.79269417475728277</v>
      </c>
    </row>
    <row r="43" spans="1:19" x14ac:dyDescent="0.35">
      <c r="A43" s="8" t="s">
        <v>134</v>
      </c>
      <c r="B43" s="8" t="s">
        <v>135</v>
      </c>
      <c r="C43" s="8" t="s">
        <v>55</v>
      </c>
      <c r="D43" s="8" t="str">
        <f t="shared" si="0"/>
        <v>Female</v>
      </c>
      <c r="E43" s="8">
        <v>21</v>
      </c>
      <c r="F43" s="8">
        <f t="shared" si="1"/>
        <v>21</v>
      </c>
      <c r="G43" s="8" t="s">
        <v>103</v>
      </c>
      <c r="H43" s="8" t="s">
        <v>9</v>
      </c>
      <c r="I43" s="8" t="s">
        <v>20</v>
      </c>
      <c r="J43" s="8">
        <v>0</v>
      </c>
      <c r="K43" s="8">
        <f t="shared" si="2"/>
        <v>0</v>
      </c>
      <c r="L43" s="8">
        <v>30</v>
      </c>
      <c r="M43" s="9">
        <f t="shared" si="3"/>
        <v>30</v>
      </c>
      <c r="N43" s="8">
        <v>2.7</v>
      </c>
      <c r="O43" s="10">
        <f t="shared" si="4"/>
        <v>2.7</v>
      </c>
      <c r="P43" s="8" t="s">
        <v>2051</v>
      </c>
      <c r="Q43" s="14">
        <v>0.84</v>
      </c>
      <c r="R43" s="12">
        <f>Q43</f>
        <v>0.84</v>
      </c>
      <c r="S43" s="12">
        <f t="shared" si="6"/>
        <v>0.84</v>
      </c>
    </row>
    <row r="44" spans="1:19" x14ac:dyDescent="0.35">
      <c r="A44" s="8" t="s">
        <v>136</v>
      </c>
      <c r="B44" s="8" t="s">
        <v>137</v>
      </c>
      <c r="C44" s="8" t="s">
        <v>55</v>
      </c>
      <c r="D44" s="8" t="str">
        <f t="shared" si="0"/>
        <v>Female</v>
      </c>
      <c r="E44" s="8">
        <v>35</v>
      </c>
      <c r="F44" s="8">
        <f t="shared" si="1"/>
        <v>35</v>
      </c>
      <c r="G44" s="8" t="s">
        <v>14</v>
      </c>
      <c r="H44" s="8" t="s">
        <v>15</v>
      </c>
      <c r="I44" s="8" t="s">
        <v>67</v>
      </c>
      <c r="J44" s="8">
        <v>10</v>
      </c>
      <c r="K44" s="8">
        <f t="shared" si="2"/>
        <v>10</v>
      </c>
      <c r="L44" s="8">
        <v>50</v>
      </c>
      <c r="M44" s="9">
        <f t="shared" si="3"/>
        <v>50</v>
      </c>
      <c r="N44" s="8">
        <v>0</v>
      </c>
      <c r="O44" s="11">
        <f t="shared" si="4"/>
        <v>0</v>
      </c>
      <c r="P44" s="8" t="s">
        <v>2050</v>
      </c>
      <c r="Q44" s="13"/>
      <c r="S44" s="12">
        <f t="shared" si="6"/>
        <v>0.79269417475728277</v>
      </c>
    </row>
    <row r="45" spans="1:19" x14ac:dyDescent="0.35">
      <c r="A45" s="8" t="s">
        <v>138</v>
      </c>
      <c r="B45" s="8" t="s">
        <v>139</v>
      </c>
      <c r="C45" s="8" t="s">
        <v>13</v>
      </c>
      <c r="D45" s="8" t="str">
        <f t="shared" si="0"/>
        <v>Male</v>
      </c>
      <c r="E45" s="8">
        <v>41</v>
      </c>
      <c r="F45" s="8">
        <f t="shared" si="1"/>
        <v>41</v>
      </c>
      <c r="G45" s="8" t="s">
        <v>46</v>
      </c>
      <c r="H45" s="8" t="s">
        <v>9</v>
      </c>
      <c r="I45" s="8" t="s">
        <v>33</v>
      </c>
      <c r="J45" s="13"/>
      <c r="K45" s="8">
        <f t="shared" si="2"/>
        <v>9</v>
      </c>
      <c r="L45" s="8">
        <v>20</v>
      </c>
      <c r="M45" s="9">
        <f t="shared" si="3"/>
        <v>20</v>
      </c>
      <c r="N45" s="8">
        <v>2.8</v>
      </c>
      <c r="O45" s="10">
        <f t="shared" si="4"/>
        <v>2.8</v>
      </c>
      <c r="P45" s="8" t="s">
        <v>2051</v>
      </c>
      <c r="Q45" s="14">
        <v>0.63</v>
      </c>
      <c r="R45" s="12">
        <f t="shared" ref="R45:R49" si="12">Q45</f>
        <v>0.63</v>
      </c>
      <c r="S45" s="12">
        <f t="shared" si="6"/>
        <v>0.63</v>
      </c>
    </row>
    <row r="46" spans="1:19" x14ac:dyDescent="0.35">
      <c r="A46" s="8" t="s">
        <v>140</v>
      </c>
      <c r="B46" s="8" t="s">
        <v>141</v>
      </c>
      <c r="C46" s="8" t="s">
        <v>55</v>
      </c>
      <c r="D46" s="8" t="str">
        <f t="shared" si="0"/>
        <v>Female</v>
      </c>
      <c r="E46" s="8">
        <v>51</v>
      </c>
      <c r="F46" s="8">
        <f t="shared" si="1"/>
        <v>51</v>
      </c>
      <c r="G46" s="8" t="s">
        <v>25</v>
      </c>
      <c r="H46" s="8" t="s">
        <v>26</v>
      </c>
      <c r="I46" s="8" t="s">
        <v>90</v>
      </c>
      <c r="J46" s="8">
        <v>23</v>
      </c>
      <c r="K46" s="8">
        <f t="shared" si="2"/>
        <v>23</v>
      </c>
      <c r="L46" s="8">
        <v>20</v>
      </c>
      <c r="M46" s="9">
        <f t="shared" si="3"/>
        <v>20</v>
      </c>
      <c r="N46" s="8">
        <v>2.5</v>
      </c>
      <c r="O46" s="10">
        <f t="shared" si="4"/>
        <v>2.5</v>
      </c>
      <c r="P46" s="8" t="s">
        <v>2050</v>
      </c>
      <c r="Q46" s="14">
        <v>0.8</v>
      </c>
      <c r="R46" s="12">
        <f t="shared" si="12"/>
        <v>0.8</v>
      </c>
      <c r="S46" s="12">
        <f t="shared" si="6"/>
        <v>0.8</v>
      </c>
    </row>
    <row r="47" spans="1:19" x14ac:dyDescent="0.35">
      <c r="A47" s="8" t="s">
        <v>142</v>
      </c>
      <c r="B47" s="8" t="s">
        <v>143</v>
      </c>
      <c r="C47" s="8" t="s">
        <v>13</v>
      </c>
      <c r="D47" s="8" t="str">
        <f t="shared" si="0"/>
        <v>Male</v>
      </c>
      <c r="E47" s="8">
        <v>41</v>
      </c>
      <c r="F47" s="8">
        <f t="shared" si="1"/>
        <v>41</v>
      </c>
      <c r="G47" s="8" t="s">
        <v>128</v>
      </c>
      <c r="H47" s="8" t="s">
        <v>129</v>
      </c>
      <c r="I47" s="8" t="s">
        <v>20</v>
      </c>
      <c r="J47" s="8">
        <v>9</v>
      </c>
      <c r="K47" s="8">
        <f t="shared" si="2"/>
        <v>9</v>
      </c>
      <c r="L47" s="8">
        <v>75</v>
      </c>
      <c r="M47" s="9">
        <f t="shared" si="3"/>
        <v>75</v>
      </c>
      <c r="N47" s="8">
        <v>4.9000000000000004</v>
      </c>
      <c r="O47" s="10">
        <f t="shared" si="4"/>
        <v>4.9000000000000004</v>
      </c>
      <c r="P47" s="8" t="s">
        <v>2051</v>
      </c>
      <c r="Q47" s="14">
        <v>0.74</v>
      </c>
      <c r="R47" s="12">
        <f t="shared" si="12"/>
        <v>0.74</v>
      </c>
      <c r="S47" s="12">
        <f t="shared" si="6"/>
        <v>0.74</v>
      </c>
    </row>
    <row r="48" spans="1:19" x14ac:dyDescent="0.35">
      <c r="A48" s="8" t="s">
        <v>144</v>
      </c>
      <c r="B48" s="8" t="s">
        <v>2034</v>
      </c>
      <c r="C48" s="8" t="s">
        <v>55</v>
      </c>
      <c r="D48" s="8" t="str">
        <f t="shared" si="0"/>
        <v>Female</v>
      </c>
      <c r="E48" s="8">
        <v>47</v>
      </c>
      <c r="F48" s="8">
        <f t="shared" si="1"/>
        <v>47</v>
      </c>
      <c r="G48" s="8" t="s">
        <v>114</v>
      </c>
      <c r="H48" s="8" t="s">
        <v>115</v>
      </c>
      <c r="I48" s="8" t="s">
        <v>67</v>
      </c>
      <c r="J48" s="8">
        <v>15</v>
      </c>
      <c r="K48" s="8">
        <f t="shared" si="2"/>
        <v>15</v>
      </c>
      <c r="L48" s="8">
        <v>30</v>
      </c>
      <c r="M48" s="9">
        <f t="shared" si="3"/>
        <v>30</v>
      </c>
      <c r="N48" s="8">
        <v>4.5</v>
      </c>
      <c r="O48" s="10">
        <f t="shared" si="4"/>
        <v>4.5</v>
      </c>
      <c r="P48" s="8" t="s">
        <v>2051</v>
      </c>
      <c r="Q48" s="14">
        <v>0.85</v>
      </c>
      <c r="R48" s="12">
        <f t="shared" si="12"/>
        <v>0.85</v>
      </c>
      <c r="S48" s="12">
        <f t="shared" si="6"/>
        <v>0.85</v>
      </c>
    </row>
    <row r="49" spans="1:19" x14ac:dyDescent="0.35">
      <c r="A49" s="8" t="s">
        <v>145</v>
      </c>
      <c r="B49" s="8" t="s">
        <v>146</v>
      </c>
      <c r="C49" s="8" t="s">
        <v>13</v>
      </c>
      <c r="D49" s="8" t="str">
        <f t="shared" si="0"/>
        <v>Male</v>
      </c>
      <c r="E49" s="8">
        <v>25</v>
      </c>
      <c r="F49" s="8">
        <f t="shared" si="1"/>
        <v>25</v>
      </c>
      <c r="G49" s="8" t="s">
        <v>147</v>
      </c>
      <c r="H49" s="8" t="s">
        <v>148</v>
      </c>
      <c r="I49" s="8" t="s">
        <v>16</v>
      </c>
      <c r="J49" s="8">
        <v>4</v>
      </c>
      <c r="K49" s="8">
        <f t="shared" si="2"/>
        <v>4</v>
      </c>
      <c r="L49" s="8">
        <v>50</v>
      </c>
      <c r="M49" s="9">
        <f t="shared" si="3"/>
        <v>50</v>
      </c>
      <c r="N49" s="8">
        <v>2.7</v>
      </c>
      <c r="O49" s="10">
        <f t="shared" si="4"/>
        <v>2.7</v>
      </c>
      <c r="P49" s="8" t="s">
        <v>2050</v>
      </c>
      <c r="Q49" s="14">
        <v>0.77</v>
      </c>
      <c r="R49" s="12">
        <f t="shared" si="12"/>
        <v>0.77</v>
      </c>
      <c r="S49" s="12">
        <f t="shared" si="6"/>
        <v>0.77</v>
      </c>
    </row>
    <row r="50" spans="1:19" x14ac:dyDescent="0.35">
      <c r="A50" s="8" t="s">
        <v>149</v>
      </c>
      <c r="B50" s="8" t="s">
        <v>150</v>
      </c>
      <c r="C50" s="8" t="s">
        <v>19</v>
      </c>
      <c r="D50" s="8" t="str">
        <f t="shared" si="0"/>
        <v>Female</v>
      </c>
      <c r="E50" s="8">
        <v>25</v>
      </c>
      <c r="F50" s="8">
        <f t="shared" si="1"/>
        <v>25</v>
      </c>
      <c r="G50" s="8" t="s">
        <v>151</v>
      </c>
      <c r="H50" s="8" t="s">
        <v>51</v>
      </c>
      <c r="I50" s="8" t="s">
        <v>10</v>
      </c>
      <c r="J50" s="8">
        <v>7</v>
      </c>
      <c r="K50" s="8">
        <f t="shared" si="2"/>
        <v>7</v>
      </c>
      <c r="L50" s="8">
        <v>20</v>
      </c>
      <c r="M50" s="9">
        <f t="shared" si="3"/>
        <v>20</v>
      </c>
      <c r="N50" s="8">
        <v>1.9</v>
      </c>
      <c r="O50" s="10">
        <f t="shared" si="4"/>
        <v>1.9</v>
      </c>
      <c r="P50" s="8" t="s">
        <v>2050</v>
      </c>
      <c r="Q50" s="13"/>
      <c r="S50" s="12">
        <f t="shared" si="6"/>
        <v>0.79269417475728277</v>
      </c>
    </row>
    <row r="51" spans="1:19" x14ac:dyDescent="0.35">
      <c r="A51" s="8" t="s">
        <v>152</v>
      </c>
      <c r="B51" s="8" t="s">
        <v>153</v>
      </c>
      <c r="C51" s="8" t="s">
        <v>30</v>
      </c>
      <c r="D51" s="8" t="str">
        <f t="shared" si="0"/>
        <v>Male</v>
      </c>
      <c r="E51" s="8">
        <v>29</v>
      </c>
      <c r="F51" s="8">
        <f t="shared" si="1"/>
        <v>29</v>
      </c>
      <c r="G51" s="8" t="s">
        <v>25</v>
      </c>
      <c r="H51" s="8" t="s">
        <v>26</v>
      </c>
      <c r="I51" s="8" t="s">
        <v>52</v>
      </c>
      <c r="J51" s="8">
        <v>1</v>
      </c>
      <c r="K51" s="8">
        <f t="shared" si="2"/>
        <v>1</v>
      </c>
      <c r="L51" s="8">
        <v>20</v>
      </c>
      <c r="M51" s="9">
        <f t="shared" si="3"/>
        <v>20</v>
      </c>
      <c r="N51" s="8">
        <v>1.4</v>
      </c>
      <c r="O51" s="10">
        <f t="shared" si="4"/>
        <v>1.4</v>
      </c>
      <c r="P51" s="8" t="s">
        <v>2051</v>
      </c>
      <c r="Q51" s="14">
        <v>0.63</v>
      </c>
      <c r="R51" s="12">
        <f t="shared" ref="R51:R52" si="13">Q51</f>
        <v>0.63</v>
      </c>
      <c r="S51" s="12">
        <f t="shared" si="6"/>
        <v>0.63</v>
      </c>
    </row>
    <row r="52" spans="1:19" x14ac:dyDescent="0.35">
      <c r="A52" s="8" t="s">
        <v>154</v>
      </c>
      <c r="B52" s="8" t="s">
        <v>155</v>
      </c>
      <c r="C52" s="8" t="s">
        <v>7</v>
      </c>
      <c r="D52" s="8" t="str">
        <f t="shared" si="0"/>
        <v>Female</v>
      </c>
      <c r="E52" s="8">
        <v>23</v>
      </c>
      <c r="F52" s="8">
        <f t="shared" si="1"/>
        <v>23</v>
      </c>
      <c r="G52" s="8" t="s">
        <v>50</v>
      </c>
      <c r="H52" s="8" t="s">
        <v>51</v>
      </c>
      <c r="I52" s="8" t="s">
        <v>56</v>
      </c>
      <c r="J52" s="8">
        <v>0</v>
      </c>
      <c r="K52" s="8">
        <f t="shared" si="2"/>
        <v>0</v>
      </c>
      <c r="L52" s="8">
        <v>75</v>
      </c>
      <c r="M52" s="9">
        <f t="shared" si="3"/>
        <v>75</v>
      </c>
      <c r="N52" s="8">
        <v>1.9</v>
      </c>
      <c r="O52" s="10">
        <f t="shared" si="4"/>
        <v>1.9</v>
      </c>
      <c r="P52" s="8" t="s">
        <v>2051</v>
      </c>
      <c r="Q52" s="14">
        <v>0.79</v>
      </c>
      <c r="R52" s="12">
        <f t="shared" si="13"/>
        <v>0.79</v>
      </c>
      <c r="S52" s="12">
        <f t="shared" si="6"/>
        <v>0.79</v>
      </c>
    </row>
    <row r="53" spans="1:19" x14ac:dyDescent="0.35">
      <c r="A53" s="8" t="s">
        <v>156</v>
      </c>
      <c r="B53" s="8" t="s">
        <v>157</v>
      </c>
      <c r="C53" s="8" t="s">
        <v>13</v>
      </c>
      <c r="D53" s="8" t="str">
        <f t="shared" si="0"/>
        <v>Male</v>
      </c>
      <c r="E53" s="8">
        <v>31</v>
      </c>
      <c r="F53" s="8">
        <f t="shared" si="1"/>
        <v>31</v>
      </c>
      <c r="G53" s="8" t="s">
        <v>110</v>
      </c>
      <c r="H53" s="8" t="s">
        <v>111</v>
      </c>
      <c r="I53" s="8" t="s">
        <v>33</v>
      </c>
      <c r="J53" s="8">
        <v>8</v>
      </c>
      <c r="K53" s="8">
        <f t="shared" si="2"/>
        <v>8</v>
      </c>
      <c r="L53" s="8">
        <v>50</v>
      </c>
      <c r="M53" s="9">
        <f t="shared" si="3"/>
        <v>50</v>
      </c>
      <c r="N53" s="8">
        <v>3.4</v>
      </c>
      <c r="O53" s="10">
        <f t="shared" si="4"/>
        <v>3.4</v>
      </c>
      <c r="P53" s="8" t="s">
        <v>2050</v>
      </c>
      <c r="Q53" s="13"/>
      <c r="S53" s="12">
        <f t="shared" si="6"/>
        <v>0.79269417475728277</v>
      </c>
    </row>
    <row r="54" spans="1:19" x14ac:dyDescent="0.35">
      <c r="A54" s="8" t="s">
        <v>158</v>
      </c>
      <c r="B54" s="8" t="s">
        <v>159</v>
      </c>
      <c r="C54" s="8" t="s">
        <v>75</v>
      </c>
      <c r="D54" s="8" t="str">
        <f t="shared" si="0"/>
        <v>Male</v>
      </c>
      <c r="E54" s="8">
        <v>51</v>
      </c>
      <c r="F54" s="8">
        <f t="shared" si="1"/>
        <v>51</v>
      </c>
      <c r="G54" s="8" t="s">
        <v>14</v>
      </c>
      <c r="H54" s="8" t="s">
        <v>15</v>
      </c>
      <c r="I54" s="8" t="s">
        <v>90</v>
      </c>
      <c r="J54" s="8">
        <v>33</v>
      </c>
      <c r="K54" s="8">
        <f t="shared" si="2"/>
        <v>33</v>
      </c>
      <c r="L54" s="8">
        <v>75</v>
      </c>
      <c r="M54" s="9">
        <f t="shared" si="3"/>
        <v>75</v>
      </c>
      <c r="N54" s="8">
        <v>3.3</v>
      </c>
      <c r="O54" s="10">
        <f t="shared" si="4"/>
        <v>3.3</v>
      </c>
      <c r="P54" s="13" t="s">
        <v>2050</v>
      </c>
      <c r="Q54" s="14">
        <v>0.68</v>
      </c>
      <c r="R54" s="12">
        <f t="shared" ref="R54:R61" si="14">Q54</f>
        <v>0.68</v>
      </c>
      <c r="S54" s="12">
        <f t="shared" si="6"/>
        <v>0.68</v>
      </c>
    </row>
    <row r="55" spans="1:19" x14ac:dyDescent="0.35">
      <c r="A55" s="8" t="s">
        <v>160</v>
      </c>
      <c r="B55" s="8" t="s">
        <v>161</v>
      </c>
      <c r="C55" s="8" t="s">
        <v>30</v>
      </c>
      <c r="D55" s="8" t="str">
        <f t="shared" si="0"/>
        <v>Male</v>
      </c>
      <c r="E55" s="13"/>
      <c r="F55" s="8">
        <f t="shared" si="1"/>
        <v>41</v>
      </c>
      <c r="G55" s="8" t="s">
        <v>162</v>
      </c>
      <c r="H55" s="8" t="s">
        <v>51</v>
      </c>
      <c r="I55" s="8" t="s">
        <v>52</v>
      </c>
      <c r="J55" s="8">
        <v>1</v>
      </c>
      <c r="K55" s="8">
        <f t="shared" si="2"/>
        <v>1</v>
      </c>
      <c r="L55" s="8">
        <v>30</v>
      </c>
      <c r="M55" s="9">
        <f t="shared" si="3"/>
        <v>30</v>
      </c>
      <c r="N55" s="8">
        <v>0</v>
      </c>
      <c r="O55" s="11">
        <f t="shared" si="4"/>
        <v>0</v>
      </c>
      <c r="P55" s="8" t="s">
        <v>2050</v>
      </c>
      <c r="Q55" s="14">
        <v>0.68</v>
      </c>
      <c r="R55" s="12">
        <f t="shared" si="14"/>
        <v>0.68</v>
      </c>
      <c r="S55" s="12">
        <f t="shared" si="6"/>
        <v>0.68</v>
      </c>
    </row>
    <row r="56" spans="1:19" x14ac:dyDescent="0.35">
      <c r="A56" s="8" t="s">
        <v>163</v>
      </c>
      <c r="B56" s="8" t="s">
        <v>164</v>
      </c>
      <c r="C56" s="8" t="s">
        <v>1</v>
      </c>
      <c r="D56" s="8" t="str">
        <f t="shared" si="0"/>
        <v>Female</v>
      </c>
      <c r="E56" s="8">
        <v>29</v>
      </c>
      <c r="F56" s="8">
        <f t="shared" si="1"/>
        <v>29</v>
      </c>
      <c r="G56" s="8" t="s">
        <v>42</v>
      </c>
      <c r="H56" s="8" t="s">
        <v>43</v>
      </c>
      <c r="I56" s="8" t="s">
        <v>56</v>
      </c>
      <c r="J56" s="8">
        <v>11</v>
      </c>
      <c r="K56" s="8">
        <f t="shared" si="2"/>
        <v>11</v>
      </c>
      <c r="L56" s="8">
        <v>100</v>
      </c>
      <c r="M56" s="9">
        <f t="shared" si="3"/>
        <v>100</v>
      </c>
      <c r="N56" s="8">
        <v>2.2999999999999998</v>
      </c>
      <c r="O56" s="10">
        <f t="shared" si="4"/>
        <v>2.2999999999999998</v>
      </c>
      <c r="P56" s="8" t="s">
        <v>2051</v>
      </c>
      <c r="Q56" s="14">
        <v>0.72</v>
      </c>
      <c r="R56" s="12">
        <f t="shared" si="14"/>
        <v>0.72</v>
      </c>
      <c r="S56" s="12">
        <f t="shared" si="6"/>
        <v>0.72</v>
      </c>
    </row>
    <row r="57" spans="1:19" x14ac:dyDescent="0.35">
      <c r="A57" s="8" t="s">
        <v>165</v>
      </c>
      <c r="B57" s="8" t="s">
        <v>166</v>
      </c>
      <c r="C57" s="8" t="s">
        <v>30</v>
      </c>
      <c r="D57" s="8" t="str">
        <f t="shared" si="0"/>
        <v>Male</v>
      </c>
      <c r="E57" s="8">
        <v>50</v>
      </c>
      <c r="F57" s="8">
        <f t="shared" si="1"/>
        <v>50</v>
      </c>
      <c r="G57" s="8" t="s">
        <v>46</v>
      </c>
      <c r="H57" s="8" t="s">
        <v>9</v>
      </c>
      <c r="I57" s="8" t="s">
        <v>27</v>
      </c>
      <c r="J57" s="8">
        <v>15</v>
      </c>
      <c r="K57" s="8">
        <f t="shared" si="2"/>
        <v>15</v>
      </c>
      <c r="L57" s="13"/>
      <c r="M57" s="9">
        <f t="shared" si="3"/>
        <v>40</v>
      </c>
      <c r="N57" s="8">
        <v>2</v>
      </c>
      <c r="O57" s="10">
        <f t="shared" si="4"/>
        <v>2</v>
      </c>
      <c r="P57" s="8" t="s">
        <v>2051</v>
      </c>
      <c r="Q57" s="14">
        <v>0.65</v>
      </c>
      <c r="R57" s="12">
        <f t="shared" si="14"/>
        <v>0.65</v>
      </c>
      <c r="S57" s="12">
        <f t="shared" si="6"/>
        <v>0.65</v>
      </c>
    </row>
    <row r="58" spans="1:19" x14ac:dyDescent="0.35">
      <c r="A58" s="8" t="s">
        <v>167</v>
      </c>
      <c r="B58" s="8" t="s">
        <v>168</v>
      </c>
      <c r="C58" s="8" t="s">
        <v>1</v>
      </c>
      <c r="D58" s="8" t="str">
        <f t="shared" si="0"/>
        <v>Female</v>
      </c>
      <c r="E58" s="8">
        <v>26</v>
      </c>
      <c r="F58" s="8">
        <f t="shared" si="1"/>
        <v>26</v>
      </c>
      <c r="G58" s="8" t="s">
        <v>46</v>
      </c>
      <c r="H58" s="8" t="s">
        <v>9</v>
      </c>
      <c r="I58" s="8" t="s">
        <v>67</v>
      </c>
      <c r="J58" s="8">
        <v>8</v>
      </c>
      <c r="K58" s="8">
        <f t="shared" si="2"/>
        <v>8</v>
      </c>
      <c r="L58" s="8">
        <v>50</v>
      </c>
      <c r="M58" s="9">
        <f t="shared" si="3"/>
        <v>50</v>
      </c>
      <c r="N58" s="8">
        <v>1.3</v>
      </c>
      <c r="O58" s="10">
        <f t="shared" si="4"/>
        <v>1.3</v>
      </c>
      <c r="P58" s="8" t="s">
        <v>2050</v>
      </c>
      <c r="Q58" s="14">
        <v>0.76</v>
      </c>
      <c r="R58" s="12">
        <f t="shared" si="14"/>
        <v>0.76</v>
      </c>
      <c r="S58" s="12">
        <f t="shared" si="6"/>
        <v>0.76</v>
      </c>
    </row>
    <row r="59" spans="1:19" x14ac:dyDescent="0.35">
      <c r="A59" s="8" t="s">
        <v>169</v>
      </c>
      <c r="B59" s="8" t="s">
        <v>170</v>
      </c>
      <c r="C59" s="8" t="s">
        <v>75</v>
      </c>
      <c r="D59" s="8" t="str">
        <f t="shared" si="0"/>
        <v>Male</v>
      </c>
      <c r="E59" s="8">
        <v>38</v>
      </c>
      <c r="F59" s="8">
        <f t="shared" si="1"/>
        <v>38</v>
      </c>
      <c r="G59" s="8" t="s">
        <v>103</v>
      </c>
      <c r="H59" s="8" t="s">
        <v>9</v>
      </c>
      <c r="I59" s="8" t="s">
        <v>27</v>
      </c>
      <c r="J59" s="8">
        <v>17</v>
      </c>
      <c r="K59" s="8">
        <f t="shared" si="2"/>
        <v>17</v>
      </c>
      <c r="L59" s="8">
        <v>40</v>
      </c>
      <c r="M59" s="9">
        <f t="shared" si="3"/>
        <v>40</v>
      </c>
      <c r="N59" s="8">
        <v>4</v>
      </c>
      <c r="O59" s="10">
        <f t="shared" si="4"/>
        <v>4</v>
      </c>
      <c r="P59" s="8" t="s">
        <v>2051</v>
      </c>
      <c r="Q59" s="14">
        <v>0.9</v>
      </c>
      <c r="R59" s="12">
        <f t="shared" si="14"/>
        <v>0.9</v>
      </c>
      <c r="S59" s="12">
        <f t="shared" si="6"/>
        <v>0.9</v>
      </c>
    </row>
    <row r="60" spans="1:19" x14ac:dyDescent="0.35">
      <c r="A60" s="8" t="s">
        <v>171</v>
      </c>
      <c r="B60" s="8" t="s">
        <v>172</v>
      </c>
      <c r="C60" s="8" t="s">
        <v>7</v>
      </c>
      <c r="D60" s="8" t="str">
        <f t="shared" si="0"/>
        <v>Female</v>
      </c>
      <c r="E60" s="8">
        <v>23</v>
      </c>
      <c r="F60" s="8">
        <f t="shared" si="1"/>
        <v>23</v>
      </c>
      <c r="G60" s="8" t="s">
        <v>71</v>
      </c>
      <c r="H60" s="8" t="s">
        <v>72</v>
      </c>
      <c r="I60" s="8" t="s">
        <v>10</v>
      </c>
      <c r="J60" s="13"/>
      <c r="K60" s="8">
        <f t="shared" si="2"/>
        <v>9</v>
      </c>
      <c r="L60" s="8">
        <v>75</v>
      </c>
      <c r="M60" s="9">
        <f t="shared" si="3"/>
        <v>75</v>
      </c>
      <c r="N60" s="8">
        <v>3.6</v>
      </c>
      <c r="O60" s="10">
        <f t="shared" si="4"/>
        <v>3.6</v>
      </c>
      <c r="P60" s="8" t="s">
        <v>2051</v>
      </c>
      <c r="Q60" s="14">
        <v>0.65</v>
      </c>
      <c r="R60" s="12">
        <f t="shared" si="14"/>
        <v>0.65</v>
      </c>
      <c r="S60" s="12">
        <f t="shared" si="6"/>
        <v>0.65</v>
      </c>
    </row>
    <row r="61" spans="1:19" x14ac:dyDescent="0.35">
      <c r="A61" s="8" t="s">
        <v>173</v>
      </c>
      <c r="B61" s="8" t="s">
        <v>174</v>
      </c>
      <c r="C61" s="8" t="s">
        <v>55</v>
      </c>
      <c r="D61" s="8" t="str">
        <f t="shared" si="0"/>
        <v>Female</v>
      </c>
      <c r="E61" s="8">
        <v>51</v>
      </c>
      <c r="F61" s="8">
        <f t="shared" si="1"/>
        <v>51</v>
      </c>
      <c r="G61" s="8" t="s">
        <v>128</v>
      </c>
      <c r="H61" s="8" t="s">
        <v>129</v>
      </c>
      <c r="I61" s="8" t="s">
        <v>67</v>
      </c>
      <c r="J61" s="8">
        <v>28</v>
      </c>
      <c r="K61" s="8">
        <f t="shared" si="2"/>
        <v>28</v>
      </c>
      <c r="L61" s="8">
        <v>40</v>
      </c>
      <c r="M61" s="9">
        <f t="shared" si="3"/>
        <v>40</v>
      </c>
      <c r="N61" s="8">
        <v>3.9</v>
      </c>
      <c r="O61" s="10">
        <f t="shared" si="4"/>
        <v>3.9</v>
      </c>
      <c r="P61" s="8" t="s">
        <v>2050</v>
      </c>
      <c r="Q61" s="14">
        <v>0.63</v>
      </c>
      <c r="R61" s="12">
        <f t="shared" si="14"/>
        <v>0.63</v>
      </c>
      <c r="S61" s="12">
        <f t="shared" si="6"/>
        <v>0.63</v>
      </c>
    </row>
    <row r="62" spans="1:19" x14ac:dyDescent="0.35">
      <c r="A62" s="8" t="s">
        <v>175</v>
      </c>
      <c r="B62" s="8" t="s">
        <v>176</v>
      </c>
      <c r="C62" s="8" t="s">
        <v>19</v>
      </c>
      <c r="D62" s="8" t="str">
        <f t="shared" si="0"/>
        <v>Female</v>
      </c>
      <c r="E62" s="8">
        <v>51</v>
      </c>
      <c r="F62" s="8">
        <f t="shared" si="1"/>
        <v>51</v>
      </c>
      <c r="G62" s="8" t="s">
        <v>31</v>
      </c>
      <c r="H62" s="8" t="s">
        <v>32</v>
      </c>
      <c r="I62" s="8" t="s">
        <v>27</v>
      </c>
      <c r="J62" s="8">
        <v>33</v>
      </c>
      <c r="K62" s="8">
        <f t="shared" si="2"/>
        <v>33</v>
      </c>
      <c r="L62" s="8">
        <v>75</v>
      </c>
      <c r="M62" s="9">
        <f t="shared" si="3"/>
        <v>75</v>
      </c>
      <c r="N62" s="8">
        <v>0</v>
      </c>
      <c r="O62" s="11">
        <f t="shared" si="4"/>
        <v>0</v>
      </c>
      <c r="P62" s="8" t="s">
        <v>2051</v>
      </c>
      <c r="Q62" s="13"/>
      <c r="S62" s="12">
        <f t="shared" si="6"/>
        <v>0.79269417475728277</v>
      </c>
    </row>
    <row r="63" spans="1:19" x14ac:dyDescent="0.35">
      <c r="A63" s="8" t="s">
        <v>177</v>
      </c>
      <c r="B63" s="8" t="s">
        <v>178</v>
      </c>
      <c r="C63" s="8" t="s">
        <v>75</v>
      </c>
      <c r="D63" s="8" t="str">
        <f t="shared" si="0"/>
        <v>Male</v>
      </c>
      <c r="E63" s="8">
        <v>47</v>
      </c>
      <c r="F63" s="8">
        <f t="shared" si="1"/>
        <v>47</v>
      </c>
      <c r="G63" s="8" t="s">
        <v>14</v>
      </c>
      <c r="H63" s="8" t="s">
        <v>15</v>
      </c>
      <c r="I63" s="8" t="s">
        <v>27</v>
      </c>
      <c r="J63" s="8">
        <v>18</v>
      </c>
      <c r="K63" s="8">
        <f t="shared" si="2"/>
        <v>18</v>
      </c>
      <c r="L63" s="8">
        <v>75</v>
      </c>
      <c r="M63" s="9">
        <f t="shared" si="3"/>
        <v>75</v>
      </c>
      <c r="N63" s="8">
        <v>0</v>
      </c>
      <c r="O63" s="11">
        <f t="shared" si="4"/>
        <v>0</v>
      </c>
      <c r="P63" s="8" t="s">
        <v>2050</v>
      </c>
      <c r="Q63" s="13"/>
      <c r="S63" s="12">
        <f t="shared" si="6"/>
        <v>0.79269417475728277</v>
      </c>
    </row>
    <row r="64" spans="1:19" x14ac:dyDescent="0.35">
      <c r="A64" s="8" t="s">
        <v>179</v>
      </c>
      <c r="B64" s="8" t="s">
        <v>180</v>
      </c>
      <c r="C64" s="8" t="s">
        <v>55</v>
      </c>
      <c r="D64" s="8" t="str">
        <f t="shared" si="0"/>
        <v>Female</v>
      </c>
      <c r="E64" s="8">
        <v>34</v>
      </c>
      <c r="F64" s="8">
        <f t="shared" si="1"/>
        <v>34</v>
      </c>
      <c r="G64" s="8" t="s">
        <v>99</v>
      </c>
      <c r="H64" s="8" t="s">
        <v>100</v>
      </c>
      <c r="I64" s="8" t="s">
        <v>52</v>
      </c>
      <c r="J64" s="8">
        <v>16</v>
      </c>
      <c r="K64" s="8">
        <f t="shared" si="2"/>
        <v>16</v>
      </c>
      <c r="L64" s="8">
        <v>20</v>
      </c>
      <c r="M64" s="9">
        <f t="shared" si="3"/>
        <v>20</v>
      </c>
      <c r="N64" s="8">
        <v>2.2999999999999998</v>
      </c>
      <c r="O64" s="10">
        <f t="shared" si="4"/>
        <v>2.2999999999999998</v>
      </c>
      <c r="P64" s="8" t="s">
        <v>2051</v>
      </c>
      <c r="Q64" s="14">
        <v>0.93</v>
      </c>
      <c r="R64" s="12">
        <f t="shared" ref="R64:R66" si="15">Q64</f>
        <v>0.93</v>
      </c>
      <c r="S64" s="12">
        <f t="shared" si="6"/>
        <v>0.93</v>
      </c>
    </row>
    <row r="65" spans="1:19" x14ac:dyDescent="0.35">
      <c r="A65" s="8" t="s">
        <v>181</v>
      </c>
      <c r="B65" s="8" t="s">
        <v>182</v>
      </c>
      <c r="C65" s="8" t="s">
        <v>1</v>
      </c>
      <c r="D65" s="8" t="str">
        <f t="shared" si="0"/>
        <v>Female</v>
      </c>
      <c r="E65" s="8">
        <v>58</v>
      </c>
      <c r="F65" s="8">
        <f t="shared" si="1"/>
        <v>58</v>
      </c>
      <c r="G65" s="8" t="s">
        <v>31</v>
      </c>
      <c r="H65" s="8" t="s">
        <v>32</v>
      </c>
      <c r="I65" s="8" t="s">
        <v>33</v>
      </c>
      <c r="J65" s="8">
        <v>35</v>
      </c>
      <c r="K65" s="8">
        <f t="shared" si="2"/>
        <v>35</v>
      </c>
      <c r="L65" s="8">
        <v>50</v>
      </c>
      <c r="M65" s="9">
        <f t="shared" si="3"/>
        <v>50</v>
      </c>
      <c r="N65" s="8">
        <v>4.7</v>
      </c>
      <c r="O65" s="10">
        <f t="shared" si="4"/>
        <v>4.7</v>
      </c>
      <c r="P65" s="8" t="s">
        <v>2050</v>
      </c>
      <c r="Q65" s="14">
        <v>0.7</v>
      </c>
      <c r="R65" s="12">
        <f t="shared" si="15"/>
        <v>0.7</v>
      </c>
      <c r="S65" s="12">
        <f t="shared" si="6"/>
        <v>0.7</v>
      </c>
    </row>
    <row r="66" spans="1:19" x14ac:dyDescent="0.35">
      <c r="A66" s="8" t="s">
        <v>183</v>
      </c>
      <c r="B66" s="8" t="s">
        <v>184</v>
      </c>
      <c r="C66" s="8" t="s">
        <v>19</v>
      </c>
      <c r="D66" s="8" t="str">
        <f t="shared" si="0"/>
        <v>Female</v>
      </c>
      <c r="E66" s="8">
        <v>50</v>
      </c>
      <c r="F66" s="8">
        <f t="shared" si="1"/>
        <v>50</v>
      </c>
      <c r="G66" s="8" t="s">
        <v>99</v>
      </c>
      <c r="H66" s="8" t="s">
        <v>100</v>
      </c>
      <c r="I66" s="8" t="s">
        <v>27</v>
      </c>
      <c r="J66" s="8">
        <v>14</v>
      </c>
      <c r="K66" s="8">
        <f t="shared" si="2"/>
        <v>14</v>
      </c>
      <c r="L66" s="13"/>
      <c r="M66" s="9">
        <f t="shared" si="3"/>
        <v>40</v>
      </c>
      <c r="N66" s="8">
        <v>3.5</v>
      </c>
      <c r="O66" s="10">
        <f t="shared" si="4"/>
        <v>3.5</v>
      </c>
      <c r="P66" s="8" t="s">
        <v>2051</v>
      </c>
      <c r="Q66" s="14">
        <v>0.83</v>
      </c>
      <c r="R66" s="12">
        <f t="shared" si="15"/>
        <v>0.83</v>
      </c>
      <c r="S66" s="12">
        <f t="shared" si="6"/>
        <v>0.83</v>
      </c>
    </row>
    <row r="67" spans="1:19" x14ac:dyDescent="0.35">
      <c r="A67" s="8" t="s">
        <v>185</v>
      </c>
      <c r="B67" s="8" t="s">
        <v>186</v>
      </c>
      <c r="C67" s="8" t="s">
        <v>7</v>
      </c>
      <c r="D67" s="8" t="str">
        <f t="shared" ref="D67:D130" si="16">IF(LEFT(C67,1)="f","Female","Male")</f>
        <v>Female</v>
      </c>
      <c r="E67" s="8">
        <v>34</v>
      </c>
      <c r="F67" s="8">
        <f t="shared" ref="F67:F130" si="17">IF(ISBLANK(E67),MEDIAN($E$2:$E$1001),E67)</f>
        <v>34</v>
      </c>
      <c r="G67" s="8" t="s">
        <v>162</v>
      </c>
      <c r="H67" s="8" t="s">
        <v>51</v>
      </c>
      <c r="I67" s="8" t="s">
        <v>20</v>
      </c>
      <c r="J67" s="8">
        <v>12</v>
      </c>
      <c r="K67" s="8">
        <f t="shared" ref="K67:K130" si="18">IF(ISBLANK(J67),MEDIAN($J$2:$J$1001),J67)</f>
        <v>12</v>
      </c>
      <c r="L67" s="8">
        <v>40</v>
      </c>
      <c r="M67" s="9">
        <f t="shared" ref="M67:M130" si="19">IF(ISBLANK(L67),MEDIAN($L$2:$L$1001),L67)</f>
        <v>40</v>
      </c>
      <c r="N67" s="8">
        <v>2.4</v>
      </c>
      <c r="O67" s="10">
        <f t="shared" ref="O67:O130" si="20">IF(ISBLANK(N67),AVERAGE($N$2:$N$1001),N67)</f>
        <v>2.4</v>
      </c>
      <c r="P67" s="8" t="s">
        <v>2051</v>
      </c>
      <c r="Q67" s="8">
        <v>64</v>
      </c>
      <c r="R67" s="12">
        <v>0.64</v>
      </c>
      <c r="S67" s="12">
        <f t="shared" si="6"/>
        <v>0.64</v>
      </c>
    </row>
    <row r="68" spans="1:19" x14ac:dyDescent="0.35">
      <c r="A68" s="8" t="s">
        <v>187</v>
      </c>
      <c r="B68" s="8" t="s">
        <v>188</v>
      </c>
      <c r="C68" s="8" t="s">
        <v>55</v>
      </c>
      <c r="D68" s="8" t="str">
        <f t="shared" si="16"/>
        <v>Female</v>
      </c>
      <c r="E68" s="8">
        <v>45</v>
      </c>
      <c r="F68" s="8">
        <f t="shared" si="17"/>
        <v>45</v>
      </c>
      <c r="G68" s="8" t="s">
        <v>84</v>
      </c>
      <c r="H68" s="8" t="s">
        <v>85</v>
      </c>
      <c r="I68" s="8" t="s">
        <v>27</v>
      </c>
      <c r="J68" s="8">
        <v>11</v>
      </c>
      <c r="K68" s="8">
        <f t="shared" si="18"/>
        <v>11</v>
      </c>
      <c r="L68" s="8">
        <v>75</v>
      </c>
      <c r="M68" s="9">
        <f t="shared" si="19"/>
        <v>75</v>
      </c>
      <c r="N68" s="8">
        <v>4</v>
      </c>
      <c r="O68" s="10">
        <f t="shared" si="20"/>
        <v>4</v>
      </c>
      <c r="P68" s="8" t="s">
        <v>2050</v>
      </c>
      <c r="Q68" s="14">
        <v>1</v>
      </c>
      <c r="R68" s="12">
        <f>Q68</f>
        <v>1</v>
      </c>
      <c r="S68" s="12">
        <f t="shared" ref="S68:S131" si="21">IF(ISBLANK(R68),AVERAGE($R$2:$R$1001),R68)</f>
        <v>1</v>
      </c>
    </row>
    <row r="69" spans="1:19" x14ac:dyDescent="0.35">
      <c r="A69" s="8" t="s">
        <v>189</v>
      </c>
      <c r="B69" s="8" t="s">
        <v>190</v>
      </c>
      <c r="C69" s="8" t="s">
        <v>7</v>
      </c>
      <c r="D69" s="8" t="str">
        <f t="shared" si="16"/>
        <v>Female</v>
      </c>
      <c r="E69" s="8">
        <v>55</v>
      </c>
      <c r="F69" s="8">
        <f t="shared" si="17"/>
        <v>55</v>
      </c>
      <c r="G69" s="8" t="s">
        <v>84</v>
      </c>
      <c r="H69" s="8" t="s">
        <v>85</v>
      </c>
      <c r="I69" s="8" t="s">
        <v>20</v>
      </c>
      <c r="J69" s="8">
        <v>0</v>
      </c>
      <c r="K69" s="8">
        <f t="shared" si="18"/>
        <v>0</v>
      </c>
      <c r="L69" s="8">
        <v>40</v>
      </c>
      <c r="M69" s="9">
        <f t="shared" si="19"/>
        <v>40</v>
      </c>
      <c r="N69" s="8">
        <v>0</v>
      </c>
      <c r="O69" s="11">
        <f t="shared" si="20"/>
        <v>0</v>
      </c>
      <c r="P69" s="8" t="s">
        <v>2051</v>
      </c>
      <c r="Q69" s="13"/>
      <c r="S69" s="12">
        <f t="shared" si="21"/>
        <v>0.79269417475728277</v>
      </c>
    </row>
    <row r="70" spans="1:19" x14ac:dyDescent="0.35">
      <c r="A70" s="8" t="s">
        <v>191</v>
      </c>
      <c r="B70" s="8" t="s">
        <v>192</v>
      </c>
      <c r="C70" s="8" t="s">
        <v>30</v>
      </c>
      <c r="D70" s="8" t="str">
        <f t="shared" si="16"/>
        <v>Male</v>
      </c>
      <c r="E70" s="13"/>
      <c r="F70" s="8">
        <f t="shared" si="17"/>
        <v>41</v>
      </c>
      <c r="G70" s="8" t="s">
        <v>50</v>
      </c>
      <c r="H70" s="8" t="s">
        <v>51</v>
      </c>
      <c r="I70" s="8" t="s">
        <v>52</v>
      </c>
      <c r="J70" s="8">
        <v>6</v>
      </c>
      <c r="K70" s="8">
        <f t="shared" si="18"/>
        <v>6</v>
      </c>
      <c r="L70" s="8">
        <v>100</v>
      </c>
      <c r="M70" s="9">
        <f t="shared" si="19"/>
        <v>100</v>
      </c>
      <c r="N70" s="8">
        <v>1.5</v>
      </c>
      <c r="O70" s="10">
        <f t="shared" si="20"/>
        <v>1.5</v>
      </c>
      <c r="P70" s="8" t="s">
        <v>2050</v>
      </c>
      <c r="Q70" s="13"/>
      <c r="S70" s="12">
        <f t="shared" si="21"/>
        <v>0.79269417475728277</v>
      </c>
    </row>
    <row r="71" spans="1:19" x14ac:dyDescent="0.35">
      <c r="A71" s="8" t="s">
        <v>193</v>
      </c>
      <c r="B71" s="8" t="s">
        <v>194</v>
      </c>
      <c r="C71" s="8" t="s">
        <v>7</v>
      </c>
      <c r="D71" s="8" t="str">
        <f t="shared" si="16"/>
        <v>Female</v>
      </c>
      <c r="E71" s="8">
        <v>60</v>
      </c>
      <c r="F71" s="8">
        <f t="shared" si="17"/>
        <v>60</v>
      </c>
      <c r="G71" s="8" t="s">
        <v>147</v>
      </c>
      <c r="H71" s="8" t="s">
        <v>148</v>
      </c>
      <c r="I71" s="8" t="s">
        <v>52</v>
      </c>
      <c r="J71" s="8">
        <v>38</v>
      </c>
      <c r="K71" s="8">
        <f t="shared" si="18"/>
        <v>38</v>
      </c>
      <c r="L71" s="8">
        <v>20</v>
      </c>
      <c r="M71" s="9">
        <f t="shared" si="19"/>
        <v>20</v>
      </c>
      <c r="N71" s="8">
        <v>2</v>
      </c>
      <c r="O71" s="10">
        <f t="shared" si="20"/>
        <v>2</v>
      </c>
      <c r="P71" s="8" t="s">
        <v>2050</v>
      </c>
      <c r="Q71" s="14">
        <v>0.71</v>
      </c>
      <c r="R71" s="12">
        <f t="shared" ref="R71:R72" si="22">Q71</f>
        <v>0.71</v>
      </c>
      <c r="S71" s="12">
        <f t="shared" si="21"/>
        <v>0.71</v>
      </c>
    </row>
    <row r="72" spans="1:19" x14ac:dyDescent="0.35">
      <c r="A72" s="8" t="s">
        <v>195</v>
      </c>
      <c r="B72" s="8" t="s">
        <v>196</v>
      </c>
      <c r="C72" s="8" t="s">
        <v>1</v>
      </c>
      <c r="D72" s="8" t="str">
        <f t="shared" si="16"/>
        <v>Female</v>
      </c>
      <c r="E72" s="8">
        <v>33</v>
      </c>
      <c r="F72" s="8">
        <f t="shared" si="17"/>
        <v>33</v>
      </c>
      <c r="G72" s="8" t="s">
        <v>128</v>
      </c>
      <c r="H72" s="8" t="s">
        <v>129</v>
      </c>
      <c r="I72" s="8" t="s">
        <v>10</v>
      </c>
      <c r="J72" s="8">
        <v>11</v>
      </c>
      <c r="K72" s="8">
        <f t="shared" si="18"/>
        <v>11</v>
      </c>
      <c r="L72" s="13"/>
      <c r="M72" s="9">
        <f t="shared" si="19"/>
        <v>40</v>
      </c>
      <c r="O72" s="10">
        <f t="shared" si="20"/>
        <v>2.5125695216907653</v>
      </c>
      <c r="P72" s="8" t="s">
        <v>2051</v>
      </c>
      <c r="Q72" s="14">
        <v>0.84</v>
      </c>
      <c r="R72" s="12">
        <f t="shared" si="22"/>
        <v>0.84</v>
      </c>
      <c r="S72" s="12">
        <f t="shared" si="21"/>
        <v>0.84</v>
      </c>
    </row>
    <row r="73" spans="1:19" x14ac:dyDescent="0.35">
      <c r="A73" s="8" t="s">
        <v>197</v>
      </c>
      <c r="B73" s="8" t="s">
        <v>198</v>
      </c>
      <c r="C73" s="8" t="s">
        <v>70</v>
      </c>
      <c r="D73" s="8" t="str">
        <f t="shared" si="16"/>
        <v>Male</v>
      </c>
      <c r="E73" s="8">
        <v>60</v>
      </c>
      <c r="F73" s="8">
        <f t="shared" si="17"/>
        <v>60</v>
      </c>
      <c r="G73" s="8" t="s">
        <v>2</v>
      </c>
      <c r="H73" s="8" t="s">
        <v>3</v>
      </c>
      <c r="I73" s="8" t="s">
        <v>67</v>
      </c>
      <c r="J73" s="8">
        <v>13</v>
      </c>
      <c r="K73" s="8">
        <f t="shared" si="18"/>
        <v>13</v>
      </c>
      <c r="L73" s="8">
        <v>50</v>
      </c>
      <c r="M73" s="9">
        <f t="shared" si="19"/>
        <v>50</v>
      </c>
      <c r="N73" s="8">
        <v>1</v>
      </c>
      <c r="O73" s="10">
        <f t="shared" si="20"/>
        <v>1</v>
      </c>
      <c r="P73" s="8" t="s">
        <v>2050</v>
      </c>
      <c r="Q73" s="13"/>
      <c r="S73" s="12">
        <f t="shared" si="21"/>
        <v>0.79269417475728277</v>
      </c>
    </row>
    <row r="74" spans="1:19" x14ac:dyDescent="0.35">
      <c r="A74" s="8" t="s">
        <v>199</v>
      </c>
      <c r="B74" s="8" t="s">
        <v>200</v>
      </c>
      <c r="C74" s="8" t="s">
        <v>41</v>
      </c>
      <c r="D74" s="8" t="str">
        <f t="shared" si="16"/>
        <v>Male</v>
      </c>
      <c r="E74" s="8">
        <v>40</v>
      </c>
      <c r="F74" s="8">
        <f t="shared" si="17"/>
        <v>40</v>
      </c>
      <c r="G74" s="8" t="s">
        <v>38</v>
      </c>
      <c r="H74" s="8" t="s">
        <v>9</v>
      </c>
      <c r="I74" s="8" t="s">
        <v>20</v>
      </c>
      <c r="J74" s="8">
        <v>9</v>
      </c>
      <c r="K74" s="8">
        <f t="shared" si="18"/>
        <v>9</v>
      </c>
      <c r="L74" s="8">
        <v>100</v>
      </c>
      <c r="M74" s="9">
        <f t="shared" si="19"/>
        <v>100</v>
      </c>
      <c r="N74" s="8">
        <v>4.5</v>
      </c>
      <c r="O74" s="10">
        <f t="shared" si="20"/>
        <v>4.5</v>
      </c>
      <c r="P74" s="8" t="s">
        <v>2051</v>
      </c>
      <c r="Q74" s="14">
        <v>0.69</v>
      </c>
      <c r="R74" s="12">
        <f>Q74</f>
        <v>0.69</v>
      </c>
      <c r="S74" s="12">
        <f t="shared" si="21"/>
        <v>0.69</v>
      </c>
    </row>
    <row r="75" spans="1:19" x14ac:dyDescent="0.35">
      <c r="A75" s="8" t="s">
        <v>201</v>
      </c>
      <c r="B75" s="8" t="s">
        <v>202</v>
      </c>
      <c r="C75" s="8" t="s">
        <v>75</v>
      </c>
      <c r="D75" s="8" t="str">
        <f t="shared" si="16"/>
        <v>Male</v>
      </c>
      <c r="E75" s="8">
        <v>59</v>
      </c>
      <c r="F75" s="8">
        <f t="shared" si="17"/>
        <v>59</v>
      </c>
      <c r="G75" s="8" t="s">
        <v>8</v>
      </c>
      <c r="H75" s="8" t="s">
        <v>9</v>
      </c>
      <c r="I75" s="8" t="s">
        <v>4</v>
      </c>
      <c r="J75" s="8">
        <v>4</v>
      </c>
      <c r="K75" s="8">
        <f t="shared" si="18"/>
        <v>4</v>
      </c>
      <c r="L75" s="13"/>
      <c r="M75" s="9">
        <f t="shared" si="19"/>
        <v>40</v>
      </c>
      <c r="N75" s="8">
        <v>1.9</v>
      </c>
      <c r="O75" s="10">
        <f t="shared" si="20"/>
        <v>1.9</v>
      </c>
      <c r="P75" s="8" t="s">
        <v>2050</v>
      </c>
      <c r="Q75" s="8">
        <v>88</v>
      </c>
      <c r="R75" s="12">
        <v>0.88</v>
      </c>
      <c r="S75" s="12">
        <f t="shared" si="21"/>
        <v>0.88</v>
      </c>
    </row>
    <row r="76" spans="1:19" x14ac:dyDescent="0.35">
      <c r="A76" s="8" t="s">
        <v>203</v>
      </c>
      <c r="B76" s="8" t="s">
        <v>204</v>
      </c>
      <c r="C76" s="8" t="s">
        <v>70</v>
      </c>
      <c r="D76" s="8" t="str">
        <f t="shared" si="16"/>
        <v>Male</v>
      </c>
      <c r="E76" s="8">
        <v>36</v>
      </c>
      <c r="F76" s="8">
        <f t="shared" si="17"/>
        <v>36</v>
      </c>
      <c r="G76" s="8" t="s">
        <v>2</v>
      </c>
      <c r="H76" s="8" t="s">
        <v>3</v>
      </c>
      <c r="I76" s="8" t="s">
        <v>90</v>
      </c>
      <c r="J76" s="8">
        <v>14</v>
      </c>
      <c r="K76" s="8">
        <f t="shared" si="18"/>
        <v>14</v>
      </c>
      <c r="L76" s="8">
        <v>100</v>
      </c>
      <c r="M76" s="9">
        <f t="shared" si="19"/>
        <v>100</v>
      </c>
      <c r="N76" s="8">
        <v>3.7</v>
      </c>
      <c r="O76" s="10">
        <f t="shared" si="20"/>
        <v>3.7</v>
      </c>
      <c r="P76" s="8" t="s">
        <v>2050</v>
      </c>
      <c r="Q76" s="13"/>
      <c r="S76" s="12">
        <f t="shared" si="21"/>
        <v>0.79269417475728277</v>
      </c>
    </row>
    <row r="77" spans="1:19" x14ac:dyDescent="0.35">
      <c r="A77" s="8" t="s">
        <v>205</v>
      </c>
      <c r="B77" s="8" t="s">
        <v>206</v>
      </c>
      <c r="C77" s="8" t="s">
        <v>75</v>
      </c>
      <c r="D77" s="8" t="str">
        <f t="shared" si="16"/>
        <v>Male</v>
      </c>
      <c r="E77" s="8">
        <v>32</v>
      </c>
      <c r="F77" s="8">
        <f t="shared" si="17"/>
        <v>32</v>
      </c>
      <c r="G77" s="8" t="s">
        <v>71</v>
      </c>
      <c r="H77" s="8" t="s">
        <v>72</v>
      </c>
      <c r="I77" s="8" t="s">
        <v>33</v>
      </c>
      <c r="J77" s="13"/>
      <c r="K77" s="8">
        <f t="shared" si="18"/>
        <v>9</v>
      </c>
      <c r="L77" s="8">
        <v>30</v>
      </c>
      <c r="M77" s="9">
        <f t="shared" si="19"/>
        <v>30</v>
      </c>
      <c r="N77" s="8">
        <v>1.9</v>
      </c>
      <c r="O77" s="10">
        <f t="shared" si="20"/>
        <v>1.9</v>
      </c>
      <c r="P77" s="8" t="s">
        <v>2051</v>
      </c>
      <c r="Q77" s="14">
        <v>0.96</v>
      </c>
      <c r="R77" s="12">
        <f>Q77</f>
        <v>0.96</v>
      </c>
      <c r="S77" s="12">
        <f t="shared" si="21"/>
        <v>0.96</v>
      </c>
    </row>
    <row r="78" spans="1:19" x14ac:dyDescent="0.35">
      <c r="A78" s="8" t="s">
        <v>207</v>
      </c>
      <c r="B78" s="8" t="s">
        <v>208</v>
      </c>
      <c r="C78" s="8" t="s">
        <v>13</v>
      </c>
      <c r="D78" s="8" t="str">
        <f t="shared" si="16"/>
        <v>Male</v>
      </c>
      <c r="E78" s="8">
        <v>59</v>
      </c>
      <c r="F78" s="8">
        <f t="shared" si="17"/>
        <v>59</v>
      </c>
      <c r="G78" s="8" t="s">
        <v>8</v>
      </c>
      <c r="H78" s="8" t="s">
        <v>9</v>
      </c>
      <c r="I78" s="8" t="s">
        <v>27</v>
      </c>
      <c r="J78" s="8">
        <v>9</v>
      </c>
      <c r="K78" s="8">
        <f t="shared" si="18"/>
        <v>9</v>
      </c>
      <c r="L78" s="8">
        <v>75</v>
      </c>
      <c r="M78" s="9">
        <f t="shared" si="19"/>
        <v>75</v>
      </c>
      <c r="N78" s="8">
        <v>4</v>
      </c>
      <c r="O78" s="10">
        <f t="shared" si="20"/>
        <v>4</v>
      </c>
      <c r="P78" s="8" t="s">
        <v>2051</v>
      </c>
      <c r="Q78" s="8">
        <v>96</v>
      </c>
      <c r="R78" s="12">
        <v>0.96</v>
      </c>
      <c r="S78" s="12">
        <f t="shared" si="21"/>
        <v>0.96</v>
      </c>
    </row>
    <row r="79" spans="1:19" x14ac:dyDescent="0.35">
      <c r="A79" s="8" t="s">
        <v>209</v>
      </c>
      <c r="B79" s="8" t="s">
        <v>210</v>
      </c>
      <c r="C79" s="8" t="s">
        <v>19</v>
      </c>
      <c r="D79" s="8" t="str">
        <f t="shared" si="16"/>
        <v>Female</v>
      </c>
      <c r="E79" s="8">
        <v>54</v>
      </c>
      <c r="F79" s="8">
        <f t="shared" si="17"/>
        <v>54</v>
      </c>
      <c r="G79" s="8" t="s">
        <v>162</v>
      </c>
      <c r="H79" s="8" t="s">
        <v>51</v>
      </c>
      <c r="I79" s="8" t="s">
        <v>67</v>
      </c>
      <c r="J79" s="8">
        <v>32</v>
      </c>
      <c r="K79" s="8">
        <f t="shared" si="18"/>
        <v>32</v>
      </c>
      <c r="L79" s="8">
        <v>40</v>
      </c>
      <c r="M79" s="9">
        <f t="shared" si="19"/>
        <v>40</v>
      </c>
      <c r="N79" s="8">
        <v>1.8</v>
      </c>
      <c r="O79" s="10">
        <f t="shared" si="20"/>
        <v>1.8</v>
      </c>
      <c r="P79" s="8" t="s">
        <v>2050</v>
      </c>
      <c r="Q79" s="13"/>
      <c r="S79" s="12">
        <f t="shared" si="21"/>
        <v>0.79269417475728277</v>
      </c>
    </row>
    <row r="80" spans="1:19" x14ac:dyDescent="0.35">
      <c r="A80" s="8" t="s">
        <v>211</v>
      </c>
      <c r="B80" s="8" t="s">
        <v>212</v>
      </c>
      <c r="C80" s="8" t="s">
        <v>1</v>
      </c>
      <c r="D80" s="8" t="str">
        <f t="shared" si="16"/>
        <v>Female</v>
      </c>
      <c r="E80" s="8">
        <v>37</v>
      </c>
      <c r="F80" s="8">
        <f t="shared" si="17"/>
        <v>37</v>
      </c>
      <c r="G80" s="8" t="s">
        <v>103</v>
      </c>
      <c r="H80" s="8" t="s">
        <v>9</v>
      </c>
      <c r="I80" s="8" t="s">
        <v>16</v>
      </c>
      <c r="J80" s="8">
        <v>9</v>
      </c>
      <c r="K80" s="8">
        <f t="shared" si="18"/>
        <v>9</v>
      </c>
      <c r="L80" s="13"/>
      <c r="M80" s="9">
        <f t="shared" si="19"/>
        <v>40</v>
      </c>
      <c r="N80" s="8">
        <v>0</v>
      </c>
      <c r="O80" s="11">
        <f t="shared" si="20"/>
        <v>0</v>
      </c>
      <c r="P80" s="8" t="s">
        <v>2051</v>
      </c>
      <c r="Q80" s="14">
        <v>0.89</v>
      </c>
      <c r="R80" s="12">
        <f>Q80</f>
        <v>0.89</v>
      </c>
      <c r="S80" s="12">
        <f t="shared" si="21"/>
        <v>0.89</v>
      </c>
    </row>
    <row r="81" spans="1:19" x14ac:dyDescent="0.35">
      <c r="A81" s="8" t="s">
        <v>213</v>
      </c>
      <c r="B81" s="8" t="s">
        <v>214</v>
      </c>
      <c r="C81" s="8" t="s">
        <v>41</v>
      </c>
      <c r="D81" s="8" t="str">
        <f t="shared" si="16"/>
        <v>Male</v>
      </c>
      <c r="E81" s="8">
        <v>54</v>
      </c>
      <c r="F81" s="8">
        <f t="shared" si="17"/>
        <v>54</v>
      </c>
      <c r="G81" s="8" t="s">
        <v>71</v>
      </c>
      <c r="H81" s="8" t="s">
        <v>72</v>
      </c>
      <c r="I81" s="8" t="s">
        <v>90</v>
      </c>
      <c r="J81" s="8">
        <v>21</v>
      </c>
      <c r="K81" s="8">
        <f t="shared" si="18"/>
        <v>21</v>
      </c>
      <c r="L81" s="8">
        <v>100</v>
      </c>
      <c r="M81" s="9">
        <f t="shared" si="19"/>
        <v>100</v>
      </c>
      <c r="N81" s="8">
        <v>4.5999999999999996</v>
      </c>
      <c r="O81" s="10">
        <f t="shared" si="20"/>
        <v>4.5999999999999996</v>
      </c>
      <c r="P81" s="8" t="s">
        <v>2050</v>
      </c>
      <c r="Q81" s="13"/>
      <c r="S81" s="12">
        <f t="shared" si="21"/>
        <v>0.79269417475728277</v>
      </c>
    </row>
    <row r="82" spans="1:19" x14ac:dyDescent="0.35">
      <c r="A82" s="8" t="s">
        <v>215</v>
      </c>
      <c r="B82" s="8" t="s">
        <v>216</v>
      </c>
      <c r="C82" s="8" t="s">
        <v>55</v>
      </c>
      <c r="D82" s="8" t="str">
        <f t="shared" si="16"/>
        <v>Female</v>
      </c>
      <c r="E82" s="8">
        <v>33</v>
      </c>
      <c r="F82" s="8">
        <f t="shared" si="17"/>
        <v>33</v>
      </c>
      <c r="G82" s="8" t="s">
        <v>50</v>
      </c>
      <c r="H82" s="8" t="s">
        <v>51</v>
      </c>
      <c r="I82" s="8" t="s">
        <v>52</v>
      </c>
      <c r="J82" s="8">
        <v>12</v>
      </c>
      <c r="K82" s="8">
        <f t="shared" si="18"/>
        <v>12</v>
      </c>
      <c r="L82" s="8">
        <v>100</v>
      </c>
      <c r="M82" s="9">
        <f t="shared" si="19"/>
        <v>100</v>
      </c>
      <c r="N82" s="8">
        <v>3.6</v>
      </c>
      <c r="O82" s="10">
        <f t="shared" si="20"/>
        <v>3.6</v>
      </c>
      <c r="P82" s="8" t="s">
        <v>2050</v>
      </c>
      <c r="Q82" s="14">
        <v>0.63</v>
      </c>
      <c r="R82" s="12">
        <f>Q82</f>
        <v>0.63</v>
      </c>
      <c r="S82" s="12">
        <f t="shared" si="21"/>
        <v>0.63</v>
      </c>
    </row>
    <row r="83" spans="1:19" x14ac:dyDescent="0.35">
      <c r="A83" s="8" t="s">
        <v>217</v>
      </c>
      <c r="B83" s="8" t="s">
        <v>218</v>
      </c>
      <c r="C83" s="8" t="s">
        <v>1</v>
      </c>
      <c r="D83" s="8" t="str">
        <f t="shared" si="16"/>
        <v>Female</v>
      </c>
      <c r="E83" s="8">
        <v>25</v>
      </c>
      <c r="F83" s="8">
        <f t="shared" si="17"/>
        <v>25</v>
      </c>
      <c r="G83" s="8" t="s">
        <v>114</v>
      </c>
      <c r="H83" s="8" t="s">
        <v>115</v>
      </c>
      <c r="I83" s="8" t="s">
        <v>20</v>
      </c>
      <c r="J83" s="8">
        <v>7</v>
      </c>
      <c r="K83" s="8">
        <f t="shared" si="18"/>
        <v>7</v>
      </c>
      <c r="L83" s="8">
        <v>40</v>
      </c>
      <c r="M83" s="9">
        <f t="shared" si="19"/>
        <v>40</v>
      </c>
      <c r="N83" s="8">
        <v>4.4000000000000004</v>
      </c>
      <c r="O83" s="10">
        <f t="shared" si="20"/>
        <v>4.4000000000000004</v>
      </c>
      <c r="P83" s="13" t="s">
        <v>2050</v>
      </c>
      <c r="Q83" s="8">
        <v>81</v>
      </c>
      <c r="R83" s="12">
        <v>0.81</v>
      </c>
      <c r="S83" s="12">
        <f t="shared" si="21"/>
        <v>0.81</v>
      </c>
    </row>
    <row r="84" spans="1:19" x14ac:dyDescent="0.35">
      <c r="A84" s="8" t="s">
        <v>219</v>
      </c>
      <c r="B84" s="8" t="s">
        <v>220</v>
      </c>
      <c r="C84" s="8" t="s">
        <v>75</v>
      </c>
      <c r="D84" s="8" t="str">
        <f t="shared" si="16"/>
        <v>Male</v>
      </c>
      <c r="E84" s="13"/>
      <c r="F84" s="8">
        <f t="shared" si="17"/>
        <v>41</v>
      </c>
      <c r="G84" s="8" t="s">
        <v>147</v>
      </c>
      <c r="H84" s="8" t="s">
        <v>148</v>
      </c>
      <c r="I84" s="8" t="s">
        <v>67</v>
      </c>
      <c r="J84" s="8">
        <v>3</v>
      </c>
      <c r="K84" s="8">
        <f t="shared" si="18"/>
        <v>3</v>
      </c>
      <c r="L84" s="8">
        <v>40</v>
      </c>
      <c r="M84" s="9">
        <f t="shared" si="19"/>
        <v>40</v>
      </c>
      <c r="N84" s="8">
        <v>4.5999999999999996</v>
      </c>
      <c r="O84" s="10">
        <f t="shared" si="20"/>
        <v>4.5999999999999996</v>
      </c>
      <c r="P84" s="8" t="s">
        <v>2050</v>
      </c>
      <c r="Q84" s="14">
        <v>0.74</v>
      </c>
      <c r="R84" s="12">
        <f t="shared" ref="R84:R85" si="23">Q84</f>
        <v>0.74</v>
      </c>
      <c r="S84" s="12">
        <f t="shared" si="21"/>
        <v>0.74</v>
      </c>
    </row>
    <row r="85" spans="1:19" x14ac:dyDescent="0.35">
      <c r="A85" s="8" t="s">
        <v>221</v>
      </c>
      <c r="B85" s="8" t="s">
        <v>222</v>
      </c>
      <c r="C85" s="8" t="s">
        <v>13</v>
      </c>
      <c r="D85" s="8" t="str">
        <f t="shared" si="16"/>
        <v>Male</v>
      </c>
      <c r="E85" s="8">
        <v>35</v>
      </c>
      <c r="F85" s="8">
        <f t="shared" si="17"/>
        <v>35</v>
      </c>
      <c r="G85" s="8" t="s">
        <v>88</v>
      </c>
      <c r="H85" s="8" t="s">
        <v>89</v>
      </c>
      <c r="I85" s="8" t="s">
        <v>20</v>
      </c>
      <c r="J85" s="8">
        <v>5</v>
      </c>
      <c r="K85" s="8">
        <f t="shared" si="18"/>
        <v>5</v>
      </c>
      <c r="L85" s="8">
        <v>75</v>
      </c>
      <c r="M85" s="9">
        <f t="shared" si="19"/>
        <v>75</v>
      </c>
      <c r="N85" s="8">
        <v>3.2</v>
      </c>
      <c r="O85" s="10">
        <f t="shared" si="20"/>
        <v>3.2</v>
      </c>
      <c r="P85" s="8" t="s">
        <v>2050</v>
      </c>
      <c r="Q85" s="14">
        <v>0.72</v>
      </c>
      <c r="R85" s="12">
        <f t="shared" si="23"/>
        <v>0.72</v>
      </c>
      <c r="S85" s="12">
        <f t="shared" si="21"/>
        <v>0.72</v>
      </c>
    </row>
    <row r="86" spans="1:19" x14ac:dyDescent="0.35">
      <c r="A86" s="8" t="s">
        <v>223</v>
      </c>
      <c r="B86" s="8" t="s">
        <v>224</v>
      </c>
      <c r="C86" s="8" t="s">
        <v>75</v>
      </c>
      <c r="D86" s="8" t="str">
        <f t="shared" si="16"/>
        <v>Male</v>
      </c>
      <c r="E86" s="8">
        <v>59</v>
      </c>
      <c r="F86" s="8">
        <f t="shared" si="17"/>
        <v>59</v>
      </c>
      <c r="G86" s="8" t="s">
        <v>88</v>
      </c>
      <c r="H86" s="8" t="s">
        <v>89</v>
      </c>
      <c r="I86" s="8" t="s">
        <v>27</v>
      </c>
      <c r="J86" s="8">
        <v>30</v>
      </c>
      <c r="K86" s="8">
        <f t="shared" si="18"/>
        <v>30</v>
      </c>
      <c r="L86" s="8">
        <v>40</v>
      </c>
      <c r="M86" s="9">
        <f t="shared" si="19"/>
        <v>40</v>
      </c>
      <c r="N86" s="8">
        <v>0</v>
      </c>
      <c r="O86" s="11">
        <f t="shared" si="20"/>
        <v>0</v>
      </c>
      <c r="P86" s="8" t="s">
        <v>2051</v>
      </c>
      <c r="Q86" s="13"/>
      <c r="S86" s="12">
        <f t="shared" si="21"/>
        <v>0.79269417475728277</v>
      </c>
    </row>
    <row r="87" spans="1:19" x14ac:dyDescent="0.35">
      <c r="A87" s="8" t="s">
        <v>225</v>
      </c>
      <c r="B87" s="8" t="s">
        <v>226</v>
      </c>
      <c r="C87" s="8" t="s">
        <v>22</v>
      </c>
      <c r="D87" s="8" t="str">
        <f t="shared" si="16"/>
        <v>Female</v>
      </c>
      <c r="E87" s="8">
        <v>21</v>
      </c>
      <c r="F87" s="8">
        <f t="shared" si="17"/>
        <v>21</v>
      </c>
      <c r="G87" s="8" t="s">
        <v>147</v>
      </c>
      <c r="H87" s="8" t="s">
        <v>148</v>
      </c>
      <c r="I87" s="8" t="s">
        <v>67</v>
      </c>
      <c r="J87" s="8">
        <v>2</v>
      </c>
      <c r="K87" s="8">
        <f t="shared" si="18"/>
        <v>2</v>
      </c>
      <c r="L87" s="8">
        <v>100</v>
      </c>
      <c r="M87" s="9">
        <f t="shared" si="19"/>
        <v>100</v>
      </c>
      <c r="N87" s="8">
        <v>2.6</v>
      </c>
      <c r="O87" s="10">
        <f t="shared" si="20"/>
        <v>2.6</v>
      </c>
      <c r="P87" s="8" t="s">
        <v>2051</v>
      </c>
      <c r="Q87" s="14">
        <v>0.85</v>
      </c>
      <c r="R87" s="12">
        <f>Q87</f>
        <v>0.85</v>
      </c>
      <c r="S87" s="12">
        <f t="shared" si="21"/>
        <v>0.85</v>
      </c>
    </row>
    <row r="88" spans="1:19" x14ac:dyDescent="0.35">
      <c r="A88" s="8" t="s">
        <v>227</v>
      </c>
      <c r="B88" s="8" t="s">
        <v>228</v>
      </c>
      <c r="C88" s="8" t="s">
        <v>70</v>
      </c>
      <c r="D88" s="8" t="str">
        <f t="shared" si="16"/>
        <v>Male</v>
      </c>
      <c r="E88" s="8">
        <v>25</v>
      </c>
      <c r="F88" s="8">
        <f t="shared" si="17"/>
        <v>25</v>
      </c>
      <c r="G88" s="8" t="s">
        <v>38</v>
      </c>
      <c r="H88" s="8" t="s">
        <v>9</v>
      </c>
      <c r="I88" s="8" t="s">
        <v>10</v>
      </c>
      <c r="J88" s="8">
        <v>2</v>
      </c>
      <c r="K88" s="8">
        <f t="shared" si="18"/>
        <v>2</v>
      </c>
      <c r="L88" s="8">
        <v>75</v>
      </c>
      <c r="M88" s="9">
        <f t="shared" si="19"/>
        <v>75</v>
      </c>
      <c r="N88" s="8">
        <v>3.7</v>
      </c>
      <c r="O88" s="10">
        <f t="shared" si="20"/>
        <v>3.7</v>
      </c>
      <c r="P88" s="8" t="s">
        <v>2050</v>
      </c>
      <c r="Q88" s="13"/>
      <c r="S88" s="12">
        <f t="shared" si="21"/>
        <v>0.79269417475728277</v>
      </c>
    </row>
    <row r="89" spans="1:19" x14ac:dyDescent="0.35">
      <c r="A89" s="8" t="s">
        <v>229</v>
      </c>
      <c r="B89" s="8" t="s">
        <v>230</v>
      </c>
      <c r="C89" s="8" t="s">
        <v>1</v>
      </c>
      <c r="D89" s="8" t="str">
        <f t="shared" si="16"/>
        <v>Female</v>
      </c>
      <c r="E89" s="8">
        <v>38</v>
      </c>
      <c r="F89" s="8">
        <f t="shared" si="17"/>
        <v>38</v>
      </c>
      <c r="G89" s="8" t="s">
        <v>151</v>
      </c>
      <c r="H89" s="8" t="s">
        <v>51</v>
      </c>
      <c r="I89" s="8" t="s">
        <v>20</v>
      </c>
      <c r="J89" s="8">
        <v>19</v>
      </c>
      <c r="K89" s="8">
        <f t="shared" si="18"/>
        <v>19</v>
      </c>
      <c r="L89" s="8">
        <v>75</v>
      </c>
      <c r="M89" s="9">
        <f t="shared" si="19"/>
        <v>75</v>
      </c>
      <c r="N89" s="8">
        <v>2.2999999999999998</v>
      </c>
      <c r="O89" s="10">
        <f t="shared" si="20"/>
        <v>2.2999999999999998</v>
      </c>
      <c r="P89" s="8" t="s">
        <v>2050</v>
      </c>
      <c r="Q89" s="14">
        <v>0.61</v>
      </c>
      <c r="R89" s="12">
        <f>Q89</f>
        <v>0.61</v>
      </c>
      <c r="S89" s="12">
        <f t="shared" si="21"/>
        <v>0.61</v>
      </c>
    </row>
    <row r="90" spans="1:19" x14ac:dyDescent="0.35">
      <c r="A90" s="8" t="s">
        <v>231</v>
      </c>
      <c r="B90" s="8" t="s">
        <v>232</v>
      </c>
      <c r="C90" s="8" t="s">
        <v>75</v>
      </c>
      <c r="D90" s="8" t="str">
        <f t="shared" si="16"/>
        <v>Male</v>
      </c>
      <c r="E90" s="8">
        <v>57</v>
      </c>
      <c r="F90" s="8">
        <f t="shared" si="17"/>
        <v>57</v>
      </c>
      <c r="G90" s="8" t="s">
        <v>99</v>
      </c>
      <c r="H90" s="8" t="s">
        <v>100</v>
      </c>
      <c r="I90" s="8" t="s">
        <v>27</v>
      </c>
      <c r="J90" s="8">
        <v>16</v>
      </c>
      <c r="K90" s="8">
        <f t="shared" si="18"/>
        <v>16</v>
      </c>
      <c r="L90" s="8">
        <v>100</v>
      </c>
      <c r="M90" s="9">
        <f t="shared" si="19"/>
        <v>100</v>
      </c>
      <c r="N90" s="8">
        <v>3.1</v>
      </c>
      <c r="O90" s="10">
        <f t="shared" si="20"/>
        <v>3.1</v>
      </c>
      <c r="P90" s="8" t="s">
        <v>2050</v>
      </c>
      <c r="Q90" s="13"/>
      <c r="S90" s="12">
        <f t="shared" si="21"/>
        <v>0.79269417475728277</v>
      </c>
    </row>
    <row r="91" spans="1:19" x14ac:dyDescent="0.35">
      <c r="A91" s="8" t="s">
        <v>233</v>
      </c>
      <c r="B91" s="8" t="s">
        <v>234</v>
      </c>
      <c r="C91" s="8" t="s">
        <v>30</v>
      </c>
      <c r="D91" s="8" t="str">
        <f t="shared" si="16"/>
        <v>Male</v>
      </c>
      <c r="E91" s="8">
        <v>32</v>
      </c>
      <c r="F91" s="8">
        <f t="shared" si="17"/>
        <v>32</v>
      </c>
      <c r="G91" s="8" t="s">
        <v>71</v>
      </c>
      <c r="H91" s="8" t="s">
        <v>72</v>
      </c>
      <c r="I91" s="8" t="s">
        <v>10</v>
      </c>
      <c r="J91" s="8">
        <v>10</v>
      </c>
      <c r="K91" s="8">
        <f t="shared" si="18"/>
        <v>10</v>
      </c>
      <c r="L91" s="8">
        <v>20</v>
      </c>
      <c r="M91" s="9">
        <f t="shared" si="19"/>
        <v>20</v>
      </c>
      <c r="N91" s="8">
        <v>2.4</v>
      </c>
      <c r="O91" s="10">
        <f t="shared" si="20"/>
        <v>2.4</v>
      </c>
      <c r="P91" s="8" t="s">
        <v>2050</v>
      </c>
      <c r="Q91" s="14">
        <v>0.86</v>
      </c>
      <c r="R91" s="12">
        <f t="shared" ref="R91:R98" si="24">Q91</f>
        <v>0.86</v>
      </c>
      <c r="S91" s="12">
        <f t="shared" si="21"/>
        <v>0.86</v>
      </c>
    </row>
    <row r="92" spans="1:19" x14ac:dyDescent="0.35">
      <c r="A92" s="8" t="s">
        <v>235</v>
      </c>
      <c r="B92" s="8" t="s">
        <v>236</v>
      </c>
      <c r="C92" s="8" t="s">
        <v>13</v>
      </c>
      <c r="D92" s="8" t="str">
        <f t="shared" si="16"/>
        <v>Male</v>
      </c>
      <c r="E92" s="8">
        <v>21</v>
      </c>
      <c r="F92" s="8">
        <f t="shared" si="17"/>
        <v>21</v>
      </c>
      <c r="G92" s="8" t="s">
        <v>2</v>
      </c>
      <c r="H92" s="8" t="s">
        <v>3</v>
      </c>
      <c r="I92" s="8" t="s">
        <v>67</v>
      </c>
      <c r="J92" s="8">
        <v>2</v>
      </c>
      <c r="K92" s="8">
        <f t="shared" si="18"/>
        <v>2</v>
      </c>
      <c r="L92" s="8">
        <v>100</v>
      </c>
      <c r="M92" s="9">
        <f t="shared" si="19"/>
        <v>100</v>
      </c>
      <c r="N92" s="8">
        <v>1.6</v>
      </c>
      <c r="O92" s="10">
        <f t="shared" si="20"/>
        <v>1.6</v>
      </c>
      <c r="P92" s="8" t="s">
        <v>2051</v>
      </c>
      <c r="Q92" s="14">
        <v>0.97</v>
      </c>
      <c r="R92" s="12">
        <f t="shared" si="24"/>
        <v>0.97</v>
      </c>
      <c r="S92" s="12">
        <f t="shared" si="21"/>
        <v>0.97</v>
      </c>
    </row>
    <row r="93" spans="1:19" x14ac:dyDescent="0.35">
      <c r="A93" s="8" t="s">
        <v>237</v>
      </c>
      <c r="B93" s="8" t="s">
        <v>238</v>
      </c>
      <c r="C93" s="8" t="s">
        <v>55</v>
      </c>
      <c r="D93" s="8" t="str">
        <f t="shared" si="16"/>
        <v>Female</v>
      </c>
      <c r="E93" s="8">
        <v>57</v>
      </c>
      <c r="F93" s="8">
        <f t="shared" si="17"/>
        <v>57</v>
      </c>
      <c r="G93" s="8" t="s">
        <v>103</v>
      </c>
      <c r="H93" s="8" t="s">
        <v>9</v>
      </c>
      <c r="I93" s="8" t="s">
        <v>56</v>
      </c>
      <c r="J93" s="8">
        <v>18</v>
      </c>
      <c r="K93" s="8">
        <f t="shared" si="18"/>
        <v>18</v>
      </c>
      <c r="L93" s="8">
        <v>50</v>
      </c>
      <c r="M93" s="9">
        <f t="shared" si="19"/>
        <v>50</v>
      </c>
      <c r="N93" s="8">
        <v>2.4</v>
      </c>
      <c r="O93" s="10">
        <f t="shared" si="20"/>
        <v>2.4</v>
      </c>
      <c r="P93" s="8" t="s">
        <v>2051</v>
      </c>
      <c r="Q93" s="14">
        <v>0.63</v>
      </c>
      <c r="R93" s="12">
        <f t="shared" si="24"/>
        <v>0.63</v>
      </c>
      <c r="S93" s="12">
        <f t="shared" si="21"/>
        <v>0.63</v>
      </c>
    </row>
    <row r="94" spans="1:19" x14ac:dyDescent="0.35">
      <c r="A94" s="8" t="s">
        <v>239</v>
      </c>
      <c r="B94" s="8" t="s">
        <v>240</v>
      </c>
      <c r="C94" s="8" t="s">
        <v>13</v>
      </c>
      <c r="D94" s="8" t="str">
        <f t="shared" si="16"/>
        <v>Male</v>
      </c>
      <c r="E94" s="8">
        <v>53</v>
      </c>
      <c r="F94" s="8">
        <f t="shared" si="17"/>
        <v>53</v>
      </c>
      <c r="G94" s="8" t="s">
        <v>147</v>
      </c>
      <c r="H94" s="8" t="s">
        <v>148</v>
      </c>
      <c r="I94" s="8" t="s">
        <v>52</v>
      </c>
      <c r="J94" s="8">
        <v>21</v>
      </c>
      <c r="K94" s="8">
        <f t="shared" si="18"/>
        <v>21</v>
      </c>
      <c r="L94" s="8">
        <v>100</v>
      </c>
      <c r="M94" s="9">
        <f t="shared" si="19"/>
        <v>100</v>
      </c>
      <c r="O94" s="10">
        <f t="shared" si="20"/>
        <v>2.5125695216907653</v>
      </c>
      <c r="P94" s="8" t="s">
        <v>2051</v>
      </c>
      <c r="Q94" s="14">
        <v>0.97</v>
      </c>
      <c r="R94" s="12">
        <f t="shared" si="24"/>
        <v>0.97</v>
      </c>
      <c r="S94" s="12">
        <f t="shared" si="21"/>
        <v>0.97</v>
      </c>
    </row>
    <row r="95" spans="1:19" x14ac:dyDescent="0.35">
      <c r="A95" s="8" t="s">
        <v>241</v>
      </c>
      <c r="B95" s="8" t="s">
        <v>242</v>
      </c>
      <c r="C95" s="8" t="s">
        <v>70</v>
      </c>
      <c r="D95" s="8" t="str">
        <f t="shared" si="16"/>
        <v>Male</v>
      </c>
      <c r="E95" s="8">
        <v>35</v>
      </c>
      <c r="F95" s="8">
        <f t="shared" si="17"/>
        <v>35</v>
      </c>
      <c r="G95" s="8" t="s">
        <v>99</v>
      </c>
      <c r="H95" s="8" t="s">
        <v>100</v>
      </c>
      <c r="I95" s="8" t="s">
        <v>4</v>
      </c>
      <c r="J95" s="8">
        <v>3</v>
      </c>
      <c r="K95" s="8">
        <f t="shared" si="18"/>
        <v>3</v>
      </c>
      <c r="L95" s="8">
        <v>30</v>
      </c>
      <c r="M95" s="9">
        <f t="shared" si="19"/>
        <v>30</v>
      </c>
      <c r="N95" s="8">
        <v>3.8</v>
      </c>
      <c r="O95" s="10">
        <f t="shared" si="20"/>
        <v>3.8</v>
      </c>
      <c r="P95" s="8" t="s">
        <v>2051</v>
      </c>
      <c r="Q95" s="14">
        <v>0.81</v>
      </c>
      <c r="R95" s="12">
        <f t="shared" si="24"/>
        <v>0.81</v>
      </c>
      <c r="S95" s="12">
        <f t="shared" si="21"/>
        <v>0.81</v>
      </c>
    </row>
    <row r="96" spans="1:19" x14ac:dyDescent="0.35">
      <c r="A96" s="8" t="s">
        <v>243</v>
      </c>
      <c r="B96" s="8" t="s">
        <v>244</v>
      </c>
      <c r="C96" s="8" t="s">
        <v>1</v>
      </c>
      <c r="D96" s="8" t="str">
        <f t="shared" si="16"/>
        <v>Female</v>
      </c>
      <c r="E96" s="8">
        <v>54</v>
      </c>
      <c r="F96" s="8">
        <f t="shared" si="17"/>
        <v>54</v>
      </c>
      <c r="G96" s="8" t="s">
        <v>147</v>
      </c>
      <c r="H96" s="8" t="s">
        <v>148</v>
      </c>
      <c r="I96" s="8" t="s">
        <v>90</v>
      </c>
      <c r="J96" s="8">
        <v>17</v>
      </c>
      <c r="K96" s="8">
        <f t="shared" si="18"/>
        <v>17</v>
      </c>
      <c r="L96" s="8">
        <v>20</v>
      </c>
      <c r="M96" s="9">
        <f t="shared" si="19"/>
        <v>20</v>
      </c>
      <c r="N96" s="8">
        <v>1.7</v>
      </c>
      <c r="O96" s="10">
        <f t="shared" si="20"/>
        <v>1.7</v>
      </c>
      <c r="P96" s="8" t="s">
        <v>2050</v>
      </c>
      <c r="Q96" s="14">
        <v>0.69</v>
      </c>
      <c r="R96" s="12">
        <f t="shared" si="24"/>
        <v>0.69</v>
      </c>
      <c r="S96" s="12">
        <f t="shared" si="21"/>
        <v>0.69</v>
      </c>
    </row>
    <row r="97" spans="1:19" x14ac:dyDescent="0.35">
      <c r="A97" s="8" t="s">
        <v>245</v>
      </c>
      <c r="B97" s="8" t="s">
        <v>246</v>
      </c>
      <c r="C97" s="8" t="s">
        <v>7</v>
      </c>
      <c r="D97" s="8" t="str">
        <f t="shared" si="16"/>
        <v>Female</v>
      </c>
      <c r="E97" s="8">
        <v>36</v>
      </c>
      <c r="F97" s="8">
        <f t="shared" si="17"/>
        <v>36</v>
      </c>
      <c r="G97" s="8" t="s">
        <v>2</v>
      </c>
      <c r="H97" s="8" t="s">
        <v>3</v>
      </c>
      <c r="I97" s="8" t="s">
        <v>52</v>
      </c>
      <c r="J97" s="8">
        <v>0</v>
      </c>
      <c r="K97" s="8">
        <f t="shared" si="18"/>
        <v>0</v>
      </c>
      <c r="L97" s="8">
        <v>20</v>
      </c>
      <c r="M97" s="9">
        <f t="shared" si="19"/>
        <v>20</v>
      </c>
      <c r="N97" s="8">
        <v>1.3</v>
      </c>
      <c r="O97" s="10">
        <f t="shared" si="20"/>
        <v>1.3</v>
      </c>
      <c r="P97" s="8" t="s">
        <v>2051</v>
      </c>
      <c r="Q97" s="14">
        <v>0.64</v>
      </c>
      <c r="R97" s="12">
        <f t="shared" si="24"/>
        <v>0.64</v>
      </c>
      <c r="S97" s="12">
        <f t="shared" si="21"/>
        <v>0.64</v>
      </c>
    </row>
    <row r="98" spans="1:19" x14ac:dyDescent="0.35">
      <c r="A98" s="8" t="s">
        <v>247</v>
      </c>
      <c r="B98" s="8" t="s">
        <v>248</v>
      </c>
      <c r="C98" s="8" t="s">
        <v>1</v>
      </c>
      <c r="D98" s="8" t="str">
        <f t="shared" si="16"/>
        <v>Female</v>
      </c>
      <c r="E98" s="8">
        <v>49</v>
      </c>
      <c r="F98" s="8">
        <f t="shared" si="17"/>
        <v>49</v>
      </c>
      <c r="G98" s="8" t="s">
        <v>162</v>
      </c>
      <c r="H98" s="8" t="s">
        <v>51</v>
      </c>
      <c r="I98" s="8" t="s">
        <v>56</v>
      </c>
      <c r="J98" s="8">
        <v>25</v>
      </c>
      <c r="K98" s="8">
        <f t="shared" si="18"/>
        <v>25</v>
      </c>
      <c r="L98" s="8">
        <v>50</v>
      </c>
      <c r="M98" s="9">
        <f t="shared" si="19"/>
        <v>50</v>
      </c>
      <c r="N98" s="8">
        <v>5</v>
      </c>
      <c r="O98" s="10">
        <f t="shared" si="20"/>
        <v>5</v>
      </c>
      <c r="P98" s="8" t="s">
        <v>2050</v>
      </c>
      <c r="Q98" s="14">
        <v>0.77</v>
      </c>
      <c r="R98" s="12">
        <f t="shared" si="24"/>
        <v>0.77</v>
      </c>
      <c r="S98" s="12">
        <f t="shared" si="21"/>
        <v>0.77</v>
      </c>
    </row>
    <row r="99" spans="1:19" x14ac:dyDescent="0.35">
      <c r="A99" s="8" t="s">
        <v>249</v>
      </c>
      <c r="B99" s="8" t="s">
        <v>250</v>
      </c>
      <c r="C99" s="8" t="s">
        <v>75</v>
      </c>
      <c r="D99" s="8" t="str">
        <f t="shared" si="16"/>
        <v>Male</v>
      </c>
      <c r="E99" s="8">
        <v>37</v>
      </c>
      <c r="F99" s="8">
        <f t="shared" si="17"/>
        <v>37</v>
      </c>
      <c r="G99" s="8" t="s">
        <v>38</v>
      </c>
      <c r="H99" s="8" t="s">
        <v>9</v>
      </c>
      <c r="I99" s="8" t="s">
        <v>4</v>
      </c>
      <c r="J99" s="8">
        <v>17</v>
      </c>
      <c r="K99" s="8">
        <f t="shared" si="18"/>
        <v>17</v>
      </c>
      <c r="L99" s="8">
        <v>20</v>
      </c>
      <c r="M99" s="9">
        <f t="shared" si="19"/>
        <v>20</v>
      </c>
      <c r="N99" s="8">
        <v>3.3</v>
      </c>
      <c r="O99" s="10">
        <f t="shared" si="20"/>
        <v>3.3</v>
      </c>
      <c r="P99" s="8" t="s">
        <v>2050</v>
      </c>
      <c r="Q99" s="8">
        <v>96</v>
      </c>
      <c r="R99" s="12">
        <v>0.96</v>
      </c>
      <c r="S99" s="12">
        <f t="shared" si="21"/>
        <v>0.96</v>
      </c>
    </row>
    <row r="100" spans="1:19" x14ac:dyDescent="0.35">
      <c r="A100" s="8" t="s">
        <v>251</v>
      </c>
      <c r="B100" s="8" t="s">
        <v>252</v>
      </c>
      <c r="C100" s="8" t="s">
        <v>41</v>
      </c>
      <c r="D100" s="8" t="str">
        <f t="shared" si="16"/>
        <v>Male</v>
      </c>
      <c r="E100" s="13"/>
      <c r="F100" s="8">
        <f t="shared" si="17"/>
        <v>41</v>
      </c>
      <c r="G100" s="8" t="s">
        <v>38</v>
      </c>
      <c r="H100" s="8" t="s">
        <v>9</v>
      </c>
      <c r="I100" s="8" t="s">
        <v>52</v>
      </c>
      <c r="J100" s="8">
        <v>5</v>
      </c>
      <c r="K100" s="8">
        <f t="shared" si="18"/>
        <v>5</v>
      </c>
      <c r="L100" s="8">
        <v>20</v>
      </c>
      <c r="M100" s="9">
        <f t="shared" si="19"/>
        <v>20</v>
      </c>
      <c r="N100" s="8">
        <v>1.1000000000000001</v>
      </c>
      <c r="O100" s="10">
        <f t="shared" si="20"/>
        <v>1.1000000000000001</v>
      </c>
      <c r="P100" s="8" t="s">
        <v>2050</v>
      </c>
      <c r="Q100" s="14">
        <v>0.74</v>
      </c>
      <c r="R100" s="12">
        <f t="shared" ref="R100:R102" si="25">Q100</f>
        <v>0.74</v>
      </c>
      <c r="S100" s="12">
        <f t="shared" si="21"/>
        <v>0.74</v>
      </c>
    </row>
    <row r="101" spans="1:19" x14ac:dyDescent="0.35">
      <c r="A101" s="8" t="s">
        <v>253</v>
      </c>
      <c r="B101" s="8" t="s">
        <v>254</v>
      </c>
      <c r="C101" s="8" t="s">
        <v>30</v>
      </c>
      <c r="D101" s="8" t="str">
        <f t="shared" si="16"/>
        <v>Male</v>
      </c>
      <c r="E101" s="8">
        <v>32</v>
      </c>
      <c r="F101" s="8">
        <f t="shared" si="17"/>
        <v>32</v>
      </c>
      <c r="G101" s="8" t="s">
        <v>114</v>
      </c>
      <c r="H101" s="8" t="s">
        <v>115</v>
      </c>
      <c r="I101" s="8" t="s">
        <v>52</v>
      </c>
      <c r="J101" s="8">
        <v>10</v>
      </c>
      <c r="K101" s="8">
        <f t="shared" si="18"/>
        <v>10</v>
      </c>
      <c r="L101" s="8">
        <v>50</v>
      </c>
      <c r="M101" s="9">
        <f t="shared" si="19"/>
        <v>50</v>
      </c>
      <c r="N101" s="8">
        <v>1.2</v>
      </c>
      <c r="O101" s="10">
        <f t="shared" si="20"/>
        <v>1.2</v>
      </c>
      <c r="P101" s="8" t="s">
        <v>2050</v>
      </c>
      <c r="Q101" s="14">
        <v>0.89</v>
      </c>
      <c r="R101" s="12">
        <f t="shared" si="25"/>
        <v>0.89</v>
      </c>
      <c r="S101" s="12">
        <f t="shared" si="21"/>
        <v>0.89</v>
      </c>
    </row>
    <row r="102" spans="1:19" x14ac:dyDescent="0.35">
      <c r="A102" s="8" t="s">
        <v>255</v>
      </c>
      <c r="B102" s="8" t="s">
        <v>256</v>
      </c>
      <c r="C102" s="8" t="s">
        <v>30</v>
      </c>
      <c r="D102" s="8" t="str">
        <f t="shared" si="16"/>
        <v>Male</v>
      </c>
      <c r="E102" s="8">
        <v>35</v>
      </c>
      <c r="F102" s="8">
        <f t="shared" si="17"/>
        <v>35</v>
      </c>
      <c r="G102" s="8" t="s">
        <v>71</v>
      </c>
      <c r="H102" s="8" t="s">
        <v>72</v>
      </c>
      <c r="I102" s="8" t="s">
        <v>10</v>
      </c>
      <c r="J102" s="8">
        <v>0</v>
      </c>
      <c r="K102" s="8">
        <f t="shared" si="18"/>
        <v>0</v>
      </c>
      <c r="L102" s="13"/>
      <c r="M102" s="9">
        <f t="shared" si="19"/>
        <v>40</v>
      </c>
      <c r="N102" s="8">
        <v>2</v>
      </c>
      <c r="O102" s="10">
        <f t="shared" si="20"/>
        <v>2</v>
      </c>
      <c r="P102" s="8" t="s">
        <v>2051</v>
      </c>
      <c r="Q102" s="14">
        <v>0.64</v>
      </c>
      <c r="R102" s="12">
        <f t="shared" si="25"/>
        <v>0.64</v>
      </c>
      <c r="S102" s="12">
        <f t="shared" si="21"/>
        <v>0.64</v>
      </c>
    </row>
    <row r="103" spans="1:19" x14ac:dyDescent="0.35">
      <c r="A103" s="8" t="s">
        <v>257</v>
      </c>
      <c r="B103" s="8" t="s">
        <v>258</v>
      </c>
      <c r="C103" s="8" t="s">
        <v>1</v>
      </c>
      <c r="D103" s="8" t="str">
        <f t="shared" si="16"/>
        <v>Female</v>
      </c>
      <c r="E103" s="8">
        <v>51</v>
      </c>
      <c r="F103" s="8">
        <f t="shared" si="17"/>
        <v>51</v>
      </c>
      <c r="G103" s="8" t="s">
        <v>99</v>
      </c>
      <c r="H103" s="8" t="s">
        <v>100</v>
      </c>
      <c r="I103" s="8" t="s">
        <v>16</v>
      </c>
      <c r="J103" s="8">
        <v>2</v>
      </c>
      <c r="K103" s="8">
        <f t="shared" si="18"/>
        <v>2</v>
      </c>
      <c r="L103" s="8">
        <v>30</v>
      </c>
      <c r="M103" s="9">
        <f t="shared" si="19"/>
        <v>30</v>
      </c>
      <c r="N103" s="8">
        <v>4.5</v>
      </c>
      <c r="O103" s="10">
        <f t="shared" si="20"/>
        <v>4.5</v>
      </c>
      <c r="P103" s="8" t="s">
        <v>2050</v>
      </c>
      <c r="Q103" s="8">
        <v>64</v>
      </c>
      <c r="R103" s="12">
        <v>0.64</v>
      </c>
      <c r="S103" s="12">
        <f t="shared" si="21"/>
        <v>0.64</v>
      </c>
    </row>
    <row r="104" spans="1:19" x14ac:dyDescent="0.35">
      <c r="A104" s="8" t="s">
        <v>259</v>
      </c>
      <c r="B104" s="8" t="s">
        <v>260</v>
      </c>
      <c r="C104" s="8" t="s">
        <v>1</v>
      </c>
      <c r="D104" s="8" t="str">
        <f t="shared" si="16"/>
        <v>Female</v>
      </c>
      <c r="E104" s="8">
        <v>50</v>
      </c>
      <c r="F104" s="8">
        <f t="shared" si="17"/>
        <v>50</v>
      </c>
      <c r="G104" s="8" t="s">
        <v>99</v>
      </c>
      <c r="H104" s="8" t="s">
        <v>100</v>
      </c>
      <c r="I104" s="8" t="s">
        <v>67</v>
      </c>
      <c r="J104" s="8">
        <v>30</v>
      </c>
      <c r="K104" s="8">
        <f t="shared" si="18"/>
        <v>30</v>
      </c>
      <c r="L104" s="8">
        <v>100</v>
      </c>
      <c r="M104" s="9">
        <f t="shared" si="19"/>
        <v>100</v>
      </c>
      <c r="N104" s="8">
        <v>3</v>
      </c>
      <c r="O104" s="10">
        <f t="shared" si="20"/>
        <v>3</v>
      </c>
      <c r="P104" s="8" t="s">
        <v>2051</v>
      </c>
      <c r="Q104" s="14">
        <v>0.73</v>
      </c>
      <c r="R104" s="12">
        <f t="shared" ref="R104:R107" si="26">Q104</f>
        <v>0.73</v>
      </c>
      <c r="S104" s="12">
        <f t="shared" si="21"/>
        <v>0.73</v>
      </c>
    </row>
    <row r="105" spans="1:19" x14ac:dyDescent="0.35">
      <c r="A105" s="8" t="s">
        <v>261</v>
      </c>
      <c r="B105" s="8" t="s">
        <v>262</v>
      </c>
      <c r="C105" s="8" t="s">
        <v>1</v>
      </c>
      <c r="D105" s="8" t="str">
        <f t="shared" si="16"/>
        <v>Female</v>
      </c>
      <c r="E105" s="8">
        <v>21</v>
      </c>
      <c r="F105" s="8">
        <f t="shared" si="17"/>
        <v>21</v>
      </c>
      <c r="G105" s="8" t="s">
        <v>42</v>
      </c>
      <c r="H105" s="8" t="s">
        <v>43</v>
      </c>
      <c r="I105" s="8" t="s">
        <v>4</v>
      </c>
      <c r="J105" s="8">
        <v>2</v>
      </c>
      <c r="K105" s="8">
        <f t="shared" si="18"/>
        <v>2</v>
      </c>
      <c r="L105" s="8">
        <v>50</v>
      </c>
      <c r="M105" s="9">
        <f t="shared" si="19"/>
        <v>50</v>
      </c>
      <c r="N105" s="8">
        <v>4.9000000000000004</v>
      </c>
      <c r="O105" s="10">
        <f t="shared" si="20"/>
        <v>4.9000000000000004</v>
      </c>
      <c r="P105" s="8" t="s">
        <v>2051</v>
      </c>
      <c r="Q105" s="14">
        <v>0.68</v>
      </c>
      <c r="R105" s="12">
        <f t="shared" si="26"/>
        <v>0.68</v>
      </c>
      <c r="S105" s="12">
        <f t="shared" si="21"/>
        <v>0.68</v>
      </c>
    </row>
    <row r="106" spans="1:19" x14ac:dyDescent="0.35">
      <c r="A106" s="8" t="s">
        <v>263</v>
      </c>
      <c r="B106" s="8" t="s">
        <v>264</v>
      </c>
      <c r="C106" s="8" t="s">
        <v>41</v>
      </c>
      <c r="D106" s="8" t="str">
        <f t="shared" si="16"/>
        <v>Male</v>
      </c>
      <c r="E106" s="8">
        <v>25</v>
      </c>
      <c r="F106" s="8">
        <f t="shared" si="17"/>
        <v>25</v>
      </c>
      <c r="G106" s="8" t="s">
        <v>38</v>
      </c>
      <c r="H106" s="8" t="s">
        <v>9</v>
      </c>
      <c r="I106" s="8" t="s">
        <v>16</v>
      </c>
      <c r="J106" s="8">
        <v>3</v>
      </c>
      <c r="K106" s="8">
        <f t="shared" si="18"/>
        <v>3</v>
      </c>
      <c r="L106" s="8">
        <v>30</v>
      </c>
      <c r="M106" s="9">
        <f t="shared" si="19"/>
        <v>30</v>
      </c>
      <c r="O106" s="10">
        <f t="shared" si="20"/>
        <v>2.5125695216907653</v>
      </c>
      <c r="P106" s="8" t="s">
        <v>2050</v>
      </c>
      <c r="Q106" s="14">
        <v>0.88</v>
      </c>
      <c r="R106" s="12">
        <f t="shared" si="26"/>
        <v>0.88</v>
      </c>
      <c r="S106" s="12">
        <f t="shared" si="21"/>
        <v>0.88</v>
      </c>
    </row>
    <row r="107" spans="1:19" x14ac:dyDescent="0.35">
      <c r="A107" s="8" t="s">
        <v>265</v>
      </c>
      <c r="B107" s="8" t="s">
        <v>266</v>
      </c>
      <c r="C107" s="8" t="s">
        <v>7</v>
      </c>
      <c r="D107" s="8" t="str">
        <f t="shared" si="16"/>
        <v>Female</v>
      </c>
      <c r="E107" s="8">
        <v>57</v>
      </c>
      <c r="F107" s="8">
        <f t="shared" si="17"/>
        <v>57</v>
      </c>
      <c r="G107" s="8" t="s">
        <v>110</v>
      </c>
      <c r="H107" s="8" t="s">
        <v>111</v>
      </c>
      <c r="I107" s="8" t="s">
        <v>67</v>
      </c>
      <c r="J107" s="8">
        <v>21</v>
      </c>
      <c r="K107" s="8">
        <f t="shared" si="18"/>
        <v>21</v>
      </c>
      <c r="L107" s="8">
        <v>40</v>
      </c>
      <c r="M107" s="9">
        <f t="shared" si="19"/>
        <v>40</v>
      </c>
      <c r="N107" s="8">
        <v>2.5</v>
      </c>
      <c r="O107" s="10">
        <f t="shared" si="20"/>
        <v>2.5</v>
      </c>
      <c r="P107" s="8" t="s">
        <v>2050</v>
      </c>
      <c r="Q107" s="14">
        <v>0.77</v>
      </c>
      <c r="R107" s="12">
        <f t="shared" si="26"/>
        <v>0.77</v>
      </c>
      <c r="S107" s="12">
        <f t="shared" si="21"/>
        <v>0.77</v>
      </c>
    </row>
    <row r="108" spans="1:19" x14ac:dyDescent="0.35">
      <c r="A108" s="8" t="s">
        <v>267</v>
      </c>
      <c r="B108" s="8" t="s">
        <v>268</v>
      </c>
      <c r="C108" s="8" t="s">
        <v>30</v>
      </c>
      <c r="D108" s="8" t="str">
        <f t="shared" si="16"/>
        <v>Male</v>
      </c>
      <c r="E108" s="8">
        <v>58</v>
      </c>
      <c r="F108" s="8">
        <f t="shared" si="17"/>
        <v>58</v>
      </c>
      <c r="G108" s="8" t="s">
        <v>99</v>
      </c>
      <c r="H108" s="8" t="s">
        <v>100</v>
      </c>
      <c r="I108" s="8" t="s">
        <v>4</v>
      </c>
      <c r="J108" s="8">
        <v>3</v>
      </c>
      <c r="K108" s="8">
        <f t="shared" si="18"/>
        <v>3</v>
      </c>
      <c r="L108" s="13"/>
      <c r="M108" s="9">
        <f t="shared" si="19"/>
        <v>40</v>
      </c>
      <c r="N108" s="8">
        <v>0</v>
      </c>
      <c r="O108" s="11">
        <f t="shared" si="20"/>
        <v>0</v>
      </c>
      <c r="P108" s="8" t="s">
        <v>2051</v>
      </c>
      <c r="Q108" s="13"/>
      <c r="S108" s="12">
        <f t="shared" si="21"/>
        <v>0.79269417475728277</v>
      </c>
    </row>
    <row r="109" spans="1:19" x14ac:dyDescent="0.35">
      <c r="A109" s="8" t="s">
        <v>269</v>
      </c>
      <c r="B109" s="8" t="s">
        <v>270</v>
      </c>
      <c r="C109" s="8" t="s">
        <v>19</v>
      </c>
      <c r="D109" s="8" t="str">
        <f t="shared" si="16"/>
        <v>Female</v>
      </c>
      <c r="E109" s="8">
        <v>45</v>
      </c>
      <c r="F109" s="8">
        <f t="shared" si="17"/>
        <v>45</v>
      </c>
      <c r="G109" s="8" t="s">
        <v>31</v>
      </c>
      <c r="H109" s="8" t="s">
        <v>32</v>
      </c>
      <c r="I109" s="8" t="s">
        <v>10</v>
      </c>
      <c r="J109" s="8">
        <v>19</v>
      </c>
      <c r="K109" s="8">
        <f t="shared" si="18"/>
        <v>19</v>
      </c>
      <c r="L109" s="8">
        <v>40</v>
      </c>
      <c r="M109" s="9">
        <f t="shared" si="19"/>
        <v>40</v>
      </c>
      <c r="O109" s="10">
        <f t="shared" si="20"/>
        <v>2.5125695216907653</v>
      </c>
      <c r="P109" s="8" t="s">
        <v>2051</v>
      </c>
      <c r="Q109" s="14">
        <v>0.72</v>
      </c>
      <c r="R109" s="12">
        <f t="shared" ref="R109:R110" si="27">Q109</f>
        <v>0.72</v>
      </c>
      <c r="S109" s="12">
        <f t="shared" si="21"/>
        <v>0.72</v>
      </c>
    </row>
    <row r="110" spans="1:19" x14ac:dyDescent="0.35">
      <c r="A110" s="8" t="s">
        <v>271</v>
      </c>
      <c r="B110" s="8" t="s">
        <v>272</v>
      </c>
      <c r="C110" s="8" t="s">
        <v>19</v>
      </c>
      <c r="D110" s="8" t="str">
        <f t="shared" si="16"/>
        <v>Female</v>
      </c>
      <c r="E110" s="8">
        <v>23</v>
      </c>
      <c r="F110" s="8">
        <f t="shared" si="17"/>
        <v>23</v>
      </c>
      <c r="G110" s="8" t="s">
        <v>38</v>
      </c>
      <c r="H110" s="8" t="s">
        <v>9</v>
      </c>
      <c r="I110" s="8" t="s">
        <v>20</v>
      </c>
      <c r="J110" s="8">
        <v>0</v>
      </c>
      <c r="K110" s="8">
        <f t="shared" si="18"/>
        <v>0</v>
      </c>
      <c r="L110" s="8">
        <v>20</v>
      </c>
      <c r="M110" s="9">
        <f t="shared" si="19"/>
        <v>20</v>
      </c>
      <c r="N110" s="8">
        <v>4.7</v>
      </c>
      <c r="O110" s="10">
        <f t="shared" si="20"/>
        <v>4.7</v>
      </c>
      <c r="P110" s="8" t="s">
        <v>2051</v>
      </c>
      <c r="Q110" s="14">
        <v>0.6</v>
      </c>
      <c r="R110" s="12">
        <f t="shared" si="27"/>
        <v>0.6</v>
      </c>
      <c r="S110" s="12">
        <f t="shared" si="21"/>
        <v>0.6</v>
      </c>
    </row>
    <row r="111" spans="1:19" x14ac:dyDescent="0.35">
      <c r="A111" s="8" t="s">
        <v>273</v>
      </c>
      <c r="B111" s="8" t="s">
        <v>274</v>
      </c>
      <c r="C111" s="8" t="s">
        <v>7</v>
      </c>
      <c r="D111" s="8" t="str">
        <f t="shared" si="16"/>
        <v>Female</v>
      </c>
      <c r="E111" s="8">
        <v>46</v>
      </c>
      <c r="F111" s="8">
        <f t="shared" si="17"/>
        <v>46</v>
      </c>
      <c r="G111" s="8" t="s">
        <v>38</v>
      </c>
      <c r="H111" s="8" t="s">
        <v>9</v>
      </c>
      <c r="I111" s="8" t="s">
        <v>27</v>
      </c>
      <c r="J111" s="8">
        <v>9</v>
      </c>
      <c r="K111" s="8">
        <f t="shared" si="18"/>
        <v>9</v>
      </c>
      <c r="L111" s="8">
        <v>30</v>
      </c>
      <c r="M111" s="9">
        <f t="shared" si="19"/>
        <v>30</v>
      </c>
      <c r="N111" s="8">
        <v>3.5</v>
      </c>
      <c r="O111" s="10">
        <f t="shared" si="20"/>
        <v>3.5</v>
      </c>
      <c r="P111" s="13" t="s">
        <v>2050</v>
      </c>
      <c r="Q111" s="8">
        <v>72</v>
      </c>
      <c r="R111" s="12">
        <v>0.72</v>
      </c>
      <c r="S111" s="12">
        <f t="shared" si="21"/>
        <v>0.72</v>
      </c>
    </row>
    <row r="112" spans="1:19" x14ac:dyDescent="0.35">
      <c r="A112" s="8" t="s">
        <v>275</v>
      </c>
      <c r="B112" s="8" t="s">
        <v>276</v>
      </c>
      <c r="C112" s="8" t="s">
        <v>41</v>
      </c>
      <c r="D112" s="8" t="str">
        <f t="shared" si="16"/>
        <v>Male</v>
      </c>
      <c r="E112" s="8">
        <v>27</v>
      </c>
      <c r="F112" s="8">
        <f t="shared" si="17"/>
        <v>27</v>
      </c>
      <c r="G112" s="8" t="s">
        <v>50</v>
      </c>
      <c r="H112" s="8" t="s">
        <v>51</v>
      </c>
      <c r="I112" s="8" t="s">
        <v>52</v>
      </c>
      <c r="J112" s="8">
        <v>5</v>
      </c>
      <c r="K112" s="8">
        <f t="shared" si="18"/>
        <v>5</v>
      </c>
      <c r="L112" s="8">
        <v>30</v>
      </c>
      <c r="M112" s="9">
        <f t="shared" si="19"/>
        <v>30</v>
      </c>
      <c r="O112" s="10">
        <f t="shared" si="20"/>
        <v>2.5125695216907653</v>
      </c>
      <c r="P112" s="8" t="s">
        <v>2050</v>
      </c>
      <c r="Q112" s="14">
        <v>0.92</v>
      </c>
      <c r="R112" s="12">
        <f>Q112</f>
        <v>0.92</v>
      </c>
      <c r="S112" s="12">
        <f t="shared" si="21"/>
        <v>0.92</v>
      </c>
    </row>
    <row r="113" spans="1:19" x14ac:dyDescent="0.35">
      <c r="A113" s="8" t="s">
        <v>277</v>
      </c>
      <c r="B113" s="8" t="s">
        <v>278</v>
      </c>
      <c r="C113" s="8" t="s">
        <v>7</v>
      </c>
      <c r="D113" s="8" t="str">
        <f t="shared" si="16"/>
        <v>Female</v>
      </c>
      <c r="E113" s="8">
        <v>32</v>
      </c>
      <c r="F113" s="8">
        <f t="shared" si="17"/>
        <v>32</v>
      </c>
      <c r="G113" s="8" t="s">
        <v>38</v>
      </c>
      <c r="H113" s="8" t="s">
        <v>9</v>
      </c>
      <c r="I113" s="8" t="s">
        <v>90</v>
      </c>
      <c r="J113" s="8">
        <v>6</v>
      </c>
      <c r="K113" s="8">
        <f t="shared" si="18"/>
        <v>6</v>
      </c>
      <c r="L113" s="8">
        <v>50</v>
      </c>
      <c r="M113" s="9">
        <f t="shared" si="19"/>
        <v>50</v>
      </c>
      <c r="N113" s="8">
        <v>3.4</v>
      </c>
      <c r="O113" s="10">
        <f t="shared" si="20"/>
        <v>3.4</v>
      </c>
      <c r="P113" s="8" t="s">
        <v>2051</v>
      </c>
      <c r="Q113" s="13"/>
      <c r="S113" s="12">
        <f t="shared" si="21"/>
        <v>0.79269417475728277</v>
      </c>
    </row>
    <row r="114" spans="1:19" x14ac:dyDescent="0.35">
      <c r="A114" s="8" t="s">
        <v>279</v>
      </c>
      <c r="B114" s="8" t="s">
        <v>280</v>
      </c>
      <c r="C114" s="8" t="s">
        <v>1</v>
      </c>
      <c r="D114" s="8" t="str">
        <f t="shared" si="16"/>
        <v>Female</v>
      </c>
      <c r="E114" s="8">
        <v>48</v>
      </c>
      <c r="F114" s="8">
        <f t="shared" si="17"/>
        <v>48</v>
      </c>
      <c r="G114" s="8" t="s">
        <v>50</v>
      </c>
      <c r="H114" s="8" t="s">
        <v>51</v>
      </c>
      <c r="I114" s="8" t="s">
        <v>90</v>
      </c>
      <c r="J114" s="8">
        <v>6</v>
      </c>
      <c r="K114" s="8">
        <f t="shared" si="18"/>
        <v>6</v>
      </c>
      <c r="L114" s="8">
        <v>75</v>
      </c>
      <c r="M114" s="9">
        <f t="shared" si="19"/>
        <v>75</v>
      </c>
      <c r="N114" s="8">
        <v>2.5</v>
      </c>
      <c r="O114" s="10">
        <f t="shared" si="20"/>
        <v>2.5</v>
      </c>
      <c r="P114" s="13" t="s">
        <v>2050</v>
      </c>
      <c r="Q114" s="14">
        <v>0.92</v>
      </c>
      <c r="R114" s="12">
        <f>Q114</f>
        <v>0.92</v>
      </c>
      <c r="S114" s="12">
        <f t="shared" si="21"/>
        <v>0.92</v>
      </c>
    </row>
    <row r="115" spans="1:19" x14ac:dyDescent="0.35">
      <c r="A115" s="8" t="s">
        <v>281</v>
      </c>
      <c r="B115" s="8" t="s">
        <v>282</v>
      </c>
      <c r="C115" s="8" t="s">
        <v>13</v>
      </c>
      <c r="D115" s="8" t="str">
        <f t="shared" si="16"/>
        <v>Male</v>
      </c>
      <c r="E115" s="8">
        <v>30</v>
      </c>
      <c r="F115" s="8">
        <f t="shared" si="17"/>
        <v>30</v>
      </c>
      <c r="G115" s="8" t="s">
        <v>42</v>
      </c>
      <c r="H115" s="8" t="s">
        <v>43</v>
      </c>
      <c r="I115" s="8" t="s">
        <v>10</v>
      </c>
      <c r="J115" s="8">
        <v>3</v>
      </c>
      <c r="K115" s="8">
        <f t="shared" si="18"/>
        <v>3</v>
      </c>
      <c r="L115" s="8">
        <v>30</v>
      </c>
      <c r="M115" s="9">
        <f t="shared" si="19"/>
        <v>30</v>
      </c>
      <c r="N115" s="8">
        <v>1.1000000000000001</v>
      </c>
      <c r="O115" s="10">
        <f t="shared" si="20"/>
        <v>1.1000000000000001</v>
      </c>
      <c r="P115" s="8" t="s">
        <v>2051</v>
      </c>
      <c r="Q115" s="13"/>
      <c r="S115" s="12">
        <f t="shared" si="21"/>
        <v>0.79269417475728277</v>
      </c>
    </row>
    <row r="116" spans="1:19" x14ac:dyDescent="0.35">
      <c r="A116" s="8" t="s">
        <v>283</v>
      </c>
      <c r="B116" s="8" t="s">
        <v>284</v>
      </c>
      <c r="C116" s="8" t="s">
        <v>75</v>
      </c>
      <c r="D116" s="8" t="str">
        <f t="shared" si="16"/>
        <v>Male</v>
      </c>
      <c r="E116" s="8">
        <v>59</v>
      </c>
      <c r="F116" s="8">
        <f t="shared" si="17"/>
        <v>59</v>
      </c>
      <c r="G116" s="8" t="s">
        <v>42</v>
      </c>
      <c r="H116" s="8" t="s">
        <v>43</v>
      </c>
      <c r="I116" s="8" t="s">
        <v>27</v>
      </c>
      <c r="J116" s="8">
        <v>13</v>
      </c>
      <c r="K116" s="8">
        <f t="shared" si="18"/>
        <v>13</v>
      </c>
      <c r="L116" s="8">
        <v>20</v>
      </c>
      <c r="M116" s="9">
        <f t="shared" si="19"/>
        <v>20</v>
      </c>
      <c r="N116" s="8">
        <v>4.8</v>
      </c>
      <c r="O116" s="10">
        <f t="shared" si="20"/>
        <v>4.8</v>
      </c>
      <c r="P116" s="13" t="s">
        <v>2050</v>
      </c>
      <c r="Q116" s="13"/>
      <c r="S116" s="12">
        <f t="shared" si="21"/>
        <v>0.79269417475728277</v>
      </c>
    </row>
    <row r="117" spans="1:19" x14ac:dyDescent="0.35">
      <c r="A117" s="8" t="s">
        <v>285</v>
      </c>
      <c r="B117" s="8" t="s">
        <v>286</v>
      </c>
      <c r="C117" s="8" t="s">
        <v>22</v>
      </c>
      <c r="D117" s="8" t="str">
        <f t="shared" si="16"/>
        <v>Female</v>
      </c>
      <c r="E117" s="8">
        <v>32</v>
      </c>
      <c r="F117" s="8">
        <f t="shared" si="17"/>
        <v>32</v>
      </c>
      <c r="G117" s="8" t="s">
        <v>151</v>
      </c>
      <c r="H117" s="8" t="s">
        <v>51</v>
      </c>
      <c r="I117" s="8" t="s">
        <v>27</v>
      </c>
      <c r="J117" s="8">
        <v>5</v>
      </c>
      <c r="K117" s="8">
        <f t="shared" si="18"/>
        <v>5</v>
      </c>
      <c r="L117" s="8">
        <v>30</v>
      </c>
      <c r="M117" s="9">
        <f t="shared" si="19"/>
        <v>30</v>
      </c>
      <c r="O117" s="10">
        <f t="shared" si="20"/>
        <v>2.5125695216907653</v>
      </c>
      <c r="P117" s="8" t="s">
        <v>2050</v>
      </c>
      <c r="Q117" s="14">
        <v>0.86</v>
      </c>
      <c r="R117" s="12">
        <f t="shared" ref="R117:R119" si="28">Q117</f>
        <v>0.86</v>
      </c>
      <c r="S117" s="12">
        <f t="shared" si="21"/>
        <v>0.86</v>
      </c>
    </row>
    <row r="118" spans="1:19" x14ac:dyDescent="0.35">
      <c r="A118" s="8" t="s">
        <v>287</v>
      </c>
      <c r="B118" s="8" t="s">
        <v>288</v>
      </c>
      <c r="C118" s="8" t="s">
        <v>55</v>
      </c>
      <c r="D118" s="8" t="str">
        <f t="shared" si="16"/>
        <v>Female</v>
      </c>
      <c r="E118" s="8">
        <v>57</v>
      </c>
      <c r="F118" s="8">
        <f t="shared" si="17"/>
        <v>57</v>
      </c>
      <c r="G118" s="8" t="s">
        <v>114</v>
      </c>
      <c r="H118" s="8" t="s">
        <v>115</v>
      </c>
      <c r="I118" s="8" t="s">
        <v>52</v>
      </c>
      <c r="J118" s="8">
        <v>4</v>
      </c>
      <c r="K118" s="8">
        <f t="shared" si="18"/>
        <v>4</v>
      </c>
      <c r="L118" s="8">
        <v>40</v>
      </c>
      <c r="M118" s="9">
        <f t="shared" si="19"/>
        <v>40</v>
      </c>
      <c r="N118" s="8">
        <v>3.4</v>
      </c>
      <c r="O118" s="10">
        <f t="shared" si="20"/>
        <v>3.4</v>
      </c>
      <c r="P118" s="8" t="s">
        <v>2051</v>
      </c>
      <c r="Q118" s="14">
        <v>0.68</v>
      </c>
      <c r="R118" s="12">
        <f t="shared" si="28"/>
        <v>0.68</v>
      </c>
      <c r="S118" s="12">
        <f t="shared" si="21"/>
        <v>0.68</v>
      </c>
    </row>
    <row r="119" spans="1:19" x14ac:dyDescent="0.35">
      <c r="A119" s="8" t="s">
        <v>289</v>
      </c>
      <c r="B119" s="8" t="s">
        <v>290</v>
      </c>
      <c r="C119" s="8" t="s">
        <v>41</v>
      </c>
      <c r="D119" s="8" t="str">
        <f t="shared" si="16"/>
        <v>Male</v>
      </c>
      <c r="E119" s="8">
        <v>27</v>
      </c>
      <c r="F119" s="8">
        <f t="shared" si="17"/>
        <v>27</v>
      </c>
      <c r="G119" s="8" t="s">
        <v>8</v>
      </c>
      <c r="H119" s="8" t="s">
        <v>9</v>
      </c>
      <c r="I119" s="8" t="s">
        <v>90</v>
      </c>
      <c r="J119" s="8">
        <v>7</v>
      </c>
      <c r="K119" s="8">
        <f t="shared" si="18"/>
        <v>7</v>
      </c>
      <c r="L119" s="8">
        <v>20</v>
      </c>
      <c r="M119" s="9">
        <f t="shared" si="19"/>
        <v>20</v>
      </c>
      <c r="N119" s="8">
        <v>3.2</v>
      </c>
      <c r="O119" s="10">
        <f t="shared" si="20"/>
        <v>3.2</v>
      </c>
      <c r="P119" s="8" t="s">
        <v>2051</v>
      </c>
      <c r="Q119" s="14">
        <v>0.62</v>
      </c>
      <c r="R119" s="12">
        <f t="shared" si="28"/>
        <v>0.62</v>
      </c>
      <c r="S119" s="12">
        <f t="shared" si="21"/>
        <v>0.62</v>
      </c>
    </row>
    <row r="120" spans="1:19" x14ac:dyDescent="0.35">
      <c r="A120" s="8" t="s">
        <v>291</v>
      </c>
      <c r="B120" s="8" t="s">
        <v>292</v>
      </c>
      <c r="C120" s="8" t="s">
        <v>19</v>
      </c>
      <c r="D120" s="8" t="str">
        <f t="shared" si="16"/>
        <v>Female</v>
      </c>
      <c r="E120" s="8">
        <v>33</v>
      </c>
      <c r="F120" s="8">
        <f t="shared" si="17"/>
        <v>33</v>
      </c>
      <c r="G120" s="8" t="s">
        <v>31</v>
      </c>
      <c r="H120" s="8" t="s">
        <v>32</v>
      </c>
      <c r="I120" s="8" t="s">
        <v>90</v>
      </c>
      <c r="J120" s="8">
        <v>13</v>
      </c>
      <c r="K120" s="8">
        <f t="shared" si="18"/>
        <v>13</v>
      </c>
      <c r="L120" s="8">
        <v>20</v>
      </c>
      <c r="M120" s="9">
        <f t="shared" si="19"/>
        <v>20</v>
      </c>
      <c r="N120" s="8">
        <v>3.2</v>
      </c>
      <c r="O120" s="10">
        <f t="shared" si="20"/>
        <v>3.2</v>
      </c>
      <c r="P120" s="8" t="s">
        <v>2050</v>
      </c>
      <c r="Q120" s="13"/>
      <c r="S120" s="12">
        <f t="shared" si="21"/>
        <v>0.79269417475728277</v>
      </c>
    </row>
    <row r="121" spans="1:19" x14ac:dyDescent="0.35">
      <c r="A121" s="8" t="s">
        <v>293</v>
      </c>
      <c r="B121" s="8" t="s">
        <v>294</v>
      </c>
      <c r="C121" s="8" t="s">
        <v>13</v>
      </c>
      <c r="D121" s="8" t="str">
        <f t="shared" si="16"/>
        <v>Male</v>
      </c>
      <c r="E121" s="8">
        <v>29</v>
      </c>
      <c r="F121" s="8">
        <f t="shared" si="17"/>
        <v>29</v>
      </c>
      <c r="G121" s="8" t="s">
        <v>88</v>
      </c>
      <c r="H121" s="8" t="s">
        <v>89</v>
      </c>
      <c r="I121" s="8" t="s">
        <v>33</v>
      </c>
      <c r="J121" s="8">
        <v>4</v>
      </c>
      <c r="K121" s="8">
        <f t="shared" si="18"/>
        <v>4</v>
      </c>
      <c r="L121" s="8">
        <v>30</v>
      </c>
      <c r="M121" s="9">
        <f t="shared" si="19"/>
        <v>30</v>
      </c>
      <c r="N121" s="8">
        <v>0</v>
      </c>
      <c r="O121" s="11">
        <f t="shared" si="20"/>
        <v>0</v>
      </c>
      <c r="P121" s="8" t="s">
        <v>2051</v>
      </c>
      <c r="Q121" s="14">
        <v>0.82</v>
      </c>
      <c r="R121" s="12">
        <f>Q121</f>
        <v>0.82</v>
      </c>
      <c r="S121" s="12">
        <f t="shared" si="21"/>
        <v>0.82</v>
      </c>
    </row>
    <row r="122" spans="1:19" x14ac:dyDescent="0.35">
      <c r="A122" s="8" t="s">
        <v>295</v>
      </c>
      <c r="B122" s="8" t="s">
        <v>2022</v>
      </c>
      <c r="C122" s="8" t="s">
        <v>22</v>
      </c>
      <c r="D122" s="8" t="str">
        <f t="shared" si="16"/>
        <v>Female</v>
      </c>
      <c r="E122" s="8">
        <v>36</v>
      </c>
      <c r="F122" s="8">
        <f t="shared" si="17"/>
        <v>36</v>
      </c>
      <c r="G122" s="8" t="s">
        <v>31</v>
      </c>
      <c r="H122" s="8" t="s">
        <v>32</v>
      </c>
      <c r="I122" s="8" t="s">
        <v>52</v>
      </c>
      <c r="J122" s="8">
        <v>13</v>
      </c>
      <c r="K122" s="8">
        <f t="shared" si="18"/>
        <v>13</v>
      </c>
      <c r="L122" s="8">
        <v>75</v>
      </c>
      <c r="M122" s="9">
        <f t="shared" si="19"/>
        <v>75</v>
      </c>
      <c r="O122" s="10">
        <f t="shared" si="20"/>
        <v>2.5125695216907653</v>
      </c>
      <c r="P122" s="8" t="s">
        <v>2051</v>
      </c>
      <c r="Q122" s="13"/>
      <c r="S122" s="12">
        <f t="shared" si="21"/>
        <v>0.79269417475728277</v>
      </c>
    </row>
    <row r="123" spans="1:19" x14ac:dyDescent="0.35">
      <c r="A123" s="8" t="s">
        <v>296</v>
      </c>
      <c r="B123" s="8" t="s">
        <v>297</v>
      </c>
      <c r="C123" s="8" t="s">
        <v>55</v>
      </c>
      <c r="D123" s="8" t="str">
        <f t="shared" si="16"/>
        <v>Female</v>
      </c>
      <c r="E123" s="8">
        <v>47</v>
      </c>
      <c r="F123" s="8">
        <f t="shared" si="17"/>
        <v>47</v>
      </c>
      <c r="G123" s="8" t="s">
        <v>2</v>
      </c>
      <c r="H123" s="8" t="s">
        <v>3</v>
      </c>
      <c r="I123" s="8" t="s">
        <v>67</v>
      </c>
      <c r="J123" s="8">
        <v>5</v>
      </c>
      <c r="K123" s="8">
        <f t="shared" si="18"/>
        <v>5</v>
      </c>
      <c r="L123" s="8">
        <v>40</v>
      </c>
      <c r="M123" s="9">
        <f t="shared" si="19"/>
        <v>40</v>
      </c>
      <c r="N123" s="8">
        <v>3.7</v>
      </c>
      <c r="O123" s="10">
        <f t="shared" si="20"/>
        <v>3.7</v>
      </c>
      <c r="P123" s="8" t="s">
        <v>2050</v>
      </c>
      <c r="Q123" s="8">
        <v>93</v>
      </c>
      <c r="R123" s="12">
        <v>0.93</v>
      </c>
      <c r="S123" s="12">
        <f t="shared" si="21"/>
        <v>0.93</v>
      </c>
    </row>
    <row r="124" spans="1:19" x14ac:dyDescent="0.35">
      <c r="A124" s="8" t="s">
        <v>298</v>
      </c>
      <c r="B124" s="8" t="s">
        <v>299</v>
      </c>
      <c r="C124" s="8" t="s">
        <v>41</v>
      </c>
      <c r="D124" s="8" t="str">
        <f t="shared" si="16"/>
        <v>Male</v>
      </c>
      <c r="E124" s="8">
        <v>48</v>
      </c>
      <c r="F124" s="8">
        <f t="shared" si="17"/>
        <v>48</v>
      </c>
      <c r="G124" s="8" t="s">
        <v>103</v>
      </c>
      <c r="H124" s="8" t="s">
        <v>9</v>
      </c>
      <c r="I124" s="8" t="s">
        <v>90</v>
      </c>
      <c r="J124" s="8">
        <v>15</v>
      </c>
      <c r="K124" s="8">
        <f t="shared" si="18"/>
        <v>15</v>
      </c>
      <c r="L124" s="8">
        <v>50</v>
      </c>
      <c r="M124" s="9">
        <f t="shared" si="19"/>
        <v>50</v>
      </c>
      <c r="N124" s="8">
        <v>1</v>
      </c>
      <c r="O124" s="10">
        <f t="shared" si="20"/>
        <v>1</v>
      </c>
      <c r="P124" s="8" t="s">
        <v>2051</v>
      </c>
      <c r="Q124" s="14">
        <v>0.64</v>
      </c>
      <c r="R124" s="12">
        <f>Q124</f>
        <v>0.64</v>
      </c>
      <c r="S124" s="12">
        <f t="shared" si="21"/>
        <v>0.64</v>
      </c>
    </row>
    <row r="125" spans="1:19" x14ac:dyDescent="0.35">
      <c r="A125" s="8" t="s">
        <v>300</v>
      </c>
      <c r="B125" s="8" t="s">
        <v>301</v>
      </c>
      <c r="C125" s="8" t="s">
        <v>1</v>
      </c>
      <c r="D125" s="8" t="str">
        <f t="shared" si="16"/>
        <v>Female</v>
      </c>
      <c r="E125" s="8">
        <v>27</v>
      </c>
      <c r="F125" s="8">
        <f t="shared" si="17"/>
        <v>27</v>
      </c>
      <c r="G125" s="8" t="s">
        <v>147</v>
      </c>
      <c r="H125" s="8" t="s">
        <v>148</v>
      </c>
      <c r="I125" s="8" t="s">
        <v>52</v>
      </c>
      <c r="J125" s="8">
        <v>8</v>
      </c>
      <c r="K125" s="8">
        <f t="shared" si="18"/>
        <v>8</v>
      </c>
      <c r="L125" s="8">
        <v>50</v>
      </c>
      <c r="M125" s="9">
        <f t="shared" si="19"/>
        <v>50</v>
      </c>
      <c r="N125" s="8">
        <v>0</v>
      </c>
      <c r="O125" s="11">
        <f t="shared" si="20"/>
        <v>0</v>
      </c>
      <c r="P125" s="13" t="s">
        <v>2050</v>
      </c>
      <c r="Q125" s="13"/>
      <c r="S125" s="12">
        <f t="shared" si="21"/>
        <v>0.79269417475728277</v>
      </c>
    </row>
    <row r="126" spans="1:19" x14ac:dyDescent="0.35">
      <c r="A126" s="8" t="s">
        <v>302</v>
      </c>
      <c r="B126" s="8" t="s">
        <v>303</v>
      </c>
      <c r="C126" s="8" t="s">
        <v>13</v>
      </c>
      <c r="D126" s="8" t="str">
        <f t="shared" si="16"/>
        <v>Male</v>
      </c>
      <c r="E126" s="8">
        <v>34</v>
      </c>
      <c r="F126" s="8">
        <f t="shared" si="17"/>
        <v>34</v>
      </c>
      <c r="G126" s="8" t="s">
        <v>8</v>
      </c>
      <c r="H126" s="8" t="s">
        <v>9</v>
      </c>
      <c r="I126" s="8" t="s">
        <v>20</v>
      </c>
      <c r="J126" s="8">
        <v>10</v>
      </c>
      <c r="K126" s="8">
        <f t="shared" si="18"/>
        <v>10</v>
      </c>
      <c r="L126" s="13"/>
      <c r="M126" s="9">
        <f t="shared" si="19"/>
        <v>40</v>
      </c>
      <c r="N126" s="8">
        <v>1.7</v>
      </c>
      <c r="O126" s="10">
        <f t="shared" si="20"/>
        <v>1.7</v>
      </c>
      <c r="P126" s="8" t="s">
        <v>2050</v>
      </c>
      <c r="Q126" s="14">
        <v>0.96</v>
      </c>
      <c r="R126" s="12">
        <f t="shared" ref="R126:R131" si="29">Q126</f>
        <v>0.96</v>
      </c>
      <c r="S126" s="12">
        <f t="shared" si="21"/>
        <v>0.96</v>
      </c>
    </row>
    <row r="127" spans="1:19" x14ac:dyDescent="0.35">
      <c r="A127" s="8" t="s">
        <v>304</v>
      </c>
      <c r="B127" s="8" t="s">
        <v>305</v>
      </c>
      <c r="C127" s="8" t="s">
        <v>75</v>
      </c>
      <c r="D127" s="8" t="str">
        <f t="shared" si="16"/>
        <v>Male</v>
      </c>
      <c r="E127" s="8">
        <v>49</v>
      </c>
      <c r="F127" s="8">
        <f t="shared" si="17"/>
        <v>49</v>
      </c>
      <c r="G127" s="8" t="s">
        <v>88</v>
      </c>
      <c r="H127" s="8" t="s">
        <v>89</v>
      </c>
      <c r="I127" s="8" t="s">
        <v>33</v>
      </c>
      <c r="J127" s="8">
        <v>19</v>
      </c>
      <c r="K127" s="8">
        <f t="shared" si="18"/>
        <v>19</v>
      </c>
      <c r="L127" s="13"/>
      <c r="M127" s="9">
        <f t="shared" si="19"/>
        <v>40</v>
      </c>
      <c r="N127" s="8">
        <v>5</v>
      </c>
      <c r="O127" s="10">
        <f t="shared" si="20"/>
        <v>5</v>
      </c>
      <c r="P127" s="8" t="s">
        <v>2051</v>
      </c>
      <c r="Q127" s="14">
        <v>0.83</v>
      </c>
      <c r="R127" s="12">
        <f t="shared" si="29"/>
        <v>0.83</v>
      </c>
      <c r="S127" s="12">
        <f t="shared" si="21"/>
        <v>0.83</v>
      </c>
    </row>
    <row r="128" spans="1:19" x14ac:dyDescent="0.35">
      <c r="A128" s="8" t="s">
        <v>306</v>
      </c>
      <c r="B128" s="8" t="s">
        <v>307</v>
      </c>
      <c r="C128" s="8" t="s">
        <v>13</v>
      </c>
      <c r="D128" s="8" t="str">
        <f t="shared" si="16"/>
        <v>Male</v>
      </c>
      <c r="E128" s="8">
        <v>30</v>
      </c>
      <c r="F128" s="8">
        <f t="shared" si="17"/>
        <v>30</v>
      </c>
      <c r="G128" s="8" t="s">
        <v>84</v>
      </c>
      <c r="H128" s="8" t="s">
        <v>85</v>
      </c>
      <c r="I128" s="8" t="s">
        <v>10</v>
      </c>
      <c r="J128" s="8">
        <v>10</v>
      </c>
      <c r="K128" s="8">
        <f t="shared" si="18"/>
        <v>10</v>
      </c>
      <c r="L128" s="8">
        <v>100</v>
      </c>
      <c r="M128" s="9">
        <f t="shared" si="19"/>
        <v>100</v>
      </c>
      <c r="N128" s="8">
        <v>1.7</v>
      </c>
      <c r="O128" s="10">
        <f t="shared" si="20"/>
        <v>1.7</v>
      </c>
      <c r="P128" s="8" t="s">
        <v>2051</v>
      </c>
      <c r="Q128" s="14">
        <v>0.64</v>
      </c>
      <c r="R128" s="12">
        <f t="shared" si="29"/>
        <v>0.64</v>
      </c>
      <c r="S128" s="12">
        <f t="shared" si="21"/>
        <v>0.64</v>
      </c>
    </row>
    <row r="129" spans="1:19" x14ac:dyDescent="0.35">
      <c r="A129" s="8" t="s">
        <v>308</v>
      </c>
      <c r="B129" s="8" t="s">
        <v>309</v>
      </c>
      <c r="C129" s="8" t="s">
        <v>13</v>
      </c>
      <c r="D129" s="8" t="str">
        <f t="shared" si="16"/>
        <v>Male</v>
      </c>
      <c r="E129" s="8">
        <v>31</v>
      </c>
      <c r="F129" s="8">
        <f t="shared" si="17"/>
        <v>31</v>
      </c>
      <c r="G129" s="8" t="s">
        <v>114</v>
      </c>
      <c r="H129" s="8" t="s">
        <v>115</v>
      </c>
      <c r="I129" s="8" t="s">
        <v>16</v>
      </c>
      <c r="J129" s="8">
        <v>8</v>
      </c>
      <c r="K129" s="8">
        <f t="shared" si="18"/>
        <v>8</v>
      </c>
      <c r="L129" s="8">
        <v>40</v>
      </c>
      <c r="M129" s="9">
        <f t="shared" si="19"/>
        <v>40</v>
      </c>
      <c r="N129" s="8">
        <v>4.4000000000000004</v>
      </c>
      <c r="O129" s="10">
        <f t="shared" si="20"/>
        <v>4.4000000000000004</v>
      </c>
      <c r="P129" s="8" t="s">
        <v>2050</v>
      </c>
      <c r="Q129" s="14">
        <v>0.7</v>
      </c>
      <c r="R129" s="12">
        <f t="shared" si="29"/>
        <v>0.7</v>
      </c>
      <c r="S129" s="12">
        <f t="shared" si="21"/>
        <v>0.7</v>
      </c>
    </row>
    <row r="130" spans="1:19" x14ac:dyDescent="0.35">
      <c r="A130" s="8" t="s">
        <v>310</v>
      </c>
      <c r="B130" s="8" t="s">
        <v>311</v>
      </c>
      <c r="C130" s="8" t="s">
        <v>30</v>
      </c>
      <c r="D130" s="8" t="str">
        <f t="shared" si="16"/>
        <v>Male</v>
      </c>
      <c r="E130" s="8">
        <v>58</v>
      </c>
      <c r="F130" s="8">
        <f t="shared" si="17"/>
        <v>58</v>
      </c>
      <c r="G130" s="8" t="s">
        <v>147</v>
      </c>
      <c r="H130" s="8" t="s">
        <v>148</v>
      </c>
      <c r="I130" s="8" t="s">
        <v>90</v>
      </c>
      <c r="J130" s="8">
        <v>9</v>
      </c>
      <c r="K130" s="8">
        <f t="shared" si="18"/>
        <v>9</v>
      </c>
      <c r="L130" s="8">
        <v>20</v>
      </c>
      <c r="M130" s="9">
        <f t="shared" si="19"/>
        <v>20</v>
      </c>
      <c r="N130" s="8">
        <v>0</v>
      </c>
      <c r="O130" s="11">
        <f t="shared" si="20"/>
        <v>0</v>
      </c>
      <c r="P130" s="8" t="s">
        <v>2050</v>
      </c>
      <c r="Q130" s="14">
        <v>0.65</v>
      </c>
      <c r="R130" s="12">
        <f t="shared" si="29"/>
        <v>0.65</v>
      </c>
      <c r="S130" s="12">
        <f t="shared" si="21"/>
        <v>0.65</v>
      </c>
    </row>
    <row r="131" spans="1:19" x14ac:dyDescent="0.35">
      <c r="A131" s="8" t="s">
        <v>312</v>
      </c>
      <c r="B131" s="8" t="s">
        <v>313</v>
      </c>
      <c r="C131" s="8" t="s">
        <v>75</v>
      </c>
      <c r="D131" s="8" t="str">
        <f t="shared" ref="D131:D194" si="30">IF(LEFT(C131,1)="f","Female","Male")</f>
        <v>Male</v>
      </c>
      <c r="E131" s="8">
        <v>47</v>
      </c>
      <c r="F131" s="8">
        <f t="shared" ref="F131:F194" si="31">IF(ISBLANK(E131),MEDIAN($E$2:$E$1001),E131)</f>
        <v>47</v>
      </c>
      <c r="G131" s="8" t="s">
        <v>110</v>
      </c>
      <c r="H131" s="8" t="s">
        <v>111</v>
      </c>
      <c r="I131" s="8" t="s">
        <v>90</v>
      </c>
      <c r="J131" s="8">
        <v>13</v>
      </c>
      <c r="K131" s="8">
        <f t="shared" ref="K131:K194" si="32">IF(ISBLANK(J131),MEDIAN($J$2:$J$1001),J131)</f>
        <v>13</v>
      </c>
      <c r="L131" s="8">
        <v>40</v>
      </c>
      <c r="M131" s="9">
        <f t="shared" ref="M131:M194" si="33">IF(ISBLANK(L131),MEDIAN($L$2:$L$1001),L131)</f>
        <v>40</v>
      </c>
      <c r="N131" s="8">
        <v>3.4</v>
      </c>
      <c r="O131" s="10">
        <f t="shared" ref="O131:O194" si="34">IF(ISBLANK(N131),AVERAGE($N$2:$N$1001),N131)</f>
        <v>3.4</v>
      </c>
      <c r="P131" s="13" t="s">
        <v>2050</v>
      </c>
      <c r="Q131" s="14">
        <v>0.67</v>
      </c>
      <c r="R131" s="12">
        <f t="shared" si="29"/>
        <v>0.67</v>
      </c>
      <c r="S131" s="12">
        <f t="shared" si="21"/>
        <v>0.67</v>
      </c>
    </row>
    <row r="132" spans="1:19" x14ac:dyDescent="0.35">
      <c r="A132" s="8" t="s">
        <v>314</v>
      </c>
      <c r="B132" s="8" t="s">
        <v>315</v>
      </c>
      <c r="C132" s="8" t="s">
        <v>1</v>
      </c>
      <c r="D132" s="8" t="str">
        <f t="shared" si="30"/>
        <v>Female</v>
      </c>
      <c r="E132" s="8">
        <v>45</v>
      </c>
      <c r="F132" s="8">
        <f t="shared" si="31"/>
        <v>45</v>
      </c>
      <c r="G132" s="8" t="s">
        <v>46</v>
      </c>
      <c r="H132" s="8" t="s">
        <v>9</v>
      </c>
      <c r="I132" s="8" t="s">
        <v>56</v>
      </c>
      <c r="J132" s="8">
        <v>14</v>
      </c>
      <c r="K132" s="8">
        <f t="shared" si="32"/>
        <v>14</v>
      </c>
      <c r="L132" s="8">
        <v>100</v>
      </c>
      <c r="M132" s="9">
        <f t="shared" si="33"/>
        <v>100</v>
      </c>
      <c r="N132" s="8">
        <v>1.1000000000000001</v>
      </c>
      <c r="O132" s="10">
        <f t="shared" si="34"/>
        <v>1.1000000000000001</v>
      </c>
      <c r="P132" s="8" t="s">
        <v>2050</v>
      </c>
      <c r="Q132" s="8">
        <v>93</v>
      </c>
      <c r="R132" s="12">
        <v>0.93</v>
      </c>
      <c r="S132" s="12">
        <f t="shared" ref="S132:S195" si="35">IF(ISBLANK(R132),AVERAGE($R$2:$R$1001),R132)</f>
        <v>0.93</v>
      </c>
    </row>
    <row r="133" spans="1:19" x14ac:dyDescent="0.35">
      <c r="A133" s="8" t="s">
        <v>316</v>
      </c>
      <c r="B133" s="8" t="s">
        <v>317</v>
      </c>
      <c r="C133" s="8" t="s">
        <v>7</v>
      </c>
      <c r="D133" s="8" t="str">
        <f t="shared" si="30"/>
        <v>Female</v>
      </c>
      <c r="E133" s="8">
        <v>57</v>
      </c>
      <c r="F133" s="8">
        <f t="shared" si="31"/>
        <v>57</v>
      </c>
      <c r="G133" s="8" t="s">
        <v>110</v>
      </c>
      <c r="H133" s="8" t="s">
        <v>111</v>
      </c>
      <c r="I133" s="8" t="s">
        <v>90</v>
      </c>
      <c r="J133" s="8">
        <v>0</v>
      </c>
      <c r="K133" s="8">
        <f t="shared" si="32"/>
        <v>0</v>
      </c>
      <c r="L133" s="8">
        <v>50</v>
      </c>
      <c r="M133" s="9">
        <f t="shared" si="33"/>
        <v>50</v>
      </c>
      <c r="N133" s="8">
        <v>1.6</v>
      </c>
      <c r="O133" s="10">
        <f t="shared" si="34"/>
        <v>1.6</v>
      </c>
      <c r="P133" s="8" t="s">
        <v>2050</v>
      </c>
      <c r="Q133" s="14">
        <v>0.6</v>
      </c>
      <c r="R133" s="12">
        <f t="shared" ref="R133:R138" si="36">Q133</f>
        <v>0.6</v>
      </c>
      <c r="S133" s="12">
        <f t="shared" si="35"/>
        <v>0.6</v>
      </c>
    </row>
    <row r="134" spans="1:19" x14ac:dyDescent="0.35">
      <c r="A134" s="8" t="s">
        <v>318</v>
      </c>
      <c r="B134" s="8" t="s">
        <v>319</v>
      </c>
      <c r="C134" s="8" t="s">
        <v>41</v>
      </c>
      <c r="D134" s="8" t="str">
        <f t="shared" si="30"/>
        <v>Male</v>
      </c>
      <c r="E134" s="8">
        <v>50</v>
      </c>
      <c r="F134" s="8">
        <f t="shared" si="31"/>
        <v>50</v>
      </c>
      <c r="G134" s="8" t="s">
        <v>71</v>
      </c>
      <c r="H134" s="8" t="s">
        <v>72</v>
      </c>
      <c r="I134" s="8" t="s">
        <v>20</v>
      </c>
      <c r="J134" s="8">
        <v>22</v>
      </c>
      <c r="K134" s="8">
        <f t="shared" si="32"/>
        <v>22</v>
      </c>
      <c r="L134" s="8">
        <v>100</v>
      </c>
      <c r="M134" s="9">
        <f t="shared" si="33"/>
        <v>100</v>
      </c>
      <c r="N134" s="8">
        <v>4.0999999999999996</v>
      </c>
      <c r="O134" s="10">
        <f t="shared" si="34"/>
        <v>4.0999999999999996</v>
      </c>
      <c r="P134" s="8" t="s">
        <v>2050</v>
      </c>
      <c r="Q134" s="14">
        <v>0.62</v>
      </c>
      <c r="R134" s="12">
        <f t="shared" si="36"/>
        <v>0.62</v>
      </c>
      <c r="S134" s="12">
        <f t="shared" si="35"/>
        <v>0.62</v>
      </c>
    </row>
    <row r="135" spans="1:19" x14ac:dyDescent="0.35">
      <c r="A135" s="8" t="s">
        <v>320</v>
      </c>
      <c r="B135" s="8" t="s">
        <v>321</v>
      </c>
      <c r="C135" s="8" t="s">
        <v>7</v>
      </c>
      <c r="D135" s="8" t="str">
        <f t="shared" si="30"/>
        <v>Female</v>
      </c>
      <c r="E135" s="13"/>
      <c r="F135" s="8">
        <f t="shared" si="31"/>
        <v>41</v>
      </c>
      <c r="G135" s="8" t="s">
        <v>84</v>
      </c>
      <c r="H135" s="8" t="s">
        <v>85</v>
      </c>
      <c r="I135" s="8" t="s">
        <v>90</v>
      </c>
      <c r="J135" s="8">
        <v>4</v>
      </c>
      <c r="K135" s="8">
        <f t="shared" si="32"/>
        <v>4</v>
      </c>
      <c r="L135" s="13"/>
      <c r="M135" s="9">
        <f t="shared" si="33"/>
        <v>40</v>
      </c>
      <c r="N135" s="8">
        <v>2.5</v>
      </c>
      <c r="O135" s="10">
        <f t="shared" si="34"/>
        <v>2.5</v>
      </c>
      <c r="P135" s="13" t="s">
        <v>2050</v>
      </c>
      <c r="Q135" s="14">
        <v>0.7</v>
      </c>
      <c r="R135" s="12">
        <f t="shared" si="36"/>
        <v>0.7</v>
      </c>
      <c r="S135" s="12">
        <f t="shared" si="35"/>
        <v>0.7</v>
      </c>
    </row>
    <row r="136" spans="1:19" x14ac:dyDescent="0.35">
      <c r="A136" s="8" t="s">
        <v>322</v>
      </c>
      <c r="B136" s="8" t="s">
        <v>323</v>
      </c>
      <c r="C136" s="8" t="s">
        <v>55</v>
      </c>
      <c r="D136" s="8" t="str">
        <f t="shared" si="30"/>
        <v>Female</v>
      </c>
      <c r="E136" s="8">
        <v>45</v>
      </c>
      <c r="F136" s="8">
        <f t="shared" si="31"/>
        <v>45</v>
      </c>
      <c r="G136" s="8" t="s">
        <v>31</v>
      </c>
      <c r="H136" s="8" t="s">
        <v>32</v>
      </c>
      <c r="I136" s="8" t="s">
        <v>4</v>
      </c>
      <c r="J136" s="8">
        <v>22</v>
      </c>
      <c r="K136" s="8">
        <f t="shared" si="32"/>
        <v>22</v>
      </c>
      <c r="L136" s="8">
        <v>100</v>
      </c>
      <c r="M136" s="9">
        <f t="shared" si="33"/>
        <v>100</v>
      </c>
      <c r="N136" s="8">
        <v>4</v>
      </c>
      <c r="O136" s="10">
        <f t="shared" si="34"/>
        <v>4</v>
      </c>
      <c r="P136" s="8" t="s">
        <v>2051</v>
      </c>
      <c r="Q136" s="14">
        <v>0.75</v>
      </c>
      <c r="R136" s="12">
        <f t="shared" si="36"/>
        <v>0.75</v>
      </c>
      <c r="S136" s="12">
        <f t="shared" si="35"/>
        <v>0.75</v>
      </c>
    </row>
    <row r="137" spans="1:19" x14ac:dyDescent="0.35">
      <c r="A137" s="8" t="s">
        <v>324</v>
      </c>
      <c r="B137" s="8" t="s">
        <v>325</v>
      </c>
      <c r="C137" s="8" t="s">
        <v>41</v>
      </c>
      <c r="D137" s="8" t="str">
        <f t="shared" si="30"/>
        <v>Male</v>
      </c>
      <c r="E137" s="8">
        <v>60</v>
      </c>
      <c r="F137" s="8">
        <f t="shared" si="31"/>
        <v>60</v>
      </c>
      <c r="G137" s="8" t="s">
        <v>128</v>
      </c>
      <c r="H137" s="8" t="s">
        <v>129</v>
      </c>
      <c r="I137" s="8" t="s">
        <v>56</v>
      </c>
      <c r="J137" s="8">
        <v>39</v>
      </c>
      <c r="K137" s="8">
        <f t="shared" si="32"/>
        <v>39</v>
      </c>
      <c r="L137" s="8">
        <v>75</v>
      </c>
      <c r="M137" s="9">
        <f t="shared" si="33"/>
        <v>75</v>
      </c>
      <c r="N137" s="8">
        <v>1.4</v>
      </c>
      <c r="O137" s="10">
        <f t="shared" si="34"/>
        <v>1.4</v>
      </c>
      <c r="P137" s="8" t="s">
        <v>2050</v>
      </c>
      <c r="Q137" s="14">
        <v>0.7</v>
      </c>
      <c r="R137" s="12">
        <f t="shared" si="36"/>
        <v>0.7</v>
      </c>
      <c r="S137" s="12">
        <f t="shared" si="35"/>
        <v>0.7</v>
      </c>
    </row>
    <row r="138" spans="1:19" x14ac:dyDescent="0.35">
      <c r="A138" s="8" t="s">
        <v>326</v>
      </c>
      <c r="B138" s="8" t="s">
        <v>327</v>
      </c>
      <c r="C138" s="8" t="s">
        <v>22</v>
      </c>
      <c r="D138" s="8" t="str">
        <f t="shared" si="30"/>
        <v>Female</v>
      </c>
      <c r="E138" s="8">
        <v>43</v>
      </c>
      <c r="F138" s="8">
        <f t="shared" si="31"/>
        <v>43</v>
      </c>
      <c r="G138" s="8" t="s">
        <v>46</v>
      </c>
      <c r="H138" s="8" t="s">
        <v>9</v>
      </c>
      <c r="I138" s="8" t="s">
        <v>56</v>
      </c>
      <c r="J138" s="8">
        <v>5</v>
      </c>
      <c r="K138" s="8">
        <f t="shared" si="32"/>
        <v>5</v>
      </c>
      <c r="L138" s="8">
        <v>50</v>
      </c>
      <c r="M138" s="9">
        <f t="shared" si="33"/>
        <v>50</v>
      </c>
      <c r="O138" s="10">
        <f t="shared" si="34"/>
        <v>2.5125695216907653</v>
      </c>
      <c r="P138" s="8" t="s">
        <v>2051</v>
      </c>
      <c r="Q138" s="14">
        <v>0.84</v>
      </c>
      <c r="R138" s="12">
        <f t="shared" si="36"/>
        <v>0.84</v>
      </c>
      <c r="S138" s="12">
        <f t="shared" si="35"/>
        <v>0.84</v>
      </c>
    </row>
    <row r="139" spans="1:19" x14ac:dyDescent="0.35">
      <c r="A139" s="8" t="s">
        <v>328</v>
      </c>
      <c r="B139" s="8" t="s">
        <v>329</v>
      </c>
      <c r="C139" s="8" t="s">
        <v>19</v>
      </c>
      <c r="D139" s="8" t="str">
        <f t="shared" si="30"/>
        <v>Female</v>
      </c>
      <c r="E139" s="8">
        <v>39</v>
      </c>
      <c r="F139" s="8">
        <f t="shared" si="31"/>
        <v>39</v>
      </c>
      <c r="G139" s="8" t="s">
        <v>110</v>
      </c>
      <c r="H139" s="8" t="s">
        <v>111</v>
      </c>
      <c r="I139" s="8" t="s">
        <v>56</v>
      </c>
      <c r="J139" s="8">
        <v>5</v>
      </c>
      <c r="K139" s="8">
        <f t="shared" si="32"/>
        <v>5</v>
      </c>
      <c r="L139" s="8">
        <v>40</v>
      </c>
      <c r="M139" s="9">
        <f t="shared" si="33"/>
        <v>40</v>
      </c>
      <c r="N139" s="8">
        <v>1.2</v>
      </c>
      <c r="O139" s="10">
        <f t="shared" si="34"/>
        <v>1.2</v>
      </c>
      <c r="P139" s="8" t="s">
        <v>2050</v>
      </c>
      <c r="Q139" s="8">
        <v>83</v>
      </c>
      <c r="R139" s="12">
        <v>0.83</v>
      </c>
      <c r="S139" s="12">
        <f t="shared" si="35"/>
        <v>0.83</v>
      </c>
    </row>
    <row r="140" spans="1:19" x14ac:dyDescent="0.35">
      <c r="A140" s="8" t="s">
        <v>330</v>
      </c>
      <c r="B140" s="8" t="s">
        <v>331</v>
      </c>
      <c r="C140" s="8" t="s">
        <v>13</v>
      </c>
      <c r="D140" s="8" t="str">
        <f t="shared" si="30"/>
        <v>Male</v>
      </c>
      <c r="E140" s="8">
        <v>26</v>
      </c>
      <c r="F140" s="8">
        <f t="shared" si="31"/>
        <v>26</v>
      </c>
      <c r="G140" s="8" t="s">
        <v>151</v>
      </c>
      <c r="H140" s="8" t="s">
        <v>51</v>
      </c>
      <c r="I140" s="8" t="s">
        <v>52</v>
      </c>
      <c r="J140" s="8">
        <v>5</v>
      </c>
      <c r="K140" s="8">
        <f t="shared" si="32"/>
        <v>5</v>
      </c>
      <c r="L140" s="8">
        <v>50</v>
      </c>
      <c r="M140" s="9">
        <f t="shared" si="33"/>
        <v>50</v>
      </c>
      <c r="N140" s="8">
        <v>0</v>
      </c>
      <c r="O140" s="11">
        <f t="shared" si="34"/>
        <v>0</v>
      </c>
      <c r="P140" s="8" t="s">
        <v>2050</v>
      </c>
      <c r="Q140" s="13"/>
      <c r="S140" s="12">
        <f t="shared" si="35"/>
        <v>0.79269417475728277</v>
      </c>
    </row>
    <row r="141" spans="1:19" x14ac:dyDescent="0.35">
      <c r="A141" s="8" t="s">
        <v>332</v>
      </c>
      <c r="B141" s="8" t="s">
        <v>333</v>
      </c>
      <c r="C141" s="8" t="s">
        <v>30</v>
      </c>
      <c r="D141" s="8" t="str">
        <f t="shared" si="30"/>
        <v>Male</v>
      </c>
      <c r="E141" s="8">
        <v>31</v>
      </c>
      <c r="F141" s="8">
        <f t="shared" si="31"/>
        <v>31</v>
      </c>
      <c r="G141" s="8" t="s">
        <v>14</v>
      </c>
      <c r="H141" s="8" t="s">
        <v>15</v>
      </c>
      <c r="I141" s="8" t="s">
        <v>56</v>
      </c>
      <c r="J141" s="8">
        <v>11</v>
      </c>
      <c r="K141" s="8">
        <f t="shared" si="32"/>
        <v>11</v>
      </c>
      <c r="L141" s="8">
        <v>50</v>
      </c>
      <c r="M141" s="9">
        <f t="shared" si="33"/>
        <v>50</v>
      </c>
      <c r="N141" s="8">
        <v>3.1</v>
      </c>
      <c r="O141" s="10">
        <f t="shared" si="34"/>
        <v>3.1</v>
      </c>
      <c r="P141" s="8" t="s">
        <v>2050</v>
      </c>
      <c r="Q141" s="14">
        <v>0.88</v>
      </c>
      <c r="R141" s="12">
        <f t="shared" ref="R141:R145" si="37">Q141</f>
        <v>0.88</v>
      </c>
      <c r="S141" s="12">
        <f t="shared" si="35"/>
        <v>0.88</v>
      </c>
    </row>
    <row r="142" spans="1:19" x14ac:dyDescent="0.35">
      <c r="A142" s="8" t="s">
        <v>334</v>
      </c>
      <c r="B142" s="8" t="s">
        <v>335</v>
      </c>
      <c r="C142" s="8" t="s">
        <v>30</v>
      </c>
      <c r="D142" s="8" t="str">
        <f t="shared" si="30"/>
        <v>Male</v>
      </c>
      <c r="E142" s="8">
        <v>52</v>
      </c>
      <c r="F142" s="8">
        <f t="shared" si="31"/>
        <v>52</v>
      </c>
      <c r="G142" s="8" t="s">
        <v>110</v>
      </c>
      <c r="H142" s="8" t="s">
        <v>111</v>
      </c>
      <c r="I142" s="8" t="s">
        <v>52</v>
      </c>
      <c r="J142" s="8">
        <v>15</v>
      </c>
      <c r="K142" s="8">
        <f t="shared" si="32"/>
        <v>15</v>
      </c>
      <c r="L142" s="8">
        <v>50</v>
      </c>
      <c r="M142" s="9">
        <f t="shared" si="33"/>
        <v>50</v>
      </c>
      <c r="N142" s="8">
        <v>0</v>
      </c>
      <c r="O142" s="11">
        <f t="shared" si="34"/>
        <v>0</v>
      </c>
      <c r="P142" s="8" t="s">
        <v>2051</v>
      </c>
      <c r="Q142" s="14">
        <v>0.81</v>
      </c>
      <c r="R142" s="12">
        <f t="shared" si="37"/>
        <v>0.81</v>
      </c>
      <c r="S142" s="12">
        <f t="shared" si="35"/>
        <v>0.81</v>
      </c>
    </row>
    <row r="143" spans="1:19" x14ac:dyDescent="0.35">
      <c r="A143" s="8" t="s">
        <v>336</v>
      </c>
      <c r="B143" s="8" t="s">
        <v>337</v>
      </c>
      <c r="C143" s="8" t="s">
        <v>22</v>
      </c>
      <c r="D143" s="8" t="str">
        <f t="shared" si="30"/>
        <v>Female</v>
      </c>
      <c r="E143" s="8">
        <v>34</v>
      </c>
      <c r="F143" s="8">
        <f t="shared" si="31"/>
        <v>34</v>
      </c>
      <c r="G143" s="8" t="s">
        <v>71</v>
      </c>
      <c r="H143" s="8" t="s">
        <v>72</v>
      </c>
      <c r="I143" s="8" t="s">
        <v>33</v>
      </c>
      <c r="J143" s="8">
        <v>5</v>
      </c>
      <c r="K143" s="8">
        <f t="shared" si="32"/>
        <v>5</v>
      </c>
      <c r="L143" s="8">
        <v>20</v>
      </c>
      <c r="M143" s="9">
        <f t="shared" si="33"/>
        <v>20</v>
      </c>
      <c r="N143" s="8">
        <v>2.2000000000000002</v>
      </c>
      <c r="O143" s="10">
        <f t="shared" si="34"/>
        <v>2.2000000000000002</v>
      </c>
      <c r="P143" s="8" t="s">
        <v>2051</v>
      </c>
      <c r="Q143" s="14">
        <v>0.8</v>
      </c>
      <c r="R143" s="12">
        <f t="shared" si="37"/>
        <v>0.8</v>
      </c>
      <c r="S143" s="12">
        <f t="shared" si="35"/>
        <v>0.8</v>
      </c>
    </row>
    <row r="144" spans="1:19" x14ac:dyDescent="0.35">
      <c r="A144" s="8" t="s">
        <v>338</v>
      </c>
      <c r="B144" s="8" t="s">
        <v>339</v>
      </c>
      <c r="C144" s="8" t="s">
        <v>13</v>
      </c>
      <c r="D144" s="8" t="str">
        <f t="shared" si="30"/>
        <v>Male</v>
      </c>
      <c r="E144" s="8">
        <v>45</v>
      </c>
      <c r="F144" s="8">
        <f t="shared" si="31"/>
        <v>45</v>
      </c>
      <c r="G144" s="8" t="s">
        <v>46</v>
      </c>
      <c r="H144" s="8" t="s">
        <v>9</v>
      </c>
      <c r="I144" s="8" t="s">
        <v>20</v>
      </c>
      <c r="J144" s="8">
        <v>7</v>
      </c>
      <c r="K144" s="8">
        <f t="shared" si="32"/>
        <v>7</v>
      </c>
      <c r="L144" s="8">
        <v>75</v>
      </c>
      <c r="M144" s="9">
        <f t="shared" si="33"/>
        <v>75</v>
      </c>
      <c r="N144" s="8">
        <v>3</v>
      </c>
      <c r="O144" s="10">
        <f t="shared" si="34"/>
        <v>3</v>
      </c>
      <c r="P144" s="8" t="s">
        <v>2051</v>
      </c>
      <c r="Q144" s="14">
        <v>0.67</v>
      </c>
      <c r="R144" s="12">
        <f t="shared" si="37"/>
        <v>0.67</v>
      </c>
      <c r="S144" s="12">
        <f t="shared" si="35"/>
        <v>0.67</v>
      </c>
    </row>
    <row r="145" spans="1:19" x14ac:dyDescent="0.35">
      <c r="A145" s="8" t="s">
        <v>340</v>
      </c>
      <c r="B145" s="8" t="s">
        <v>341</v>
      </c>
      <c r="C145" s="8" t="s">
        <v>30</v>
      </c>
      <c r="D145" s="8" t="str">
        <f t="shared" si="30"/>
        <v>Male</v>
      </c>
      <c r="E145" s="8">
        <v>46</v>
      </c>
      <c r="F145" s="8">
        <f t="shared" si="31"/>
        <v>46</v>
      </c>
      <c r="G145" s="8" t="s">
        <v>46</v>
      </c>
      <c r="H145" s="8" t="s">
        <v>9</v>
      </c>
      <c r="I145" s="8" t="s">
        <v>56</v>
      </c>
      <c r="J145" s="8">
        <v>9</v>
      </c>
      <c r="K145" s="8">
        <f t="shared" si="32"/>
        <v>9</v>
      </c>
      <c r="L145" s="8">
        <v>20</v>
      </c>
      <c r="M145" s="9">
        <f t="shared" si="33"/>
        <v>20</v>
      </c>
      <c r="N145" s="8">
        <v>0</v>
      </c>
      <c r="O145" s="11">
        <f t="shared" si="34"/>
        <v>0</v>
      </c>
      <c r="P145" s="8" t="s">
        <v>2050</v>
      </c>
      <c r="Q145" s="14">
        <v>0.82</v>
      </c>
      <c r="R145" s="12">
        <f t="shared" si="37"/>
        <v>0.82</v>
      </c>
      <c r="S145" s="12">
        <f t="shared" si="35"/>
        <v>0.82</v>
      </c>
    </row>
    <row r="146" spans="1:19" x14ac:dyDescent="0.35">
      <c r="A146" s="8" t="s">
        <v>342</v>
      </c>
      <c r="B146" s="8" t="s">
        <v>2037</v>
      </c>
      <c r="C146" s="8" t="s">
        <v>30</v>
      </c>
      <c r="D146" s="8" t="str">
        <f t="shared" si="30"/>
        <v>Male</v>
      </c>
      <c r="E146" s="8">
        <v>56</v>
      </c>
      <c r="F146" s="8">
        <f t="shared" si="31"/>
        <v>56</v>
      </c>
      <c r="G146" s="8" t="s">
        <v>110</v>
      </c>
      <c r="H146" s="8" t="s">
        <v>111</v>
      </c>
      <c r="I146" s="8" t="s">
        <v>52</v>
      </c>
      <c r="J146" s="8">
        <v>21</v>
      </c>
      <c r="K146" s="8">
        <f t="shared" si="32"/>
        <v>21</v>
      </c>
      <c r="L146" s="8">
        <v>100</v>
      </c>
      <c r="M146" s="9">
        <f t="shared" si="33"/>
        <v>100</v>
      </c>
      <c r="N146" s="8">
        <v>0</v>
      </c>
      <c r="O146" s="11">
        <f t="shared" si="34"/>
        <v>0</v>
      </c>
      <c r="P146" s="8" t="s">
        <v>2051</v>
      </c>
      <c r="Q146" s="8">
        <v>78</v>
      </c>
      <c r="R146" s="12">
        <v>0.78</v>
      </c>
      <c r="S146" s="12">
        <f t="shared" si="35"/>
        <v>0.78</v>
      </c>
    </row>
    <row r="147" spans="1:19" x14ac:dyDescent="0.35">
      <c r="A147" s="8" t="s">
        <v>343</v>
      </c>
      <c r="B147" s="8" t="s">
        <v>344</v>
      </c>
      <c r="C147" s="8" t="s">
        <v>7</v>
      </c>
      <c r="D147" s="8" t="str">
        <f t="shared" si="30"/>
        <v>Female</v>
      </c>
      <c r="E147" s="8">
        <v>59</v>
      </c>
      <c r="F147" s="8">
        <f t="shared" si="31"/>
        <v>59</v>
      </c>
      <c r="G147" s="8" t="s">
        <v>14</v>
      </c>
      <c r="H147" s="8" t="s">
        <v>15</v>
      </c>
      <c r="I147" s="8" t="s">
        <v>27</v>
      </c>
      <c r="J147" s="8">
        <v>7</v>
      </c>
      <c r="K147" s="8">
        <f t="shared" si="32"/>
        <v>7</v>
      </c>
      <c r="L147" s="8">
        <v>40</v>
      </c>
      <c r="M147" s="9">
        <f t="shared" si="33"/>
        <v>40</v>
      </c>
      <c r="N147" s="8">
        <v>1.4</v>
      </c>
      <c r="O147" s="10">
        <f t="shared" si="34"/>
        <v>1.4</v>
      </c>
      <c r="P147" s="8" t="s">
        <v>2050</v>
      </c>
      <c r="Q147" s="14">
        <v>0.81</v>
      </c>
      <c r="R147" s="12">
        <f t="shared" ref="R147:R150" si="38">Q147</f>
        <v>0.81</v>
      </c>
      <c r="S147" s="12">
        <f t="shared" si="35"/>
        <v>0.81</v>
      </c>
    </row>
    <row r="148" spans="1:19" x14ac:dyDescent="0.35">
      <c r="A148" s="8" t="s">
        <v>345</v>
      </c>
      <c r="B148" s="8" t="s">
        <v>346</v>
      </c>
      <c r="C148" s="8" t="s">
        <v>7</v>
      </c>
      <c r="D148" s="8" t="str">
        <f t="shared" si="30"/>
        <v>Female</v>
      </c>
      <c r="E148" s="8">
        <v>54</v>
      </c>
      <c r="F148" s="8">
        <f t="shared" si="31"/>
        <v>54</v>
      </c>
      <c r="G148" s="8" t="s">
        <v>114</v>
      </c>
      <c r="H148" s="8" t="s">
        <v>115</v>
      </c>
      <c r="I148" s="8" t="s">
        <v>4</v>
      </c>
      <c r="J148" s="8">
        <v>4</v>
      </c>
      <c r="K148" s="8">
        <f t="shared" si="32"/>
        <v>4</v>
      </c>
      <c r="L148" s="13"/>
      <c r="M148" s="9">
        <f t="shared" si="33"/>
        <v>40</v>
      </c>
      <c r="N148" s="8">
        <v>1.4</v>
      </c>
      <c r="O148" s="10">
        <f t="shared" si="34"/>
        <v>1.4</v>
      </c>
      <c r="P148" s="8" t="s">
        <v>2051</v>
      </c>
      <c r="Q148" s="14">
        <v>0.74</v>
      </c>
      <c r="R148" s="12">
        <f t="shared" si="38"/>
        <v>0.74</v>
      </c>
      <c r="S148" s="12">
        <f t="shared" si="35"/>
        <v>0.74</v>
      </c>
    </row>
    <row r="149" spans="1:19" x14ac:dyDescent="0.35">
      <c r="A149" s="8" t="s">
        <v>347</v>
      </c>
      <c r="B149" s="8" t="s">
        <v>348</v>
      </c>
      <c r="C149" s="8" t="s">
        <v>70</v>
      </c>
      <c r="D149" s="8" t="str">
        <f t="shared" si="30"/>
        <v>Male</v>
      </c>
      <c r="E149" s="8">
        <v>36</v>
      </c>
      <c r="F149" s="8">
        <f t="shared" si="31"/>
        <v>36</v>
      </c>
      <c r="G149" s="8" t="s">
        <v>14</v>
      </c>
      <c r="H149" s="8" t="s">
        <v>15</v>
      </c>
      <c r="I149" s="8" t="s">
        <v>52</v>
      </c>
      <c r="J149" s="8">
        <v>7</v>
      </c>
      <c r="K149" s="8">
        <f t="shared" si="32"/>
        <v>7</v>
      </c>
      <c r="L149" s="8">
        <v>30</v>
      </c>
      <c r="M149" s="9">
        <f t="shared" si="33"/>
        <v>30</v>
      </c>
      <c r="N149" s="8">
        <v>0</v>
      </c>
      <c r="O149" s="11">
        <f t="shared" si="34"/>
        <v>0</v>
      </c>
      <c r="P149" s="8" t="s">
        <v>2050</v>
      </c>
      <c r="Q149" s="14">
        <v>0.88</v>
      </c>
      <c r="R149" s="12">
        <f t="shared" si="38"/>
        <v>0.88</v>
      </c>
      <c r="S149" s="12">
        <f t="shared" si="35"/>
        <v>0.88</v>
      </c>
    </row>
    <row r="150" spans="1:19" x14ac:dyDescent="0.35">
      <c r="A150" s="8" t="s">
        <v>349</v>
      </c>
      <c r="B150" s="8" t="s">
        <v>350</v>
      </c>
      <c r="C150" s="8" t="s">
        <v>13</v>
      </c>
      <c r="D150" s="8" t="str">
        <f t="shared" si="30"/>
        <v>Male</v>
      </c>
      <c r="E150" s="8">
        <v>25</v>
      </c>
      <c r="F150" s="8">
        <f t="shared" si="31"/>
        <v>25</v>
      </c>
      <c r="G150" s="8" t="s">
        <v>151</v>
      </c>
      <c r="H150" s="8" t="s">
        <v>51</v>
      </c>
      <c r="I150" s="8" t="s">
        <v>33</v>
      </c>
      <c r="J150" s="8">
        <v>0</v>
      </c>
      <c r="K150" s="8">
        <f t="shared" si="32"/>
        <v>0</v>
      </c>
      <c r="L150" s="8">
        <v>40</v>
      </c>
      <c r="M150" s="9">
        <f t="shared" si="33"/>
        <v>40</v>
      </c>
      <c r="N150" s="8">
        <v>0</v>
      </c>
      <c r="O150" s="11">
        <f t="shared" si="34"/>
        <v>0</v>
      </c>
      <c r="P150" s="8" t="s">
        <v>2050</v>
      </c>
      <c r="Q150" s="14">
        <v>0.9</v>
      </c>
      <c r="R150" s="12">
        <f t="shared" si="38"/>
        <v>0.9</v>
      </c>
      <c r="S150" s="12">
        <f t="shared" si="35"/>
        <v>0.9</v>
      </c>
    </row>
    <row r="151" spans="1:19" x14ac:dyDescent="0.35">
      <c r="A151" s="8" t="s">
        <v>351</v>
      </c>
      <c r="B151" s="8" t="s">
        <v>352</v>
      </c>
      <c r="C151" s="8" t="s">
        <v>7</v>
      </c>
      <c r="D151" s="8" t="str">
        <f t="shared" si="30"/>
        <v>Female</v>
      </c>
      <c r="E151" s="8">
        <v>37</v>
      </c>
      <c r="F151" s="8">
        <f t="shared" si="31"/>
        <v>37</v>
      </c>
      <c r="G151" s="8" t="s">
        <v>99</v>
      </c>
      <c r="H151" s="8" t="s">
        <v>100</v>
      </c>
      <c r="I151" s="8" t="s">
        <v>33</v>
      </c>
      <c r="J151" s="8">
        <v>15</v>
      </c>
      <c r="K151" s="8">
        <f t="shared" si="32"/>
        <v>15</v>
      </c>
      <c r="L151" s="8">
        <v>40</v>
      </c>
      <c r="M151" s="9">
        <f t="shared" si="33"/>
        <v>40</v>
      </c>
      <c r="N151" s="8">
        <v>2.9</v>
      </c>
      <c r="O151" s="10">
        <f t="shared" si="34"/>
        <v>2.9</v>
      </c>
      <c r="P151" s="8" t="s">
        <v>2050</v>
      </c>
      <c r="Q151" s="13"/>
      <c r="S151" s="12">
        <f t="shared" si="35"/>
        <v>0.79269417475728277</v>
      </c>
    </row>
    <row r="152" spans="1:19" x14ac:dyDescent="0.35">
      <c r="A152" s="8" t="s">
        <v>353</v>
      </c>
      <c r="B152" s="8" t="s">
        <v>354</v>
      </c>
      <c r="C152" s="8" t="s">
        <v>70</v>
      </c>
      <c r="D152" s="8" t="str">
        <f t="shared" si="30"/>
        <v>Male</v>
      </c>
      <c r="E152" s="13"/>
      <c r="F152" s="8">
        <f t="shared" si="31"/>
        <v>41</v>
      </c>
      <c r="G152" s="8" t="s">
        <v>42</v>
      </c>
      <c r="H152" s="8" t="s">
        <v>43</v>
      </c>
      <c r="I152" s="8" t="s">
        <v>33</v>
      </c>
      <c r="J152" s="8">
        <v>10</v>
      </c>
      <c r="K152" s="8">
        <f t="shared" si="32"/>
        <v>10</v>
      </c>
      <c r="L152" s="8">
        <v>40</v>
      </c>
      <c r="M152" s="9">
        <f t="shared" si="33"/>
        <v>40</v>
      </c>
      <c r="N152" s="8">
        <v>0</v>
      </c>
      <c r="O152" s="11">
        <f t="shared" si="34"/>
        <v>0</v>
      </c>
      <c r="P152" s="13" t="s">
        <v>2050</v>
      </c>
      <c r="Q152" s="13"/>
      <c r="S152" s="12">
        <f t="shared" si="35"/>
        <v>0.79269417475728277</v>
      </c>
    </row>
    <row r="153" spans="1:19" x14ac:dyDescent="0.35">
      <c r="A153" s="8" t="s">
        <v>355</v>
      </c>
      <c r="B153" s="8" t="s">
        <v>356</v>
      </c>
      <c r="C153" s="8" t="s">
        <v>30</v>
      </c>
      <c r="D153" s="8" t="str">
        <f t="shared" si="30"/>
        <v>Male</v>
      </c>
      <c r="E153" s="8">
        <v>29</v>
      </c>
      <c r="F153" s="8">
        <f t="shared" si="31"/>
        <v>29</v>
      </c>
      <c r="G153" s="8" t="s">
        <v>162</v>
      </c>
      <c r="H153" s="8" t="s">
        <v>51</v>
      </c>
      <c r="I153" s="8" t="s">
        <v>33</v>
      </c>
      <c r="J153" s="8">
        <v>11</v>
      </c>
      <c r="K153" s="8">
        <f t="shared" si="32"/>
        <v>11</v>
      </c>
      <c r="L153" s="8">
        <v>20</v>
      </c>
      <c r="M153" s="9">
        <f t="shared" si="33"/>
        <v>20</v>
      </c>
      <c r="N153" s="8">
        <v>2.7</v>
      </c>
      <c r="O153" s="10">
        <f t="shared" si="34"/>
        <v>2.7</v>
      </c>
      <c r="P153" s="8" t="s">
        <v>2050</v>
      </c>
      <c r="Q153" s="14">
        <v>0.93</v>
      </c>
      <c r="R153" s="12">
        <f>Q153</f>
        <v>0.93</v>
      </c>
      <c r="S153" s="12">
        <f t="shared" si="35"/>
        <v>0.93</v>
      </c>
    </row>
    <row r="154" spans="1:19" x14ac:dyDescent="0.35">
      <c r="A154" s="8" t="s">
        <v>357</v>
      </c>
      <c r="B154" s="8" t="s">
        <v>358</v>
      </c>
      <c r="C154" s="8" t="s">
        <v>22</v>
      </c>
      <c r="D154" s="8" t="str">
        <f t="shared" si="30"/>
        <v>Female</v>
      </c>
      <c r="E154" s="8">
        <v>55</v>
      </c>
      <c r="F154" s="8">
        <f t="shared" si="31"/>
        <v>55</v>
      </c>
      <c r="G154" s="8" t="s">
        <v>50</v>
      </c>
      <c r="H154" s="8" t="s">
        <v>51</v>
      </c>
      <c r="I154" s="8" t="s">
        <v>10</v>
      </c>
      <c r="J154" s="8">
        <v>12</v>
      </c>
      <c r="K154" s="8">
        <f t="shared" si="32"/>
        <v>12</v>
      </c>
      <c r="L154" s="8">
        <v>100</v>
      </c>
      <c r="M154" s="9">
        <f t="shared" si="33"/>
        <v>100</v>
      </c>
      <c r="N154" s="8">
        <v>1.8</v>
      </c>
      <c r="O154" s="10">
        <f t="shared" si="34"/>
        <v>1.8</v>
      </c>
      <c r="P154" s="8" t="s">
        <v>2051</v>
      </c>
      <c r="Q154" s="13"/>
      <c r="S154" s="12">
        <f t="shared" si="35"/>
        <v>0.79269417475728277</v>
      </c>
    </row>
    <row r="155" spans="1:19" x14ac:dyDescent="0.35">
      <c r="A155" s="8" t="s">
        <v>359</v>
      </c>
      <c r="B155" s="8" t="s">
        <v>360</v>
      </c>
      <c r="C155" s="8" t="s">
        <v>55</v>
      </c>
      <c r="D155" s="8" t="str">
        <f t="shared" si="30"/>
        <v>Female</v>
      </c>
      <c r="E155" s="8">
        <v>38</v>
      </c>
      <c r="F155" s="8">
        <f t="shared" si="31"/>
        <v>38</v>
      </c>
      <c r="G155" s="8" t="s">
        <v>63</v>
      </c>
      <c r="H155" s="8" t="s">
        <v>64</v>
      </c>
      <c r="I155" s="8" t="s">
        <v>67</v>
      </c>
      <c r="J155" s="8">
        <v>20</v>
      </c>
      <c r="K155" s="8">
        <f t="shared" si="32"/>
        <v>20</v>
      </c>
      <c r="L155" s="8">
        <v>75</v>
      </c>
      <c r="M155" s="9">
        <f t="shared" si="33"/>
        <v>75</v>
      </c>
      <c r="N155" s="8">
        <v>1.1000000000000001</v>
      </c>
      <c r="O155" s="10">
        <f t="shared" si="34"/>
        <v>1.1000000000000001</v>
      </c>
      <c r="P155" s="8" t="s">
        <v>2050</v>
      </c>
      <c r="Q155" s="14">
        <v>0.71</v>
      </c>
      <c r="R155" s="12">
        <f t="shared" ref="R155:R156" si="39">Q155</f>
        <v>0.71</v>
      </c>
      <c r="S155" s="12">
        <f t="shared" si="35"/>
        <v>0.71</v>
      </c>
    </row>
    <row r="156" spans="1:19" x14ac:dyDescent="0.35">
      <c r="A156" s="8" t="s">
        <v>361</v>
      </c>
      <c r="B156" s="8" t="s">
        <v>362</v>
      </c>
      <c r="C156" s="8" t="s">
        <v>75</v>
      </c>
      <c r="D156" s="8" t="str">
        <f t="shared" si="30"/>
        <v>Male</v>
      </c>
      <c r="E156" s="8">
        <v>47</v>
      </c>
      <c r="F156" s="8">
        <f t="shared" si="31"/>
        <v>47</v>
      </c>
      <c r="G156" s="8" t="s">
        <v>88</v>
      </c>
      <c r="H156" s="8" t="s">
        <v>89</v>
      </c>
      <c r="I156" s="8" t="s">
        <v>67</v>
      </c>
      <c r="J156" s="8">
        <v>29</v>
      </c>
      <c r="K156" s="8">
        <f t="shared" si="32"/>
        <v>29</v>
      </c>
      <c r="L156" s="8">
        <v>40</v>
      </c>
      <c r="M156" s="9">
        <f t="shared" si="33"/>
        <v>40</v>
      </c>
      <c r="N156" s="8">
        <v>4.3</v>
      </c>
      <c r="O156" s="10">
        <f t="shared" si="34"/>
        <v>4.3</v>
      </c>
      <c r="P156" s="8" t="s">
        <v>2051</v>
      </c>
      <c r="Q156" s="14">
        <v>0.95</v>
      </c>
      <c r="R156" s="12">
        <f t="shared" si="39"/>
        <v>0.95</v>
      </c>
      <c r="S156" s="12">
        <f t="shared" si="35"/>
        <v>0.95</v>
      </c>
    </row>
    <row r="157" spans="1:19" x14ac:dyDescent="0.35">
      <c r="A157" s="8" t="s">
        <v>363</v>
      </c>
      <c r="B157" s="8" t="s">
        <v>364</v>
      </c>
      <c r="C157" s="8" t="s">
        <v>70</v>
      </c>
      <c r="D157" s="8" t="str">
        <f t="shared" si="30"/>
        <v>Male</v>
      </c>
      <c r="E157" s="8">
        <v>60</v>
      </c>
      <c r="F157" s="8">
        <f t="shared" si="31"/>
        <v>60</v>
      </c>
      <c r="G157" s="8" t="s">
        <v>84</v>
      </c>
      <c r="H157" s="8" t="s">
        <v>85</v>
      </c>
      <c r="I157" s="8" t="s">
        <v>20</v>
      </c>
      <c r="J157" s="8">
        <v>15</v>
      </c>
      <c r="K157" s="8">
        <f t="shared" si="32"/>
        <v>15</v>
      </c>
      <c r="L157" s="8">
        <v>100</v>
      </c>
      <c r="M157" s="9">
        <f t="shared" si="33"/>
        <v>100</v>
      </c>
      <c r="N157" s="8">
        <v>1.5</v>
      </c>
      <c r="O157" s="10">
        <f t="shared" si="34"/>
        <v>1.5</v>
      </c>
      <c r="P157" s="8" t="s">
        <v>2050</v>
      </c>
      <c r="Q157" s="8">
        <v>80</v>
      </c>
      <c r="R157" s="12">
        <v>0.8</v>
      </c>
      <c r="S157" s="12">
        <f t="shared" si="35"/>
        <v>0.8</v>
      </c>
    </row>
    <row r="158" spans="1:19" x14ac:dyDescent="0.35">
      <c r="A158" s="8" t="s">
        <v>365</v>
      </c>
      <c r="B158" s="8" t="s">
        <v>366</v>
      </c>
      <c r="C158" s="8" t="s">
        <v>7</v>
      </c>
      <c r="D158" s="8" t="str">
        <f t="shared" si="30"/>
        <v>Female</v>
      </c>
      <c r="E158" s="8">
        <v>43</v>
      </c>
      <c r="F158" s="8">
        <f t="shared" si="31"/>
        <v>43</v>
      </c>
      <c r="G158" s="8" t="s">
        <v>2</v>
      </c>
      <c r="H158" s="8" t="s">
        <v>3</v>
      </c>
      <c r="I158" s="8" t="s">
        <v>33</v>
      </c>
      <c r="J158" s="8">
        <v>9</v>
      </c>
      <c r="K158" s="8">
        <f t="shared" si="32"/>
        <v>9</v>
      </c>
      <c r="L158" s="8">
        <v>20</v>
      </c>
      <c r="M158" s="9">
        <f t="shared" si="33"/>
        <v>20</v>
      </c>
      <c r="N158" s="8">
        <v>2.2000000000000002</v>
      </c>
      <c r="O158" s="10">
        <f t="shared" si="34"/>
        <v>2.2000000000000002</v>
      </c>
      <c r="P158" s="8" t="s">
        <v>2050</v>
      </c>
      <c r="Q158" s="13"/>
      <c r="S158" s="12">
        <f t="shared" si="35"/>
        <v>0.79269417475728277</v>
      </c>
    </row>
    <row r="159" spans="1:19" x14ac:dyDescent="0.35">
      <c r="A159" s="8" t="s">
        <v>367</v>
      </c>
      <c r="B159" s="8" t="s">
        <v>368</v>
      </c>
      <c r="C159" s="8" t="s">
        <v>75</v>
      </c>
      <c r="D159" s="8" t="str">
        <f t="shared" si="30"/>
        <v>Male</v>
      </c>
      <c r="E159" s="8">
        <v>56</v>
      </c>
      <c r="F159" s="8">
        <f t="shared" si="31"/>
        <v>56</v>
      </c>
      <c r="G159" s="8" t="s">
        <v>128</v>
      </c>
      <c r="H159" s="8" t="s">
        <v>129</v>
      </c>
      <c r="I159" s="8" t="s">
        <v>33</v>
      </c>
      <c r="J159" s="13"/>
      <c r="K159" s="8">
        <f t="shared" si="32"/>
        <v>9</v>
      </c>
      <c r="L159" s="8">
        <v>100</v>
      </c>
      <c r="M159" s="9">
        <f t="shared" si="33"/>
        <v>100</v>
      </c>
      <c r="N159" s="8">
        <v>3.2</v>
      </c>
      <c r="O159" s="10">
        <f t="shared" si="34"/>
        <v>3.2</v>
      </c>
      <c r="P159" s="8" t="s">
        <v>2050</v>
      </c>
      <c r="Q159" s="14">
        <v>0.62</v>
      </c>
      <c r="R159" s="12">
        <f t="shared" ref="R159:R163" si="40">Q159</f>
        <v>0.62</v>
      </c>
      <c r="S159" s="12">
        <f t="shared" si="35"/>
        <v>0.62</v>
      </c>
    </row>
    <row r="160" spans="1:19" x14ac:dyDescent="0.35">
      <c r="A160" s="8" t="s">
        <v>369</v>
      </c>
      <c r="B160" s="8" t="s">
        <v>370</v>
      </c>
      <c r="C160" s="8" t="s">
        <v>13</v>
      </c>
      <c r="D160" s="8" t="str">
        <f t="shared" si="30"/>
        <v>Male</v>
      </c>
      <c r="E160" s="8">
        <v>42</v>
      </c>
      <c r="F160" s="8">
        <f t="shared" si="31"/>
        <v>42</v>
      </c>
      <c r="G160" s="8" t="s">
        <v>99</v>
      </c>
      <c r="H160" s="8" t="s">
        <v>100</v>
      </c>
      <c r="I160" s="8" t="s">
        <v>67</v>
      </c>
      <c r="J160" s="8">
        <v>2</v>
      </c>
      <c r="K160" s="8">
        <f t="shared" si="32"/>
        <v>2</v>
      </c>
      <c r="L160" s="8">
        <v>50</v>
      </c>
      <c r="M160" s="9">
        <f t="shared" si="33"/>
        <v>50</v>
      </c>
      <c r="N160" s="8">
        <v>1.9</v>
      </c>
      <c r="O160" s="10">
        <f t="shared" si="34"/>
        <v>1.9</v>
      </c>
      <c r="P160" s="8" t="s">
        <v>2050</v>
      </c>
      <c r="Q160" s="14">
        <v>0.95</v>
      </c>
      <c r="R160" s="12">
        <f t="shared" si="40"/>
        <v>0.95</v>
      </c>
      <c r="S160" s="12">
        <f t="shared" si="35"/>
        <v>0.95</v>
      </c>
    </row>
    <row r="161" spans="1:19" x14ac:dyDescent="0.35">
      <c r="A161" s="8" t="s">
        <v>371</v>
      </c>
      <c r="B161" s="8" t="s">
        <v>372</v>
      </c>
      <c r="C161" s="8" t="s">
        <v>55</v>
      </c>
      <c r="D161" s="8" t="str">
        <f t="shared" si="30"/>
        <v>Female</v>
      </c>
      <c r="E161" s="8">
        <v>20</v>
      </c>
      <c r="F161" s="8">
        <f t="shared" si="31"/>
        <v>20</v>
      </c>
      <c r="G161" s="8" t="s">
        <v>162</v>
      </c>
      <c r="H161" s="8" t="s">
        <v>51</v>
      </c>
      <c r="I161" s="8" t="s">
        <v>16</v>
      </c>
      <c r="J161" s="8">
        <v>0</v>
      </c>
      <c r="K161" s="8">
        <f t="shared" si="32"/>
        <v>0</v>
      </c>
      <c r="L161" s="8">
        <v>40</v>
      </c>
      <c r="M161" s="9">
        <f t="shared" si="33"/>
        <v>40</v>
      </c>
      <c r="N161" s="8">
        <v>2.5</v>
      </c>
      <c r="O161" s="10">
        <f t="shared" si="34"/>
        <v>2.5</v>
      </c>
      <c r="P161" s="8" t="s">
        <v>2050</v>
      </c>
      <c r="Q161" s="14">
        <v>0.79</v>
      </c>
      <c r="R161" s="12">
        <f t="shared" si="40"/>
        <v>0.79</v>
      </c>
      <c r="S161" s="12">
        <f t="shared" si="35"/>
        <v>0.79</v>
      </c>
    </row>
    <row r="162" spans="1:19" x14ac:dyDescent="0.35">
      <c r="A162" s="8" t="s">
        <v>373</v>
      </c>
      <c r="B162" s="8" t="s">
        <v>374</v>
      </c>
      <c r="C162" s="8" t="s">
        <v>22</v>
      </c>
      <c r="D162" s="8" t="str">
        <f t="shared" si="30"/>
        <v>Female</v>
      </c>
      <c r="E162" s="8">
        <v>47</v>
      </c>
      <c r="F162" s="8">
        <f t="shared" si="31"/>
        <v>47</v>
      </c>
      <c r="G162" s="8" t="s">
        <v>31</v>
      </c>
      <c r="H162" s="8" t="s">
        <v>32</v>
      </c>
      <c r="I162" s="8" t="s">
        <v>52</v>
      </c>
      <c r="J162" s="8">
        <v>12</v>
      </c>
      <c r="K162" s="8">
        <f t="shared" si="32"/>
        <v>12</v>
      </c>
      <c r="L162" s="8">
        <v>40</v>
      </c>
      <c r="M162" s="9">
        <f t="shared" si="33"/>
        <v>40</v>
      </c>
      <c r="N162" s="8">
        <v>4.5</v>
      </c>
      <c r="O162" s="10">
        <f t="shared" si="34"/>
        <v>4.5</v>
      </c>
      <c r="P162" s="8" t="s">
        <v>2050</v>
      </c>
      <c r="Q162" s="14">
        <v>0.62</v>
      </c>
      <c r="R162" s="12">
        <f t="shared" si="40"/>
        <v>0.62</v>
      </c>
      <c r="S162" s="12">
        <f t="shared" si="35"/>
        <v>0.62</v>
      </c>
    </row>
    <row r="163" spans="1:19" x14ac:dyDescent="0.35">
      <c r="A163" s="8" t="s">
        <v>375</v>
      </c>
      <c r="B163" s="8" t="s">
        <v>376</v>
      </c>
      <c r="C163" s="8" t="s">
        <v>30</v>
      </c>
      <c r="D163" s="8" t="str">
        <f t="shared" si="30"/>
        <v>Male</v>
      </c>
      <c r="E163" s="13"/>
      <c r="F163" s="8">
        <f t="shared" si="31"/>
        <v>41</v>
      </c>
      <c r="G163" s="8" t="s">
        <v>50</v>
      </c>
      <c r="H163" s="8" t="s">
        <v>51</v>
      </c>
      <c r="I163" s="8" t="s">
        <v>33</v>
      </c>
      <c r="J163" s="8">
        <v>12</v>
      </c>
      <c r="K163" s="8">
        <f t="shared" si="32"/>
        <v>12</v>
      </c>
      <c r="L163" s="8">
        <v>30</v>
      </c>
      <c r="M163" s="9">
        <f t="shared" si="33"/>
        <v>30</v>
      </c>
      <c r="N163" s="8">
        <v>4.0999999999999996</v>
      </c>
      <c r="O163" s="10">
        <f t="shared" si="34"/>
        <v>4.0999999999999996</v>
      </c>
      <c r="P163" s="8" t="s">
        <v>2050</v>
      </c>
      <c r="Q163" s="14">
        <v>0.68</v>
      </c>
      <c r="R163" s="12">
        <f t="shared" si="40"/>
        <v>0.68</v>
      </c>
      <c r="S163" s="12">
        <f t="shared" si="35"/>
        <v>0.68</v>
      </c>
    </row>
    <row r="164" spans="1:19" x14ac:dyDescent="0.35">
      <c r="A164" s="8" t="s">
        <v>377</v>
      </c>
      <c r="B164" s="8" t="s">
        <v>378</v>
      </c>
      <c r="C164" s="8" t="s">
        <v>70</v>
      </c>
      <c r="D164" s="8" t="str">
        <f t="shared" si="30"/>
        <v>Male</v>
      </c>
      <c r="E164" s="8">
        <v>56</v>
      </c>
      <c r="F164" s="8">
        <f t="shared" si="31"/>
        <v>56</v>
      </c>
      <c r="G164" s="8" t="s">
        <v>31</v>
      </c>
      <c r="H164" s="8" t="s">
        <v>32</v>
      </c>
      <c r="I164" s="8" t="s">
        <v>67</v>
      </c>
      <c r="J164" s="8">
        <v>15</v>
      </c>
      <c r="K164" s="8">
        <f t="shared" si="32"/>
        <v>15</v>
      </c>
      <c r="L164" s="8">
        <v>75</v>
      </c>
      <c r="M164" s="9">
        <f t="shared" si="33"/>
        <v>75</v>
      </c>
      <c r="N164" s="8">
        <v>0</v>
      </c>
      <c r="O164" s="11">
        <f t="shared" si="34"/>
        <v>0</v>
      </c>
      <c r="P164" s="8" t="s">
        <v>2050</v>
      </c>
      <c r="Q164" s="13"/>
      <c r="S164" s="12">
        <f t="shared" si="35"/>
        <v>0.79269417475728277</v>
      </c>
    </row>
    <row r="165" spans="1:19" x14ac:dyDescent="0.35">
      <c r="A165" s="8" t="s">
        <v>379</v>
      </c>
      <c r="B165" s="8" t="s">
        <v>380</v>
      </c>
      <c r="C165" s="8" t="s">
        <v>75</v>
      </c>
      <c r="D165" s="8" t="str">
        <f t="shared" si="30"/>
        <v>Male</v>
      </c>
      <c r="E165" s="8">
        <v>59</v>
      </c>
      <c r="F165" s="8">
        <f t="shared" si="31"/>
        <v>59</v>
      </c>
      <c r="G165" s="8" t="s">
        <v>46</v>
      </c>
      <c r="H165" s="8" t="s">
        <v>9</v>
      </c>
      <c r="I165" s="8" t="s">
        <v>67</v>
      </c>
      <c r="J165" s="8">
        <v>29</v>
      </c>
      <c r="K165" s="8">
        <f t="shared" si="32"/>
        <v>29</v>
      </c>
      <c r="L165" s="8">
        <v>75</v>
      </c>
      <c r="M165" s="9">
        <f t="shared" si="33"/>
        <v>75</v>
      </c>
      <c r="O165" s="10">
        <f t="shared" si="34"/>
        <v>2.5125695216907653</v>
      </c>
      <c r="P165" s="8" t="s">
        <v>2050</v>
      </c>
      <c r="Q165" s="14">
        <v>0.8</v>
      </c>
      <c r="R165" s="12">
        <f t="shared" ref="R165:R169" si="41">Q165</f>
        <v>0.8</v>
      </c>
      <c r="S165" s="12">
        <f t="shared" si="35"/>
        <v>0.8</v>
      </c>
    </row>
    <row r="166" spans="1:19" x14ac:dyDescent="0.35">
      <c r="A166" s="8" t="s">
        <v>381</v>
      </c>
      <c r="B166" s="8" t="s">
        <v>382</v>
      </c>
      <c r="C166" s="8" t="s">
        <v>41</v>
      </c>
      <c r="D166" s="8" t="str">
        <f t="shared" si="30"/>
        <v>Male</v>
      </c>
      <c r="E166" s="8">
        <v>56</v>
      </c>
      <c r="F166" s="8">
        <f t="shared" si="31"/>
        <v>56</v>
      </c>
      <c r="G166" s="8" t="s">
        <v>63</v>
      </c>
      <c r="H166" s="8" t="s">
        <v>64</v>
      </c>
      <c r="I166" s="8" t="s">
        <v>56</v>
      </c>
      <c r="J166" s="8">
        <v>15</v>
      </c>
      <c r="K166" s="8">
        <f t="shared" si="32"/>
        <v>15</v>
      </c>
      <c r="L166" s="8">
        <v>40</v>
      </c>
      <c r="M166" s="9">
        <f t="shared" si="33"/>
        <v>40</v>
      </c>
      <c r="N166" s="8">
        <v>3.7</v>
      </c>
      <c r="O166" s="10">
        <f t="shared" si="34"/>
        <v>3.7</v>
      </c>
      <c r="P166" s="13" t="s">
        <v>2050</v>
      </c>
      <c r="Q166" s="14">
        <v>0.92</v>
      </c>
      <c r="R166" s="12">
        <f t="shared" si="41"/>
        <v>0.92</v>
      </c>
      <c r="S166" s="12">
        <f t="shared" si="35"/>
        <v>0.92</v>
      </c>
    </row>
    <row r="167" spans="1:19" x14ac:dyDescent="0.35">
      <c r="A167" s="8" t="s">
        <v>383</v>
      </c>
      <c r="B167" s="8" t="s">
        <v>384</v>
      </c>
      <c r="C167" s="8" t="s">
        <v>22</v>
      </c>
      <c r="D167" s="8" t="str">
        <f t="shared" si="30"/>
        <v>Female</v>
      </c>
      <c r="E167" s="8">
        <v>31</v>
      </c>
      <c r="F167" s="8">
        <f t="shared" si="31"/>
        <v>31</v>
      </c>
      <c r="G167" s="8" t="s">
        <v>128</v>
      </c>
      <c r="H167" s="8" t="s">
        <v>129</v>
      </c>
      <c r="I167" s="8" t="s">
        <v>20</v>
      </c>
      <c r="J167" s="13"/>
      <c r="K167" s="8">
        <f t="shared" si="32"/>
        <v>9</v>
      </c>
      <c r="L167" s="8">
        <v>75</v>
      </c>
      <c r="M167" s="9">
        <f t="shared" si="33"/>
        <v>75</v>
      </c>
      <c r="N167" s="8">
        <v>1.3</v>
      </c>
      <c r="O167" s="10">
        <f t="shared" si="34"/>
        <v>1.3</v>
      </c>
      <c r="P167" s="8" t="s">
        <v>2051</v>
      </c>
      <c r="Q167" s="14">
        <v>0.65</v>
      </c>
      <c r="R167" s="12">
        <f t="shared" si="41"/>
        <v>0.65</v>
      </c>
      <c r="S167" s="12">
        <f t="shared" si="35"/>
        <v>0.65</v>
      </c>
    </row>
    <row r="168" spans="1:19" x14ac:dyDescent="0.35">
      <c r="A168" s="8" t="s">
        <v>385</v>
      </c>
      <c r="B168" s="8" t="s">
        <v>386</v>
      </c>
      <c r="C168" s="8" t="s">
        <v>30</v>
      </c>
      <c r="D168" s="8" t="str">
        <f t="shared" si="30"/>
        <v>Male</v>
      </c>
      <c r="E168" s="8">
        <v>60</v>
      </c>
      <c r="F168" s="8">
        <f t="shared" si="31"/>
        <v>60</v>
      </c>
      <c r="G168" s="8" t="s">
        <v>88</v>
      </c>
      <c r="H168" s="8" t="s">
        <v>89</v>
      </c>
      <c r="I168" s="8" t="s">
        <v>10</v>
      </c>
      <c r="J168" s="8">
        <v>33</v>
      </c>
      <c r="K168" s="8">
        <f t="shared" si="32"/>
        <v>33</v>
      </c>
      <c r="L168" s="8">
        <v>40</v>
      </c>
      <c r="M168" s="9">
        <f t="shared" si="33"/>
        <v>40</v>
      </c>
      <c r="N168" s="8">
        <v>3.6</v>
      </c>
      <c r="O168" s="10">
        <f t="shared" si="34"/>
        <v>3.6</v>
      </c>
      <c r="P168" s="8" t="s">
        <v>2051</v>
      </c>
      <c r="Q168" s="14">
        <v>0.87</v>
      </c>
      <c r="R168" s="12">
        <f t="shared" si="41"/>
        <v>0.87</v>
      </c>
      <c r="S168" s="12">
        <f t="shared" si="35"/>
        <v>0.87</v>
      </c>
    </row>
    <row r="169" spans="1:19" x14ac:dyDescent="0.35">
      <c r="A169" s="8" t="s">
        <v>387</v>
      </c>
      <c r="B169" s="8" t="s">
        <v>388</v>
      </c>
      <c r="C169" s="8" t="s">
        <v>7</v>
      </c>
      <c r="D169" s="8" t="str">
        <f t="shared" si="30"/>
        <v>Female</v>
      </c>
      <c r="E169" s="8">
        <v>31</v>
      </c>
      <c r="F169" s="8">
        <f t="shared" si="31"/>
        <v>31</v>
      </c>
      <c r="G169" s="8" t="s">
        <v>103</v>
      </c>
      <c r="H169" s="8" t="s">
        <v>9</v>
      </c>
      <c r="I169" s="8" t="s">
        <v>20</v>
      </c>
      <c r="J169" s="8">
        <v>10</v>
      </c>
      <c r="K169" s="8">
        <f t="shared" si="32"/>
        <v>10</v>
      </c>
      <c r="L169" s="8">
        <v>75</v>
      </c>
      <c r="M169" s="9">
        <f t="shared" si="33"/>
        <v>75</v>
      </c>
      <c r="N169" s="8">
        <v>0</v>
      </c>
      <c r="O169" s="11">
        <f t="shared" si="34"/>
        <v>0</v>
      </c>
      <c r="P169" s="8" t="s">
        <v>2050</v>
      </c>
      <c r="Q169" s="14">
        <v>0.7</v>
      </c>
      <c r="R169" s="12">
        <f t="shared" si="41"/>
        <v>0.7</v>
      </c>
      <c r="S169" s="12">
        <f t="shared" si="35"/>
        <v>0.7</v>
      </c>
    </row>
    <row r="170" spans="1:19" x14ac:dyDescent="0.35">
      <c r="A170" s="8" t="s">
        <v>389</v>
      </c>
      <c r="B170" s="8" t="s">
        <v>390</v>
      </c>
      <c r="C170" s="8" t="s">
        <v>41</v>
      </c>
      <c r="D170" s="8" t="str">
        <f t="shared" si="30"/>
        <v>Male</v>
      </c>
      <c r="E170" s="8">
        <v>60</v>
      </c>
      <c r="F170" s="8">
        <f t="shared" si="31"/>
        <v>60</v>
      </c>
      <c r="G170" s="8" t="s">
        <v>50</v>
      </c>
      <c r="H170" s="8" t="s">
        <v>51</v>
      </c>
      <c r="I170" s="8" t="s">
        <v>56</v>
      </c>
      <c r="J170" s="8">
        <v>20</v>
      </c>
      <c r="K170" s="8">
        <f t="shared" si="32"/>
        <v>20</v>
      </c>
      <c r="L170" s="8">
        <v>40</v>
      </c>
      <c r="M170" s="9">
        <f t="shared" si="33"/>
        <v>40</v>
      </c>
      <c r="N170" s="8">
        <v>1.4</v>
      </c>
      <c r="O170" s="10">
        <f t="shared" si="34"/>
        <v>1.4</v>
      </c>
      <c r="P170" s="8" t="s">
        <v>2050</v>
      </c>
      <c r="Q170" s="8">
        <v>87</v>
      </c>
      <c r="R170" s="12">
        <v>0.87</v>
      </c>
      <c r="S170" s="12">
        <f t="shared" si="35"/>
        <v>0.87</v>
      </c>
    </row>
    <row r="171" spans="1:19" x14ac:dyDescent="0.35">
      <c r="A171" s="8" t="s">
        <v>391</v>
      </c>
      <c r="B171" s="8" t="s">
        <v>392</v>
      </c>
      <c r="C171" s="8" t="s">
        <v>41</v>
      </c>
      <c r="D171" s="8" t="str">
        <f t="shared" si="30"/>
        <v>Male</v>
      </c>
      <c r="E171" s="8">
        <v>46</v>
      </c>
      <c r="F171" s="8">
        <f t="shared" si="31"/>
        <v>46</v>
      </c>
      <c r="G171" s="8" t="s">
        <v>110</v>
      </c>
      <c r="H171" s="8" t="s">
        <v>111</v>
      </c>
      <c r="I171" s="8" t="s">
        <v>67</v>
      </c>
      <c r="J171" s="8">
        <v>23</v>
      </c>
      <c r="K171" s="8">
        <f t="shared" si="32"/>
        <v>23</v>
      </c>
      <c r="L171" s="8">
        <v>20</v>
      </c>
      <c r="M171" s="9">
        <f t="shared" si="33"/>
        <v>20</v>
      </c>
      <c r="N171" s="8">
        <v>2.9</v>
      </c>
      <c r="O171" s="10">
        <f t="shared" si="34"/>
        <v>2.9</v>
      </c>
      <c r="P171" s="8" t="s">
        <v>2050</v>
      </c>
      <c r="Q171" s="14">
        <v>0.72</v>
      </c>
      <c r="R171" s="12">
        <f t="shared" ref="R171:R173" si="42">Q171</f>
        <v>0.72</v>
      </c>
      <c r="S171" s="12">
        <f t="shared" si="35"/>
        <v>0.72</v>
      </c>
    </row>
    <row r="172" spans="1:19" x14ac:dyDescent="0.35">
      <c r="A172" s="8" t="s">
        <v>393</v>
      </c>
      <c r="B172" s="8" t="s">
        <v>394</v>
      </c>
      <c r="C172" s="8" t="s">
        <v>19</v>
      </c>
      <c r="D172" s="8" t="str">
        <f t="shared" si="30"/>
        <v>Female</v>
      </c>
      <c r="E172" s="13"/>
      <c r="F172" s="8">
        <f t="shared" si="31"/>
        <v>41</v>
      </c>
      <c r="G172" s="8" t="s">
        <v>25</v>
      </c>
      <c r="H172" s="8" t="s">
        <v>26</v>
      </c>
      <c r="I172" s="8" t="s">
        <v>4</v>
      </c>
      <c r="J172" s="13"/>
      <c r="K172" s="8">
        <f t="shared" si="32"/>
        <v>9</v>
      </c>
      <c r="L172" s="8">
        <v>40</v>
      </c>
      <c r="M172" s="9">
        <f t="shared" si="33"/>
        <v>40</v>
      </c>
      <c r="N172" s="8">
        <v>2.8</v>
      </c>
      <c r="O172" s="10">
        <f t="shared" si="34"/>
        <v>2.8</v>
      </c>
      <c r="P172" s="8" t="s">
        <v>2050</v>
      </c>
      <c r="Q172" s="14">
        <v>0.8</v>
      </c>
      <c r="R172" s="12">
        <f t="shared" si="42"/>
        <v>0.8</v>
      </c>
      <c r="S172" s="12">
        <f t="shared" si="35"/>
        <v>0.8</v>
      </c>
    </row>
    <row r="173" spans="1:19" x14ac:dyDescent="0.35">
      <c r="A173" s="8" t="s">
        <v>395</v>
      </c>
      <c r="B173" s="8" t="s">
        <v>396</v>
      </c>
      <c r="C173" s="8" t="s">
        <v>75</v>
      </c>
      <c r="D173" s="8" t="str">
        <f t="shared" si="30"/>
        <v>Male</v>
      </c>
      <c r="E173" s="8">
        <v>34</v>
      </c>
      <c r="F173" s="8">
        <f t="shared" si="31"/>
        <v>34</v>
      </c>
      <c r="G173" s="8" t="s">
        <v>63</v>
      </c>
      <c r="H173" s="8" t="s">
        <v>64</v>
      </c>
      <c r="I173" s="8" t="s">
        <v>52</v>
      </c>
      <c r="J173" s="8">
        <v>0</v>
      </c>
      <c r="K173" s="8">
        <f t="shared" si="32"/>
        <v>0</v>
      </c>
      <c r="L173" s="8">
        <v>20</v>
      </c>
      <c r="M173" s="9">
        <f t="shared" si="33"/>
        <v>20</v>
      </c>
      <c r="N173" s="8">
        <v>1.7</v>
      </c>
      <c r="O173" s="10">
        <f t="shared" si="34"/>
        <v>1.7</v>
      </c>
      <c r="P173" s="8" t="s">
        <v>2050</v>
      </c>
      <c r="Q173" s="14">
        <v>0.66</v>
      </c>
      <c r="R173" s="12">
        <f t="shared" si="42"/>
        <v>0.66</v>
      </c>
      <c r="S173" s="12">
        <f t="shared" si="35"/>
        <v>0.66</v>
      </c>
    </row>
    <row r="174" spans="1:19" x14ac:dyDescent="0.35">
      <c r="A174" s="8" t="s">
        <v>397</v>
      </c>
      <c r="B174" s="8" t="s">
        <v>398</v>
      </c>
      <c r="C174" s="8" t="s">
        <v>1</v>
      </c>
      <c r="D174" s="8" t="str">
        <f t="shared" si="30"/>
        <v>Female</v>
      </c>
      <c r="E174" s="8">
        <v>42</v>
      </c>
      <c r="F174" s="8">
        <f t="shared" si="31"/>
        <v>42</v>
      </c>
      <c r="G174" s="8" t="s">
        <v>25</v>
      </c>
      <c r="H174" s="8" t="s">
        <v>26</v>
      </c>
      <c r="I174" s="8" t="s">
        <v>16</v>
      </c>
      <c r="J174" s="8">
        <v>7</v>
      </c>
      <c r="K174" s="8">
        <f t="shared" si="32"/>
        <v>7</v>
      </c>
      <c r="L174" s="8">
        <v>40</v>
      </c>
      <c r="M174" s="9">
        <f t="shared" si="33"/>
        <v>40</v>
      </c>
      <c r="N174" s="8">
        <v>0</v>
      </c>
      <c r="O174" s="11">
        <f t="shared" si="34"/>
        <v>0</v>
      </c>
      <c r="P174" s="8" t="s">
        <v>2051</v>
      </c>
      <c r="Q174" s="13"/>
      <c r="S174" s="12">
        <f t="shared" si="35"/>
        <v>0.79269417475728277</v>
      </c>
    </row>
    <row r="175" spans="1:19" x14ac:dyDescent="0.35">
      <c r="A175" s="8" t="s">
        <v>399</v>
      </c>
      <c r="B175" s="8" t="s">
        <v>400</v>
      </c>
      <c r="C175" s="8" t="s">
        <v>70</v>
      </c>
      <c r="D175" s="8" t="str">
        <f t="shared" si="30"/>
        <v>Male</v>
      </c>
      <c r="E175" s="8">
        <v>31</v>
      </c>
      <c r="F175" s="8">
        <f t="shared" si="31"/>
        <v>31</v>
      </c>
      <c r="G175" s="8" t="s">
        <v>46</v>
      </c>
      <c r="H175" s="8" t="s">
        <v>9</v>
      </c>
      <c r="I175" s="8" t="s">
        <v>33</v>
      </c>
      <c r="J175" s="8">
        <v>4</v>
      </c>
      <c r="K175" s="8">
        <f t="shared" si="32"/>
        <v>4</v>
      </c>
      <c r="L175" s="8">
        <v>75</v>
      </c>
      <c r="M175" s="9">
        <f t="shared" si="33"/>
        <v>75</v>
      </c>
      <c r="N175" s="8">
        <v>1.1000000000000001</v>
      </c>
      <c r="O175" s="10">
        <f t="shared" si="34"/>
        <v>1.1000000000000001</v>
      </c>
      <c r="P175" s="8" t="s">
        <v>2051</v>
      </c>
      <c r="Q175" s="14">
        <v>0.64</v>
      </c>
      <c r="R175" s="12">
        <f t="shared" ref="R175:R187" si="43">Q175</f>
        <v>0.64</v>
      </c>
      <c r="S175" s="12">
        <f t="shared" si="35"/>
        <v>0.64</v>
      </c>
    </row>
    <row r="176" spans="1:19" x14ac:dyDescent="0.35">
      <c r="A176" s="8" t="s">
        <v>401</v>
      </c>
      <c r="B176" s="8" t="s">
        <v>402</v>
      </c>
      <c r="C176" s="8" t="s">
        <v>13</v>
      </c>
      <c r="D176" s="8" t="str">
        <f t="shared" si="30"/>
        <v>Male</v>
      </c>
      <c r="E176" s="8">
        <v>29</v>
      </c>
      <c r="F176" s="8">
        <f t="shared" si="31"/>
        <v>29</v>
      </c>
      <c r="G176" s="8" t="s">
        <v>84</v>
      </c>
      <c r="H176" s="8" t="s">
        <v>85</v>
      </c>
      <c r="I176" s="8" t="s">
        <v>52</v>
      </c>
      <c r="J176" s="8">
        <v>9</v>
      </c>
      <c r="K176" s="8">
        <f t="shared" si="32"/>
        <v>9</v>
      </c>
      <c r="L176" s="8">
        <v>20</v>
      </c>
      <c r="M176" s="9">
        <f t="shared" si="33"/>
        <v>20</v>
      </c>
      <c r="O176" s="10">
        <f t="shared" si="34"/>
        <v>2.5125695216907653</v>
      </c>
      <c r="P176" s="13" t="s">
        <v>2050</v>
      </c>
      <c r="Q176" s="14">
        <v>0.68</v>
      </c>
      <c r="R176" s="12">
        <f t="shared" si="43"/>
        <v>0.68</v>
      </c>
      <c r="S176" s="12">
        <f t="shared" si="35"/>
        <v>0.68</v>
      </c>
    </row>
    <row r="177" spans="1:19" x14ac:dyDescent="0.35">
      <c r="A177" s="8" t="s">
        <v>403</v>
      </c>
      <c r="B177" s="8" t="s">
        <v>404</v>
      </c>
      <c r="C177" s="8" t="s">
        <v>22</v>
      </c>
      <c r="D177" s="8" t="str">
        <f t="shared" si="30"/>
        <v>Female</v>
      </c>
      <c r="E177" s="8">
        <v>57</v>
      </c>
      <c r="F177" s="8">
        <f t="shared" si="31"/>
        <v>57</v>
      </c>
      <c r="G177" s="8" t="s">
        <v>8</v>
      </c>
      <c r="H177" s="8" t="s">
        <v>9</v>
      </c>
      <c r="I177" s="8" t="s">
        <v>16</v>
      </c>
      <c r="J177" s="8">
        <v>17</v>
      </c>
      <c r="K177" s="8">
        <f t="shared" si="32"/>
        <v>17</v>
      </c>
      <c r="L177" s="8">
        <v>20</v>
      </c>
      <c r="M177" s="9">
        <f t="shared" si="33"/>
        <v>20</v>
      </c>
      <c r="N177" s="8">
        <v>3.6</v>
      </c>
      <c r="O177" s="10">
        <f t="shared" si="34"/>
        <v>3.6</v>
      </c>
      <c r="P177" s="8" t="s">
        <v>2050</v>
      </c>
      <c r="Q177" s="14">
        <v>0.63</v>
      </c>
      <c r="R177" s="12">
        <f t="shared" si="43"/>
        <v>0.63</v>
      </c>
      <c r="S177" s="12">
        <f t="shared" si="35"/>
        <v>0.63</v>
      </c>
    </row>
    <row r="178" spans="1:19" x14ac:dyDescent="0.35">
      <c r="A178" s="8" t="s">
        <v>405</v>
      </c>
      <c r="B178" s="8" t="s">
        <v>406</v>
      </c>
      <c r="C178" s="8" t="s">
        <v>41</v>
      </c>
      <c r="D178" s="8" t="str">
        <f t="shared" si="30"/>
        <v>Male</v>
      </c>
      <c r="E178" s="8">
        <v>47</v>
      </c>
      <c r="F178" s="8">
        <f t="shared" si="31"/>
        <v>47</v>
      </c>
      <c r="G178" s="8" t="s">
        <v>71</v>
      </c>
      <c r="H178" s="8" t="s">
        <v>72</v>
      </c>
      <c r="I178" s="8" t="s">
        <v>67</v>
      </c>
      <c r="J178" s="8">
        <v>8</v>
      </c>
      <c r="K178" s="8">
        <f t="shared" si="32"/>
        <v>8</v>
      </c>
      <c r="L178" s="8">
        <v>20</v>
      </c>
      <c r="M178" s="9">
        <f t="shared" si="33"/>
        <v>20</v>
      </c>
      <c r="N178" s="8">
        <v>4.5</v>
      </c>
      <c r="O178" s="10">
        <f t="shared" si="34"/>
        <v>4.5</v>
      </c>
      <c r="P178" s="8" t="s">
        <v>2051</v>
      </c>
      <c r="Q178" s="14">
        <v>0.72</v>
      </c>
      <c r="R178" s="12">
        <f t="shared" si="43"/>
        <v>0.72</v>
      </c>
      <c r="S178" s="12">
        <f t="shared" si="35"/>
        <v>0.72</v>
      </c>
    </row>
    <row r="179" spans="1:19" x14ac:dyDescent="0.35">
      <c r="A179" s="8" t="s">
        <v>407</v>
      </c>
      <c r="B179" s="8" t="s">
        <v>408</v>
      </c>
      <c r="C179" s="8" t="s">
        <v>41</v>
      </c>
      <c r="D179" s="8" t="str">
        <f t="shared" si="30"/>
        <v>Male</v>
      </c>
      <c r="E179" s="8">
        <v>47</v>
      </c>
      <c r="F179" s="8">
        <f t="shared" si="31"/>
        <v>47</v>
      </c>
      <c r="G179" s="8" t="s">
        <v>128</v>
      </c>
      <c r="H179" s="8" t="s">
        <v>129</v>
      </c>
      <c r="I179" s="8" t="s">
        <v>27</v>
      </c>
      <c r="J179" s="8">
        <v>14</v>
      </c>
      <c r="K179" s="8">
        <f t="shared" si="32"/>
        <v>14</v>
      </c>
      <c r="L179" s="8">
        <v>30</v>
      </c>
      <c r="M179" s="9">
        <f t="shared" si="33"/>
        <v>30</v>
      </c>
      <c r="N179" s="8">
        <v>0</v>
      </c>
      <c r="O179" s="11">
        <f t="shared" si="34"/>
        <v>0</v>
      </c>
      <c r="P179" s="8" t="s">
        <v>2051</v>
      </c>
      <c r="Q179" s="14">
        <v>0.86</v>
      </c>
      <c r="R179" s="12">
        <f t="shared" si="43"/>
        <v>0.86</v>
      </c>
      <c r="S179" s="12">
        <f t="shared" si="35"/>
        <v>0.86</v>
      </c>
    </row>
    <row r="180" spans="1:19" x14ac:dyDescent="0.35">
      <c r="A180" s="8" t="s">
        <v>409</v>
      </c>
      <c r="B180" s="8" t="s">
        <v>410</v>
      </c>
      <c r="C180" s="8" t="s">
        <v>7</v>
      </c>
      <c r="D180" s="8" t="str">
        <f t="shared" si="30"/>
        <v>Female</v>
      </c>
      <c r="E180" s="8">
        <v>45</v>
      </c>
      <c r="F180" s="8">
        <f t="shared" si="31"/>
        <v>45</v>
      </c>
      <c r="G180" s="8" t="s">
        <v>110</v>
      </c>
      <c r="H180" s="8" t="s">
        <v>111</v>
      </c>
      <c r="I180" s="8" t="s">
        <v>16</v>
      </c>
      <c r="J180" s="8">
        <v>21</v>
      </c>
      <c r="K180" s="8">
        <f t="shared" si="32"/>
        <v>21</v>
      </c>
      <c r="L180" s="8">
        <v>30</v>
      </c>
      <c r="M180" s="9">
        <f t="shared" si="33"/>
        <v>30</v>
      </c>
      <c r="N180" s="8">
        <v>1.5</v>
      </c>
      <c r="O180" s="10">
        <f t="shared" si="34"/>
        <v>1.5</v>
      </c>
      <c r="P180" s="8" t="s">
        <v>2051</v>
      </c>
      <c r="Q180" s="14">
        <v>0.73</v>
      </c>
      <c r="R180" s="12">
        <f t="shared" si="43"/>
        <v>0.73</v>
      </c>
      <c r="S180" s="12">
        <f t="shared" si="35"/>
        <v>0.73</v>
      </c>
    </row>
    <row r="181" spans="1:19" x14ac:dyDescent="0.35">
      <c r="A181" s="8" t="s">
        <v>411</v>
      </c>
      <c r="B181" s="8" t="s">
        <v>412</v>
      </c>
      <c r="C181" s="8" t="s">
        <v>30</v>
      </c>
      <c r="D181" s="8" t="str">
        <f t="shared" si="30"/>
        <v>Male</v>
      </c>
      <c r="E181" s="8">
        <v>24</v>
      </c>
      <c r="F181" s="8">
        <f t="shared" si="31"/>
        <v>24</v>
      </c>
      <c r="G181" s="8" t="s">
        <v>42</v>
      </c>
      <c r="H181" s="8" t="s">
        <v>43</v>
      </c>
      <c r="I181" s="8" t="s">
        <v>90</v>
      </c>
      <c r="J181" s="8">
        <v>1</v>
      </c>
      <c r="K181" s="8">
        <f t="shared" si="32"/>
        <v>1</v>
      </c>
      <c r="L181" s="8">
        <v>30</v>
      </c>
      <c r="M181" s="9">
        <f t="shared" si="33"/>
        <v>30</v>
      </c>
      <c r="N181" s="8">
        <v>3.7</v>
      </c>
      <c r="O181" s="10">
        <f t="shared" si="34"/>
        <v>3.7</v>
      </c>
      <c r="P181" s="8" t="s">
        <v>2050</v>
      </c>
      <c r="Q181" s="14">
        <v>0.95</v>
      </c>
      <c r="R181" s="12">
        <f t="shared" si="43"/>
        <v>0.95</v>
      </c>
      <c r="S181" s="12">
        <f t="shared" si="35"/>
        <v>0.95</v>
      </c>
    </row>
    <row r="182" spans="1:19" x14ac:dyDescent="0.35">
      <c r="A182" s="8" t="s">
        <v>413</v>
      </c>
      <c r="B182" s="8" t="s">
        <v>414</v>
      </c>
      <c r="C182" s="8" t="s">
        <v>7</v>
      </c>
      <c r="D182" s="8" t="str">
        <f t="shared" si="30"/>
        <v>Female</v>
      </c>
      <c r="E182" s="8">
        <v>31</v>
      </c>
      <c r="F182" s="8">
        <f t="shared" si="31"/>
        <v>31</v>
      </c>
      <c r="G182" s="8" t="s">
        <v>50</v>
      </c>
      <c r="H182" s="8" t="s">
        <v>51</v>
      </c>
      <c r="I182" s="8" t="s">
        <v>10</v>
      </c>
      <c r="J182" s="8">
        <v>12</v>
      </c>
      <c r="K182" s="8">
        <f t="shared" si="32"/>
        <v>12</v>
      </c>
      <c r="L182" s="8">
        <v>20</v>
      </c>
      <c r="M182" s="9">
        <f t="shared" si="33"/>
        <v>20</v>
      </c>
      <c r="N182" s="8">
        <v>2.2999999999999998</v>
      </c>
      <c r="O182" s="10">
        <f t="shared" si="34"/>
        <v>2.2999999999999998</v>
      </c>
      <c r="P182" s="8" t="s">
        <v>2050</v>
      </c>
      <c r="Q182" s="14">
        <v>0.9</v>
      </c>
      <c r="R182" s="12">
        <f t="shared" si="43"/>
        <v>0.9</v>
      </c>
      <c r="S182" s="12">
        <f t="shared" si="35"/>
        <v>0.9</v>
      </c>
    </row>
    <row r="183" spans="1:19" x14ac:dyDescent="0.35">
      <c r="A183" s="8" t="s">
        <v>415</v>
      </c>
      <c r="B183" s="8" t="s">
        <v>416</v>
      </c>
      <c r="C183" s="8" t="s">
        <v>19</v>
      </c>
      <c r="D183" s="8" t="str">
        <f t="shared" si="30"/>
        <v>Female</v>
      </c>
      <c r="E183" s="8">
        <v>20</v>
      </c>
      <c r="F183" s="8">
        <f t="shared" si="31"/>
        <v>20</v>
      </c>
      <c r="G183" s="8" t="s">
        <v>151</v>
      </c>
      <c r="H183" s="8" t="s">
        <v>51</v>
      </c>
      <c r="I183" s="8" t="s">
        <v>16</v>
      </c>
      <c r="J183" s="8">
        <v>2</v>
      </c>
      <c r="K183" s="8">
        <f t="shared" si="32"/>
        <v>2</v>
      </c>
      <c r="L183" s="8">
        <v>20</v>
      </c>
      <c r="M183" s="9">
        <f t="shared" si="33"/>
        <v>20</v>
      </c>
      <c r="N183" s="8">
        <v>2.8</v>
      </c>
      <c r="O183" s="10">
        <f t="shared" si="34"/>
        <v>2.8</v>
      </c>
      <c r="P183" s="8" t="s">
        <v>2050</v>
      </c>
      <c r="Q183" s="14">
        <v>0.78</v>
      </c>
      <c r="R183" s="12">
        <f t="shared" si="43"/>
        <v>0.78</v>
      </c>
      <c r="S183" s="12">
        <f t="shared" si="35"/>
        <v>0.78</v>
      </c>
    </row>
    <row r="184" spans="1:19" x14ac:dyDescent="0.35">
      <c r="A184" s="8" t="s">
        <v>417</v>
      </c>
      <c r="B184" s="8" t="s">
        <v>418</v>
      </c>
      <c r="C184" s="8" t="s">
        <v>41</v>
      </c>
      <c r="D184" s="8" t="str">
        <f t="shared" si="30"/>
        <v>Male</v>
      </c>
      <c r="E184" s="8">
        <v>38</v>
      </c>
      <c r="F184" s="8">
        <f t="shared" si="31"/>
        <v>38</v>
      </c>
      <c r="G184" s="8" t="s">
        <v>63</v>
      </c>
      <c r="H184" s="8" t="s">
        <v>64</v>
      </c>
      <c r="I184" s="8" t="s">
        <v>20</v>
      </c>
      <c r="J184" s="8">
        <v>3</v>
      </c>
      <c r="K184" s="8">
        <f t="shared" si="32"/>
        <v>3</v>
      </c>
      <c r="L184" s="8">
        <v>30</v>
      </c>
      <c r="M184" s="9">
        <f t="shared" si="33"/>
        <v>30</v>
      </c>
      <c r="N184" s="8">
        <v>3.5</v>
      </c>
      <c r="O184" s="10">
        <f t="shared" si="34"/>
        <v>3.5</v>
      </c>
      <c r="P184" s="8" t="s">
        <v>2050</v>
      </c>
      <c r="Q184" s="14">
        <v>0.97</v>
      </c>
      <c r="R184" s="12">
        <f t="shared" si="43"/>
        <v>0.97</v>
      </c>
      <c r="S184" s="12">
        <f t="shared" si="35"/>
        <v>0.97</v>
      </c>
    </row>
    <row r="185" spans="1:19" x14ac:dyDescent="0.35">
      <c r="A185" s="8" t="s">
        <v>419</v>
      </c>
      <c r="B185" s="8" t="s">
        <v>420</v>
      </c>
      <c r="C185" s="8" t="s">
        <v>22</v>
      </c>
      <c r="D185" s="8" t="str">
        <f t="shared" si="30"/>
        <v>Female</v>
      </c>
      <c r="E185" s="8">
        <v>33</v>
      </c>
      <c r="F185" s="8">
        <f t="shared" si="31"/>
        <v>33</v>
      </c>
      <c r="G185" s="8" t="s">
        <v>14</v>
      </c>
      <c r="H185" s="8" t="s">
        <v>15</v>
      </c>
      <c r="I185" s="8" t="s">
        <v>52</v>
      </c>
      <c r="J185" s="8">
        <v>11</v>
      </c>
      <c r="K185" s="8">
        <f t="shared" si="32"/>
        <v>11</v>
      </c>
      <c r="L185" s="13"/>
      <c r="M185" s="9">
        <f t="shared" si="33"/>
        <v>40</v>
      </c>
      <c r="N185" s="8">
        <v>0</v>
      </c>
      <c r="O185" s="11">
        <f t="shared" si="34"/>
        <v>0</v>
      </c>
      <c r="P185" s="8" t="s">
        <v>2051</v>
      </c>
      <c r="Q185" s="14">
        <v>0.65</v>
      </c>
      <c r="R185" s="12">
        <f t="shared" si="43"/>
        <v>0.65</v>
      </c>
      <c r="S185" s="12">
        <f t="shared" si="35"/>
        <v>0.65</v>
      </c>
    </row>
    <row r="186" spans="1:19" x14ac:dyDescent="0.35">
      <c r="A186" s="8" t="s">
        <v>421</v>
      </c>
      <c r="B186" s="8" t="s">
        <v>422</v>
      </c>
      <c r="C186" s="8" t="s">
        <v>19</v>
      </c>
      <c r="D186" s="8" t="str">
        <f t="shared" si="30"/>
        <v>Female</v>
      </c>
      <c r="E186" s="8">
        <v>31</v>
      </c>
      <c r="F186" s="8">
        <f t="shared" si="31"/>
        <v>31</v>
      </c>
      <c r="G186" s="8" t="s">
        <v>8</v>
      </c>
      <c r="H186" s="8" t="s">
        <v>9</v>
      </c>
      <c r="I186" s="8" t="s">
        <v>20</v>
      </c>
      <c r="J186" s="8">
        <v>4</v>
      </c>
      <c r="K186" s="8">
        <f t="shared" si="32"/>
        <v>4</v>
      </c>
      <c r="L186" s="8">
        <v>40</v>
      </c>
      <c r="M186" s="9">
        <f t="shared" si="33"/>
        <v>40</v>
      </c>
      <c r="N186" s="8">
        <v>3.2</v>
      </c>
      <c r="O186" s="10">
        <f t="shared" si="34"/>
        <v>3.2</v>
      </c>
      <c r="P186" s="8" t="s">
        <v>2051</v>
      </c>
      <c r="Q186" s="14">
        <v>0.78</v>
      </c>
      <c r="R186" s="12">
        <f t="shared" si="43"/>
        <v>0.78</v>
      </c>
      <c r="S186" s="12">
        <f t="shared" si="35"/>
        <v>0.78</v>
      </c>
    </row>
    <row r="187" spans="1:19" x14ac:dyDescent="0.35">
      <c r="A187" s="8" t="s">
        <v>423</v>
      </c>
      <c r="B187" s="8" t="s">
        <v>424</v>
      </c>
      <c r="C187" s="8" t="s">
        <v>30</v>
      </c>
      <c r="D187" s="8" t="str">
        <f t="shared" si="30"/>
        <v>Male</v>
      </c>
      <c r="E187" s="8">
        <v>41</v>
      </c>
      <c r="F187" s="8">
        <f t="shared" si="31"/>
        <v>41</v>
      </c>
      <c r="G187" s="8" t="s">
        <v>162</v>
      </c>
      <c r="H187" s="8" t="s">
        <v>51</v>
      </c>
      <c r="I187" s="8" t="s">
        <v>90</v>
      </c>
      <c r="J187" s="8">
        <v>21</v>
      </c>
      <c r="K187" s="8">
        <f t="shared" si="32"/>
        <v>21</v>
      </c>
      <c r="L187" s="8">
        <v>50</v>
      </c>
      <c r="M187" s="9">
        <f t="shared" si="33"/>
        <v>50</v>
      </c>
      <c r="N187" s="8">
        <v>3.3</v>
      </c>
      <c r="O187" s="10">
        <f t="shared" si="34"/>
        <v>3.3</v>
      </c>
      <c r="P187" s="8" t="s">
        <v>2051</v>
      </c>
      <c r="Q187" s="14">
        <v>0.65</v>
      </c>
      <c r="R187" s="12">
        <f t="shared" si="43"/>
        <v>0.65</v>
      </c>
      <c r="S187" s="12">
        <f t="shared" si="35"/>
        <v>0.65</v>
      </c>
    </row>
    <row r="188" spans="1:19" x14ac:dyDescent="0.35">
      <c r="A188" s="8" t="s">
        <v>425</v>
      </c>
      <c r="B188" s="8" t="s">
        <v>426</v>
      </c>
      <c r="C188" s="8" t="s">
        <v>41</v>
      </c>
      <c r="D188" s="8" t="str">
        <f t="shared" si="30"/>
        <v>Male</v>
      </c>
      <c r="E188" s="8">
        <v>54</v>
      </c>
      <c r="F188" s="8">
        <f t="shared" si="31"/>
        <v>54</v>
      </c>
      <c r="G188" s="8" t="s">
        <v>42</v>
      </c>
      <c r="H188" s="8" t="s">
        <v>43</v>
      </c>
      <c r="I188" s="8" t="s">
        <v>20</v>
      </c>
      <c r="J188" s="8">
        <v>0</v>
      </c>
      <c r="K188" s="8">
        <f t="shared" si="32"/>
        <v>0</v>
      </c>
      <c r="L188" s="8">
        <v>20</v>
      </c>
      <c r="M188" s="9">
        <f t="shared" si="33"/>
        <v>20</v>
      </c>
      <c r="N188" s="8">
        <v>4.9000000000000004</v>
      </c>
      <c r="O188" s="10">
        <f t="shared" si="34"/>
        <v>4.9000000000000004</v>
      </c>
      <c r="P188" s="13" t="s">
        <v>2050</v>
      </c>
      <c r="Q188" s="13"/>
      <c r="S188" s="12">
        <f t="shared" si="35"/>
        <v>0.79269417475728277</v>
      </c>
    </row>
    <row r="189" spans="1:19" x14ac:dyDescent="0.35">
      <c r="A189" s="8" t="s">
        <v>427</v>
      </c>
      <c r="B189" s="8" t="s">
        <v>428</v>
      </c>
      <c r="C189" s="8" t="s">
        <v>13</v>
      </c>
      <c r="D189" s="8" t="str">
        <f t="shared" si="30"/>
        <v>Male</v>
      </c>
      <c r="E189" s="8">
        <v>50</v>
      </c>
      <c r="F189" s="8">
        <f t="shared" si="31"/>
        <v>50</v>
      </c>
      <c r="G189" s="8" t="s">
        <v>151</v>
      </c>
      <c r="H189" s="8" t="s">
        <v>51</v>
      </c>
      <c r="I189" s="8" t="s">
        <v>33</v>
      </c>
      <c r="J189" s="8">
        <v>6</v>
      </c>
      <c r="K189" s="8">
        <f t="shared" si="32"/>
        <v>6</v>
      </c>
      <c r="L189" s="8">
        <v>30</v>
      </c>
      <c r="M189" s="9">
        <f t="shared" si="33"/>
        <v>30</v>
      </c>
      <c r="N189" s="8">
        <v>2.2000000000000002</v>
      </c>
      <c r="O189" s="10">
        <f t="shared" si="34"/>
        <v>2.2000000000000002</v>
      </c>
      <c r="P189" s="8" t="s">
        <v>2051</v>
      </c>
      <c r="Q189" s="14">
        <v>0.95</v>
      </c>
      <c r="R189" s="12">
        <f t="shared" ref="R189:R190" si="44">Q189</f>
        <v>0.95</v>
      </c>
      <c r="S189" s="12">
        <f t="shared" si="35"/>
        <v>0.95</v>
      </c>
    </row>
    <row r="190" spans="1:19" x14ac:dyDescent="0.35">
      <c r="A190" s="8" t="s">
        <v>429</v>
      </c>
      <c r="B190" s="8" t="s">
        <v>430</v>
      </c>
      <c r="C190" s="8" t="s">
        <v>41</v>
      </c>
      <c r="D190" s="8" t="str">
        <f t="shared" si="30"/>
        <v>Male</v>
      </c>
      <c r="E190" s="8">
        <v>48</v>
      </c>
      <c r="F190" s="8">
        <f t="shared" si="31"/>
        <v>48</v>
      </c>
      <c r="G190" s="8" t="s">
        <v>84</v>
      </c>
      <c r="H190" s="8" t="s">
        <v>85</v>
      </c>
      <c r="I190" s="8" t="s">
        <v>90</v>
      </c>
      <c r="J190" s="8">
        <v>18</v>
      </c>
      <c r="K190" s="8">
        <f t="shared" si="32"/>
        <v>18</v>
      </c>
      <c r="L190" s="8">
        <v>40</v>
      </c>
      <c r="M190" s="9">
        <f t="shared" si="33"/>
        <v>40</v>
      </c>
      <c r="O190" s="10">
        <f t="shared" si="34"/>
        <v>2.5125695216907653</v>
      </c>
      <c r="P190" s="8" t="s">
        <v>2051</v>
      </c>
      <c r="Q190" s="14">
        <v>0.88</v>
      </c>
      <c r="R190" s="12">
        <f t="shared" si="44"/>
        <v>0.88</v>
      </c>
      <c r="S190" s="12">
        <f t="shared" si="35"/>
        <v>0.88</v>
      </c>
    </row>
    <row r="191" spans="1:19" x14ac:dyDescent="0.35">
      <c r="A191" s="8" t="s">
        <v>431</v>
      </c>
      <c r="B191" s="8" t="s">
        <v>432</v>
      </c>
      <c r="C191" s="8" t="s">
        <v>1</v>
      </c>
      <c r="D191" s="8" t="str">
        <f t="shared" si="30"/>
        <v>Female</v>
      </c>
      <c r="E191" s="8">
        <v>49</v>
      </c>
      <c r="F191" s="8">
        <f t="shared" si="31"/>
        <v>49</v>
      </c>
      <c r="G191" s="8" t="s">
        <v>151</v>
      </c>
      <c r="H191" s="8" t="s">
        <v>51</v>
      </c>
      <c r="I191" s="8" t="s">
        <v>16</v>
      </c>
      <c r="J191" s="13"/>
      <c r="K191" s="8">
        <f t="shared" si="32"/>
        <v>9</v>
      </c>
      <c r="L191" s="13"/>
      <c r="M191" s="9">
        <f t="shared" si="33"/>
        <v>40</v>
      </c>
      <c r="N191" s="8">
        <v>1.8</v>
      </c>
      <c r="O191" s="10">
        <f t="shared" si="34"/>
        <v>1.8</v>
      </c>
      <c r="P191" s="8" t="s">
        <v>2050</v>
      </c>
      <c r="Q191" s="13"/>
      <c r="S191" s="12">
        <f t="shared" si="35"/>
        <v>0.79269417475728277</v>
      </c>
    </row>
    <row r="192" spans="1:19" x14ac:dyDescent="0.35">
      <c r="A192" s="8" t="s">
        <v>433</v>
      </c>
      <c r="B192" s="8" t="s">
        <v>434</v>
      </c>
      <c r="C192" s="8" t="s">
        <v>75</v>
      </c>
      <c r="D192" s="8" t="str">
        <f t="shared" si="30"/>
        <v>Male</v>
      </c>
      <c r="E192" s="8">
        <v>21</v>
      </c>
      <c r="F192" s="8">
        <f t="shared" si="31"/>
        <v>21</v>
      </c>
      <c r="G192" s="8" t="s">
        <v>88</v>
      </c>
      <c r="H192" s="8" t="s">
        <v>89</v>
      </c>
      <c r="I192" s="8" t="s">
        <v>16</v>
      </c>
      <c r="J192" s="8">
        <v>1</v>
      </c>
      <c r="K192" s="8">
        <f t="shared" si="32"/>
        <v>1</v>
      </c>
      <c r="L192" s="8">
        <v>75</v>
      </c>
      <c r="M192" s="9">
        <f t="shared" si="33"/>
        <v>75</v>
      </c>
      <c r="N192" s="8">
        <v>4.5999999999999996</v>
      </c>
      <c r="O192" s="10">
        <f t="shared" si="34"/>
        <v>4.5999999999999996</v>
      </c>
      <c r="P192" s="8" t="s">
        <v>2050</v>
      </c>
      <c r="Q192" s="14">
        <v>0.92</v>
      </c>
      <c r="R192" s="12">
        <f t="shared" ref="R192:R197" si="45">Q192</f>
        <v>0.92</v>
      </c>
      <c r="S192" s="12">
        <f t="shared" si="35"/>
        <v>0.92</v>
      </c>
    </row>
    <row r="193" spans="1:19" x14ac:dyDescent="0.35">
      <c r="A193" s="8" t="s">
        <v>435</v>
      </c>
      <c r="B193" s="8" t="s">
        <v>436</v>
      </c>
      <c r="C193" s="8" t="s">
        <v>70</v>
      </c>
      <c r="D193" s="8" t="str">
        <f t="shared" si="30"/>
        <v>Male</v>
      </c>
      <c r="E193" s="8">
        <v>58</v>
      </c>
      <c r="F193" s="8">
        <f t="shared" si="31"/>
        <v>58</v>
      </c>
      <c r="G193" s="8" t="s">
        <v>8</v>
      </c>
      <c r="H193" s="8" t="s">
        <v>9</v>
      </c>
      <c r="I193" s="8" t="s">
        <v>16</v>
      </c>
      <c r="J193" s="8">
        <v>20</v>
      </c>
      <c r="K193" s="8">
        <f t="shared" si="32"/>
        <v>20</v>
      </c>
      <c r="L193" s="8">
        <v>75</v>
      </c>
      <c r="M193" s="9">
        <f t="shared" si="33"/>
        <v>75</v>
      </c>
      <c r="N193" s="8">
        <v>2.8</v>
      </c>
      <c r="O193" s="10">
        <f t="shared" si="34"/>
        <v>2.8</v>
      </c>
      <c r="P193" s="8" t="s">
        <v>2050</v>
      </c>
      <c r="Q193" s="14">
        <v>0.75</v>
      </c>
      <c r="R193" s="12">
        <f t="shared" si="45"/>
        <v>0.75</v>
      </c>
      <c r="S193" s="12">
        <f t="shared" si="35"/>
        <v>0.75</v>
      </c>
    </row>
    <row r="194" spans="1:19" x14ac:dyDescent="0.35">
      <c r="A194" s="8" t="s">
        <v>437</v>
      </c>
      <c r="B194" s="8" t="s">
        <v>234</v>
      </c>
      <c r="C194" s="8" t="s">
        <v>41</v>
      </c>
      <c r="D194" s="8" t="str">
        <f t="shared" si="30"/>
        <v>Male</v>
      </c>
      <c r="E194" s="8">
        <v>41</v>
      </c>
      <c r="F194" s="8">
        <f t="shared" si="31"/>
        <v>41</v>
      </c>
      <c r="G194" s="8" t="s">
        <v>2</v>
      </c>
      <c r="H194" s="8" t="s">
        <v>3</v>
      </c>
      <c r="I194" s="8" t="s">
        <v>67</v>
      </c>
      <c r="J194" s="13"/>
      <c r="K194" s="8">
        <f t="shared" si="32"/>
        <v>9</v>
      </c>
      <c r="L194" s="8">
        <v>30</v>
      </c>
      <c r="M194" s="9">
        <f t="shared" si="33"/>
        <v>30</v>
      </c>
      <c r="N194" s="8">
        <v>1.4</v>
      </c>
      <c r="O194" s="10">
        <f t="shared" si="34"/>
        <v>1.4</v>
      </c>
      <c r="P194" s="8" t="s">
        <v>2050</v>
      </c>
      <c r="Q194" s="14">
        <v>0.74</v>
      </c>
      <c r="R194" s="12">
        <f t="shared" si="45"/>
        <v>0.74</v>
      </c>
      <c r="S194" s="12">
        <f t="shared" si="35"/>
        <v>0.74</v>
      </c>
    </row>
    <row r="195" spans="1:19" x14ac:dyDescent="0.35">
      <c r="A195" s="8" t="s">
        <v>438</v>
      </c>
      <c r="B195" s="8" t="s">
        <v>439</v>
      </c>
      <c r="C195" s="8" t="s">
        <v>19</v>
      </c>
      <c r="D195" s="8" t="str">
        <f t="shared" ref="D195:D258" si="46">IF(LEFT(C195,1)="f","Female","Male")</f>
        <v>Female</v>
      </c>
      <c r="E195" s="8">
        <v>58</v>
      </c>
      <c r="F195" s="8">
        <f t="shared" ref="F195:F258" si="47">IF(ISBLANK(E195),MEDIAN($E$2:$E$1001),E195)</f>
        <v>58</v>
      </c>
      <c r="G195" s="8" t="s">
        <v>99</v>
      </c>
      <c r="H195" s="8" t="s">
        <v>100</v>
      </c>
      <c r="I195" s="8" t="s">
        <v>4</v>
      </c>
      <c r="J195" s="8">
        <v>25</v>
      </c>
      <c r="K195" s="8">
        <f t="shared" ref="K195:K258" si="48">IF(ISBLANK(J195),MEDIAN($J$2:$J$1001),J195)</f>
        <v>25</v>
      </c>
      <c r="L195" s="8">
        <v>30</v>
      </c>
      <c r="M195" s="9">
        <f t="shared" ref="M195:M258" si="49">IF(ISBLANK(L195),MEDIAN($L$2:$L$1001),L195)</f>
        <v>30</v>
      </c>
      <c r="N195" s="8">
        <v>4.2</v>
      </c>
      <c r="O195" s="10">
        <f t="shared" ref="O195:O258" si="50">IF(ISBLANK(N195),AVERAGE($N$2:$N$1001),N195)</f>
        <v>4.2</v>
      </c>
      <c r="P195" s="8" t="s">
        <v>2051</v>
      </c>
      <c r="Q195" s="14">
        <v>0.71</v>
      </c>
      <c r="R195" s="12">
        <f t="shared" si="45"/>
        <v>0.71</v>
      </c>
      <c r="S195" s="12">
        <f t="shared" si="35"/>
        <v>0.71</v>
      </c>
    </row>
    <row r="196" spans="1:19" x14ac:dyDescent="0.35">
      <c r="A196" s="8" t="s">
        <v>440</v>
      </c>
      <c r="B196" s="8" t="s">
        <v>441</v>
      </c>
      <c r="C196" s="8" t="s">
        <v>22</v>
      </c>
      <c r="D196" s="8" t="str">
        <f t="shared" si="46"/>
        <v>Female</v>
      </c>
      <c r="E196" s="8">
        <v>50</v>
      </c>
      <c r="F196" s="8">
        <f t="shared" si="47"/>
        <v>50</v>
      </c>
      <c r="G196" s="8" t="s">
        <v>128</v>
      </c>
      <c r="H196" s="8" t="s">
        <v>129</v>
      </c>
      <c r="I196" s="8" t="s">
        <v>16</v>
      </c>
      <c r="J196" s="8">
        <v>20</v>
      </c>
      <c r="K196" s="8">
        <f t="shared" si="48"/>
        <v>20</v>
      </c>
      <c r="L196" s="8">
        <v>40</v>
      </c>
      <c r="M196" s="9">
        <f t="shared" si="49"/>
        <v>40</v>
      </c>
      <c r="N196" s="8">
        <v>3.6</v>
      </c>
      <c r="O196" s="10">
        <f t="shared" si="50"/>
        <v>3.6</v>
      </c>
      <c r="P196" s="8" t="s">
        <v>2051</v>
      </c>
      <c r="Q196" s="14">
        <v>0.89</v>
      </c>
      <c r="R196" s="12">
        <f t="shared" si="45"/>
        <v>0.89</v>
      </c>
      <c r="S196" s="12">
        <f t="shared" ref="S196:S259" si="51">IF(ISBLANK(R196),AVERAGE($R$2:$R$1001),R196)</f>
        <v>0.89</v>
      </c>
    </row>
    <row r="197" spans="1:19" x14ac:dyDescent="0.35">
      <c r="A197" s="8" t="s">
        <v>442</v>
      </c>
      <c r="B197" s="8" t="s">
        <v>443</v>
      </c>
      <c r="C197" s="8" t="s">
        <v>30</v>
      </c>
      <c r="D197" s="8" t="str">
        <f t="shared" si="46"/>
        <v>Male</v>
      </c>
      <c r="E197" s="8">
        <v>52</v>
      </c>
      <c r="F197" s="8">
        <f t="shared" si="47"/>
        <v>52</v>
      </c>
      <c r="G197" s="8" t="s">
        <v>31</v>
      </c>
      <c r="H197" s="8" t="s">
        <v>32</v>
      </c>
      <c r="I197" s="8" t="s">
        <v>20</v>
      </c>
      <c r="J197" s="8">
        <v>33</v>
      </c>
      <c r="K197" s="8">
        <f t="shared" si="48"/>
        <v>33</v>
      </c>
      <c r="L197" s="8">
        <v>100</v>
      </c>
      <c r="M197" s="9">
        <f t="shared" si="49"/>
        <v>100</v>
      </c>
      <c r="N197" s="8">
        <v>1.6</v>
      </c>
      <c r="O197" s="10">
        <f t="shared" si="50"/>
        <v>1.6</v>
      </c>
      <c r="P197" s="13" t="s">
        <v>2050</v>
      </c>
      <c r="Q197" s="14">
        <v>0.66</v>
      </c>
      <c r="R197" s="12">
        <f t="shared" si="45"/>
        <v>0.66</v>
      </c>
      <c r="S197" s="12">
        <f t="shared" si="51"/>
        <v>0.66</v>
      </c>
    </row>
    <row r="198" spans="1:19" x14ac:dyDescent="0.35">
      <c r="A198" s="8" t="s">
        <v>444</v>
      </c>
      <c r="B198" s="8" t="s">
        <v>445</v>
      </c>
      <c r="C198" s="8" t="s">
        <v>30</v>
      </c>
      <c r="D198" s="8" t="str">
        <f t="shared" si="46"/>
        <v>Male</v>
      </c>
      <c r="E198" s="8">
        <v>34</v>
      </c>
      <c r="F198" s="8">
        <f t="shared" si="47"/>
        <v>34</v>
      </c>
      <c r="G198" s="8" t="s">
        <v>25</v>
      </c>
      <c r="H198" s="8" t="s">
        <v>26</v>
      </c>
      <c r="I198" s="8" t="s">
        <v>33</v>
      </c>
      <c r="J198" s="8">
        <v>6</v>
      </c>
      <c r="K198" s="8">
        <f t="shared" si="48"/>
        <v>6</v>
      </c>
      <c r="L198" s="8">
        <v>100</v>
      </c>
      <c r="M198" s="9">
        <f t="shared" si="49"/>
        <v>100</v>
      </c>
      <c r="N198" s="8">
        <v>2</v>
      </c>
      <c r="O198" s="10">
        <f t="shared" si="50"/>
        <v>2</v>
      </c>
      <c r="P198" s="8" t="s">
        <v>2050</v>
      </c>
      <c r="Q198" s="13"/>
      <c r="S198" s="12">
        <f t="shared" si="51"/>
        <v>0.79269417475728277</v>
      </c>
    </row>
    <row r="199" spans="1:19" x14ac:dyDescent="0.35">
      <c r="A199" s="8" t="s">
        <v>446</v>
      </c>
      <c r="B199" s="8" t="s">
        <v>447</v>
      </c>
      <c r="C199" s="8" t="s">
        <v>75</v>
      </c>
      <c r="D199" s="8" t="str">
        <f t="shared" si="46"/>
        <v>Male</v>
      </c>
      <c r="E199" s="8">
        <v>32</v>
      </c>
      <c r="F199" s="8">
        <f t="shared" si="47"/>
        <v>32</v>
      </c>
      <c r="G199" s="8" t="s">
        <v>110</v>
      </c>
      <c r="H199" s="8" t="s">
        <v>111</v>
      </c>
      <c r="I199" s="8" t="s">
        <v>90</v>
      </c>
      <c r="J199" s="8">
        <v>11</v>
      </c>
      <c r="K199" s="8">
        <f t="shared" si="48"/>
        <v>11</v>
      </c>
      <c r="L199" s="8">
        <v>40</v>
      </c>
      <c r="M199" s="9">
        <f t="shared" si="49"/>
        <v>40</v>
      </c>
      <c r="N199" s="8">
        <v>4.3</v>
      </c>
      <c r="O199" s="10">
        <f t="shared" si="50"/>
        <v>4.3</v>
      </c>
      <c r="P199" s="8" t="s">
        <v>2051</v>
      </c>
      <c r="Q199" s="14">
        <v>0.86</v>
      </c>
      <c r="R199" s="12">
        <f t="shared" ref="R199:R201" si="52">Q199</f>
        <v>0.86</v>
      </c>
      <c r="S199" s="12">
        <f t="shared" si="51"/>
        <v>0.86</v>
      </c>
    </row>
    <row r="200" spans="1:19" x14ac:dyDescent="0.35">
      <c r="A200" s="8" t="s">
        <v>448</v>
      </c>
      <c r="B200" s="8" t="s">
        <v>449</v>
      </c>
      <c r="C200" s="8" t="s">
        <v>19</v>
      </c>
      <c r="D200" s="8" t="str">
        <f t="shared" si="46"/>
        <v>Female</v>
      </c>
      <c r="E200" s="8">
        <v>50</v>
      </c>
      <c r="F200" s="8">
        <f t="shared" si="47"/>
        <v>50</v>
      </c>
      <c r="G200" s="8" t="s">
        <v>71</v>
      </c>
      <c r="H200" s="8" t="s">
        <v>72</v>
      </c>
      <c r="I200" s="8" t="s">
        <v>16</v>
      </c>
      <c r="J200" s="8">
        <v>28</v>
      </c>
      <c r="K200" s="8">
        <f t="shared" si="48"/>
        <v>28</v>
      </c>
      <c r="L200" s="8">
        <v>100</v>
      </c>
      <c r="M200" s="9">
        <f t="shared" si="49"/>
        <v>100</v>
      </c>
      <c r="N200" s="8">
        <v>4.9000000000000004</v>
      </c>
      <c r="O200" s="10">
        <f t="shared" si="50"/>
        <v>4.9000000000000004</v>
      </c>
      <c r="P200" s="8" t="s">
        <v>2051</v>
      </c>
      <c r="Q200" s="14">
        <v>0.86</v>
      </c>
      <c r="R200" s="12">
        <f t="shared" si="52"/>
        <v>0.86</v>
      </c>
      <c r="S200" s="12">
        <f t="shared" si="51"/>
        <v>0.86</v>
      </c>
    </row>
    <row r="201" spans="1:19" x14ac:dyDescent="0.35">
      <c r="A201" s="8" t="s">
        <v>450</v>
      </c>
      <c r="B201" s="8" t="s">
        <v>451</v>
      </c>
      <c r="C201" s="8" t="s">
        <v>22</v>
      </c>
      <c r="D201" s="8" t="str">
        <f t="shared" si="46"/>
        <v>Female</v>
      </c>
      <c r="E201" s="8">
        <v>39</v>
      </c>
      <c r="F201" s="8">
        <f t="shared" si="47"/>
        <v>39</v>
      </c>
      <c r="G201" s="8" t="s">
        <v>50</v>
      </c>
      <c r="H201" s="8" t="s">
        <v>51</v>
      </c>
      <c r="I201" s="8" t="s">
        <v>33</v>
      </c>
      <c r="J201" s="8">
        <v>11</v>
      </c>
      <c r="K201" s="8">
        <f t="shared" si="48"/>
        <v>11</v>
      </c>
      <c r="L201" s="8">
        <v>100</v>
      </c>
      <c r="M201" s="9">
        <f t="shared" si="49"/>
        <v>100</v>
      </c>
      <c r="N201" s="8">
        <v>3.5</v>
      </c>
      <c r="O201" s="10">
        <f t="shared" si="50"/>
        <v>3.5</v>
      </c>
      <c r="P201" s="8" t="s">
        <v>2051</v>
      </c>
      <c r="Q201" s="14">
        <v>0.82</v>
      </c>
      <c r="R201" s="12">
        <f t="shared" si="52"/>
        <v>0.82</v>
      </c>
      <c r="S201" s="12">
        <f t="shared" si="51"/>
        <v>0.82</v>
      </c>
    </row>
    <row r="202" spans="1:19" x14ac:dyDescent="0.35">
      <c r="A202" s="8" t="s">
        <v>452</v>
      </c>
      <c r="B202" s="8" t="s">
        <v>453</v>
      </c>
      <c r="C202" s="8" t="s">
        <v>1</v>
      </c>
      <c r="D202" s="8" t="str">
        <f t="shared" si="46"/>
        <v>Female</v>
      </c>
      <c r="E202" s="8">
        <v>25</v>
      </c>
      <c r="F202" s="8">
        <f t="shared" si="47"/>
        <v>25</v>
      </c>
      <c r="G202" s="8" t="s">
        <v>162</v>
      </c>
      <c r="H202" s="8" t="s">
        <v>51</v>
      </c>
      <c r="I202" s="8" t="s">
        <v>27</v>
      </c>
      <c r="J202" s="8">
        <v>2</v>
      </c>
      <c r="K202" s="8">
        <f t="shared" si="48"/>
        <v>2</v>
      </c>
      <c r="L202" s="8">
        <v>100</v>
      </c>
      <c r="M202" s="9">
        <f t="shared" si="49"/>
        <v>100</v>
      </c>
      <c r="N202" s="8">
        <v>2.5</v>
      </c>
      <c r="O202" s="10">
        <f t="shared" si="50"/>
        <v>2.5</v>
      </c>
      <c r="P202" s="8" t="s">
        <v>2050</v>
      </c>
      <c r="Q202" s="8">
        <v>87</v>
      </c>
      <c r="R202" s="12">
        <v>0.87</v>
      </c>
      <c r="S202" s="12">
        <f t="shared" si="51"/>
        <v>0.87</v>
      </c>
    </row>
    <row r="203" spans="1:19" x14ac:dyDescent="0.35">
      <c r="A203" s="8" t="s">
        <v>454</v>
      </c>
      <c r="B203" s="8" t="s">
        <v>455</v>
      </c>
      <c r="C203" s="8" t="s">
        <v>7</v>
      </c>
      <c r="D203" s="8" t="str">
        <f t="shared" si="46"/>
        <v>Female</v>
      </c>
      <c r="E203" s="8">
        <v>55</v>
      </c>
      <c r="F203" s="8">
        <f t="shared" si="47"/>
        <v>55</v>
      </c>
      <c r="G203" s="8" t="s">
        <v>147</v>
      </c>
      <c r="H203" s="8" t="s">
        <v>148</v>
      </c>
      <c r="I203" s="8" t="s">
        <v>90</v>
      </c>
      <c r="J203" s="8">
        <v>7</v>
      </c>
      <c r="K203" s="8">
        <f t="shared" si="48"/>
        <v>7</v>
      </c>
      <c r="L203" s="8">
        <v>100</v>
      </c>
      <c r="M203" s="9">
        <f t="shared" si="49"/>
        <v>100</v>
      </c>
      <c r="N203" s="8">
        <v>1.7</v>
      </c>
      <c r="O203" s="10">
        <f t="shared" si="50"/>
        <v>1.7</v>
      </c>
      <c r="P203" s="8" t="s">
        <v>2051</v>
      </c>
      <c r="Q203" s="14">
        <v>0.8</v>
      </c>
      <c r="R203" s="12">
        <f t="shared" ref="R203:R205" si="53">Q203</f>
        <v>0.8</v>
      </c>
      <c r="S203" s="12">
        <f t="shared" si="51"/>
        <v>0.8</v>
      </c>
    </row>
    <row r="204" spans="1:19" x14ac:dyDescent="0.35">
      <c r="A204" s="8" t="s">
        <v>456</v>
      </c>
      <c r="B204" s="8" t="s">
        <v>457</v>
      </c>
      <c r="C204" s="8" t="s">
        <v>30</v>
      </c>
      <c r="D204" s="8" t="str">
        <f t="shared" si="46"/>
        <v>Male</v>
      </c>
      <c r="E204" s="8">
        <v>42</v>
      </c>
      <c r="F204" s="8">
        <f t="shared" si="47"/>
        <v>42</v>
      </c>
      <c r="G204" s="8" t="s">
        <v>2</v>
      </c>
      <c r="H204" s="8" t="s">
        <v>3</v>
      </c>
      <c r="I204" s="8" t="s">
        <v>67</v>
      </c>
      <c r="J204" s="8">
        <v>10</v>
      </c>
      <c r="K204" s="8">
        <f t="shared" si="48"/>
        <v>10</v>
      </c>
      <c r="L204" s="8">
        <v>100</v>
      </c>
      <c r="M204" s="9">
        <f t="shared" si="49"/>
        <v>100</v>
      </c>
      <c r="N204" s="8">
        <v>4.5999999999999996</v>
      </c>
      <c r="O204" s="10">
        <f t="shared" si="50"/>
        <v>4.5999999999999996</v>
      </c>
      <c r="P204" s="8" t="s">
        <v>2051</v>
      </c>
      <c r="Q204" s="14">
        <v>0.71</v>
      </c>
      <c r="R204" s="12">
        <f t="shared" si="53"/>
        <v>0.71</v>
      </c>
      <c r="S204" s="12">
        <f t="shared" si="51"/>
        <v>0.71</v>
      </c>
    </row>
    <row r="205" spans="1:19" x14ac:dyDescent="0.35">
      <c r="A205" s="8" t="s">
        <v>458</v>
      </c>
      <c r="B205" s="8" t="s">
        <v>459</v>
      </c>
      <c r="C205" s="8" t="s">
        <v>13</v>
      </c>
      <c r="D205" s="8" t="str">
        <f t="shared" si="46"/>
        <v>Male</v>
      </c>
      <c r="E205" s="8">
        <v>43</v>
      </c>
      <c r="F205" s="8">
        <f t="shared" si="47"/>
        <v>43</v>
      </c>
      <c r="G205" s="8" t="s">
        <v>99</v>
      </c>
      <c r="H205" s="8" t="s">
        <v>100</v>
      </c>
      <c r="I205" s="8" t="s">
        <v>10</v>
      </c>
      <c r="J205" s="8">
        <v>6</v>
      </c>
      <c r="K205" s="8">
        <f t="shared" si="48"/>
        <v>6</v>
      </c>
      <c r="L205" s="8">
        <v>50</v>
      </c>
      <c r="M205" s="9">
        <f t="shared" si="49"/>
        <v>50</v>
      </c>
      <c r="O205" s="10">
        <f t="shared" si="50"/>
        <v>2.5125695216907653</v>
      </c>
      <c r="P205" s="8" t="s">
        <v>2050</v>
      </c>
      <c r="Q205" s="14">
        <v>0.77</v>
      </c>
      <c r="R205" s="12">
        <f t="shared" si="53"/>
        <v>0.77</v>
      </c>
      <c r="S205" s="12">
        <f t="shared" si="51"/>
        <v>0.77</v>
      </c>
    </row>
    <row r="206" spans="1:19" x14ac:dyDescent="0.35">
      <c r="A206" s="8" t="s">
        <v>460</v>
      </c>
      <c r="B206" s="8" t="s">
        <v>461</v>
      </c>
      <c r="C206" s="8" t="s">
        <v>30</v>
      </c>
      <c r="D206" s="8" t="str">
        <f t="shared" si="46"/>
        <v>Male</v>
      </c>
      <c r="E206" s="8">
        <v>54</v>
      </c>
      <c r="F206" s="8">
        <f t="shared" si="47"/>
        <v>54</v>
      </c>
      <c r="G206" s="8" t="s">
        <v>2</v>
      </c>
      <c r="H206" s="8" t="s">
        <v>3</v>
      </c>
      <c r="I206" s="8" t="s">
        <v>67</v>
      </c>
      <c r="J206" s="8">
        <v>29</v>
      </c>
      <c r="K206" s="8">
        <f t="shared" si="48"/>
        <v>29</v>
      </c>
      <c r="L206" s="8">
        <v>30</v>
      </c>
      <c r="M206" s="9">
        <f t="shared" si="49"/>
        <v>30</v>
      </c>
      <c r="N206" s="8">
        <v>1.7</v>
      </c>
      <c r="O206" s="10">
        <f t="shared" si="50"/>
        <v>1.7</v>
      </c>
      <c r="P206" s="8" t="s">
        <v>2050</v>
      </c>
      <c r="Q206" s="8">
        <v>68</v>
      </c>
      <c r="R206" s="12">
        <v>0.68</v>
      </c>
      <c r="S206" s="12">
        <f t="shared" si="51"/>
        <v>0.68</v>
      </c>
    </row>
    <row r="207" spans="1:19" x14ac:dyDescent="0.35">
      <c r="A207" s="8" t="s">
        <v>462</v>
      </c>
      <c r="B207" s="8" t="s">
        <v>463</v>
      </c>
      <c r="C207" s="8" t="s">
        <v>7</v>
      </c>
      <c r="D207" s="8" t="str">
        <f t="shared" si="46"/>
        <v>Female</v>
      </c>
      <c r="E207" s="8">
        <v>21</v>
      </c>
      <c r="F207" s="8">
        <f t="shared" si="47"/>
        <v>21</v>
      </c>
      <c r="G207" s="8" t="s">
        <v>114</v>
      </c>
      <c r="H207" s="8" t="s">
        <v>115</v>
      </c>
      <c r="I207" s="8" t="s">
        <v>16</v>
      </c>
      <c r="J207" s="8">
        <v>0</v>
      </c>
      <c r="K207" s="8">
        <f t="shared" si="48"/>
        <v>0</v>
      </c>
      <c r="L207" s="8">
        <v>20</v>
      </c>
      <c r="M207" s="9">
        <f t="shared" si="49"/>
        <v>20</v>
      </c>
      <c r="N207" s="8">
        <v>1.8</v>
      </c>
      <c r="O207" s="10">
        <f t="shared" si="50"/>
        <v>1.8</v>
      </c>
      <c r="P207" s="8" t="s">
        <v>2050</v>
      </c>
      <c r="Q207" s="14">
        <v>0.91</v>
      </c>
      <c r="R207" s="12">
        <f t="shared" ref="R207:R209" si="54">Q207</f>
        <v>0.91</v>
      </c>
      <c r="S207" s="12">
        <f t="shared" si="51"/>
        <v>0.91</v>
      </c>
    </row>
    <row r="208" spans="1:19" x14ac:dyDescent="0.35">
      <c r="A208" s="8" t="s">
        <v>464</v>
      </c>
      <c r="B208" s="8" t="s">
        <v>465</v>
      </c>
      <c r="C208" s="8" t="s">
        <v>30</v>
      </c>
      <c r="D208" s="8" t="str">
        <f t="shared" si="46"/>
        <v>Male</v>
      </c>
      <c r="E208" s="8">
        <v>46</v>
      </c>
      <c r="F208" s="8">
        <f t="shared" si="47"/>
        <v>46</v>
      </c>
      <c r="G208" s="8" t="s">
        <v>103</v>
      </c>
      <c r="H208" s="8" t="s">
        <v>9</v>
      </c>
      <c r="I208" s="8" t="s">
        <v>52</v>
      </c>
      <c r="J208" s="8">
        <v>5</v>
      </c>
      <c r="K208" s="8">
        <f t="shared" si="48"/>
        <v>5</v>
      </c>
      <c r="L208" s="8">
        <v>20</v>
      </c>
      <c r="M208" s="9">
        <f t="shared" si="49"/>
        <v>20</v>
      </c>
      <c r="N208" s="8">
        <v>2.2000000000000002</v>
      </c>
      <c r="O208" s="10">
        <f t="shared" si="50"/>
        <v>2.2000000000000002</v>
      </c>
      <c r="P208" s="8" t="s">
        <v>2050</v>
      </c>
      <c r="Q208" s="14">
        <v>0.75</v>
      </c>
      <c r="R208" s="12">
        <f t="shared" si="54"/>
        <v>0.75</v>
      </c>
      <c r="S208" s="12">
        <f t="shared" si="51"/>
        <v>0.75</v>
      </c>
    </row>
    <row r="209" spans="1:19" x14ac:dyDescent="0.35">
      <c r="A209" s="8" t="s">
        <v>466</v>
      </c>
      <c r="B209" s="8" t="s">
        <v>467</v>
      </c>
      <c r="C209" s="8" t="s">
        <v>1</v>
      </c>
      <c r="D209" s="8" t="str">
        <f t="shared" si="46"/>
        <v>Female</v>
      </c>
      <c r="E209" s="8">
        <v>30</v>
      </c>
      <c r="F209" s="8">
        <f t="shared" si="47"/>
        <v>30</v>
      </c>
      <c r="G209" s="8" t="s">
        <v>162</v>
      </c>
      <c r="H209" s="8" t="s">
        <v>51</v>
      </c>
      <c r="I209" s="8" t="s">
        <v>4</v>
      </c>
      <c r="J209" s="8">
        <v>11</v>
      </c>
      <c r="K209" s="8">
        <f t="shared" si="48"/>
        <v>11</v>
      </c>
      <c r="L209" s="8">
        <v>40</v>
      </c>
      <c r="M209" s="9">
        <f t="shared" si="49"/>
        <v>40</v>
      </c>
      <c r="N209" s="8">
        <v>1</v>
      </c>
      <c r="O209" s="10">
        <f t="shared" si="50"/>
        <v>1</v>
      </c>
      <c r="P209" s="8" t="s">
        <v>2050</v>
      </c>
      <c r="Q209" s="14">
        <v>0.9</v>
      </c>
      <c r="R209" s="12">
        <f t="shared" si="54"/>
        <v>0.9</v>
      </c>
      <c r="S209" s="12">
        <f t="shared" si="51"/>
        <v>0.9</v>
      </c>
    </row>
    <row r="210" spans="1:19" x14ac:dyDescent="0.35">
      <c r="A210" s="8" t="s">
        <v>468</v>
      </c>
      <c r="B210" s="8" t="s">
        <v>2038</v>
      </c>
      <c r="C210" s="8" t="s">
        <v>13</v>
      </c>
      <c r="D210" s="8" t="str">
        <f t="shared" si="46"/>
        <v>Male</v>
      </c>
      <c r="E210" s="8">
        <v>36</v>
      </c>
      <c r="F210" s="8">
        <f t="shared" si="47"/>
        <v>36</v>
      </c>
      <c r="G210" s="8" t="s">
        <v>147</v>
      </c>
      <c r="H210" s="8" t="s">
        <v>148</v>
      </c>
      <c r="I210" s="8" t="s">
        <v>90</v>
      </c>
      <c r="J210" s="8">
        <v>11</v>
      </c>
      <c r="K210" s="8">
        <f t="shared" si="48"/>
        <v>11</v>
      </c>
      <c r="L210" s="8">
        <v>75</v>
      </c>
      <c r="M210" s="9">
        <f t="shared" si="49"/>
        <v>75</v>
      </c>
      <c r="N210" s="8">
        <v>3.2</v>
      </c>
      <c r="O210" s="10">
        <f t="shared" si="50"/>
        <v>3.2</v>
      </c>
      <c r="P210" s="8" t="s">
        <v>2050</v>
      </c>
      <c r="Q210" s="8">
        <v>93</v>
      </c>
      <c r="R210" s="12">
        <v>0.93</v>
      </c>
      <c r="S210" s="12">
        <f t="shared" si="51"/>
        <v>0.93</v>
      </c>
    </row>
    <row r="211" spans="1:19" x14ac:dyDescent="0.35">
      <c r="A211" s="8" t="s">
        <v>469</v>
      </c>
      <c r="B211" s="8" t="s">
        <v>470</v>
      </c>
      <c r="C211" s="8" t="s">
        <v>55</v>
      </c>
      <c r="D211" s="8" t="str">
        <f t="shared" si="46"/>
        <v>Female</v>
      </c>
      <c r="E211" s="8">
        <v>47</v>
      </c>
      <c r="F211" s="8">
        <f t="shared" si="47"/>
        <v>47</v>
      </c>
      <c r="G211" s="8" t="s">
        <v>14</v>
      </c>
      <c r="H211" s="8" t="s">
        <v>15</v>
      </c>
      <c r="I211" s="8" t="s">
        <v>33</v>
      </c>
      <c r="J211" s="8">
        <v>15</v>
      </c>
      <c r="K211" s="8">
        <f t="shared" si="48"/>
        <v>15</v>
      </c>
      <c r="L211" s="8">
        <v>40</v>
      </c>
      <c r="M211" s="9">
        <f t="shared" si="49"/>
        <v>40</v>
      </c>
      <c r="N211" s="8">
        <v>2.1</v>
      </c>
      <c r="O211" s="10">
        <f t="shared" si="50"/>
        <v>2.1</v>
      </c>
      <c r="P211" s="8" t="s">
        <v>2051</v>
      </c>
      <c r="Q211" s="14">
        <v>0.94</v>
      </c>
      <c r="R211" s="12">
        <f>Q211</f>
        <v>0.94</v>
      </c>
      <c r="S211" s="12">
        <f t="shared" si="51"/>
        <v>0.94</v>
      </c>
    </row>
    <row r="212" spans="1:19" x14ac:dyDescent="0.35">
      <c r="A212" s="8" t="s">
        <v>471</v>
      </c>
      <c r="B212" s="8" t="s">
        <v>472</v>
      </c>
      <c r="C212" s="8" t="s">
        <v>19</v>
      </c>
      <c r="D212" s="8" t="str">
        <f t="shared" si="46"/>
        <v>Female</v>
      </c>
      <c r="E212" s="8">
        <v>43</v>
      </c>
      <c r="F212" s="8">
        <f t="shared" si="47"/>
        <v>43</v>
      </c>
      <c r="G212" s="8" t="s">
        <v>103</v>
      </c>
      <c r="H212" s="8" t="s">
        <v>9</v>
      </c>
      <c r="I212" s="8" t="s">
        <v>10</v>
      </c>
      <c r="J212" s="8">
        <v>1</v>
      </c>
      <c r="K212" s="8">
        <f t="shared" si="48"/>
        <v>1</v>
      </c>
      <c r="L212" s="8">
        <v>50</v>
      </c>
      <c r="M212" s="9">
        <f t="shared" si="49"/>
        <v>50</v>
      </c>
      <c r="N212" s="8">
        <v>4.5999999999999996</v>
      </c>
      <c r="O212" s="10">
        <f t="shared" si="50"/>
        <v>4.5999999999999996</v>
      </c>
      <c r="P212" s="8" t="s">
        <v>2051</v>
      </c>
      <c r="Q212" s="8">
        <v>64</v>
      </c>
      <c r="R212" s="12">
        <v>0.64</v>
      </c>
      <c r="S212" s="12">
        <f t="shared" si="51"/>
        <v>0.64</v>
      </c>
    </row>
    <row r="213" spans="1:19" x14ac:dyDescent="0.35">
      <c r="A213" s="8" t="s">
        <v>473</v>
      </c>
      <c r="B213" s="8" t="s">
        <v>474</v>
      </c>
      <c r="C213" s="8" t="s">
        <v>30</v>
      </c>
      <c r="D213" s="8" t="str">
        <f t="shared" si="46"/>
        <v>Male</v>
      </c>
      <c r="E213" s="8">
        <v>57</v>
      </c>
      <c r="F213" s="8">
        <f t="shared" si="47"/>
        <v>57</v>
      </c>
      <c r="G213" s="8" t="s">
        <v>88</v>
      </c>
      <c r="H213" s="8" t="s">
        <v>89</v>
      </c>
      <c r="I213" s="8" t="s">
        <v>56</v>
      </c>
      <c r="J213" s="8">
        <v>8</v>
      </c>
      <c r="K213" s="8">
        <f t="shared" si="48"/>
        <v>8</v>
      </c>
      <c r="L213" s="8">
        <v>20</v>
      </c>
      <c r="M213" s="9">
        <f t="shared" si="49"/>
        <v>20</v>
      </c>
      <c r="N213" s="8">
        <v>0</v>
      </c>
      <c r="O213" s="11">
        <f t="shared" si="50"/>
        <v>0</v>
      </c>
      <c r="P213" s="8" t="s">
        <v>2051</v>
      </c>
      <c r="Q213" s="14">
        <v>0.84</v>
      </c>
      <c r="R213" s="12">
        <f t="shared" ref="R213:R220" si="55">Q213</f>
        <v>0.84</v>
      </c>
      <c r="S213" s="12">
        <f t="shared" si="51"/>
        <v>0.84</v>
      </c>
    </row>
    <row r="214" spans="1:19" x14ac:dyDescent="0.35">
      <c r="A214" s="8" t="s">
        <v>475</v>
      </c>
      <c r="B214" s="8" t="s">
        <v>476</v>
      </c>
      <c r="C214" s="8" t="s">
        <v>13</v>
      </c>
      <c r="D214" s="8" t="str">
        <f t="shared" si="46"/>
        <v>Male</v>
      </c>
      <c r="E214" s="8">
        <v>52</v>
      </c>
      <c r="F214" s="8">
        <f t="shared" si="47"/>
        <v>52</v>
      </c>
      <c r="G214" s="8" t="s">
        <v>2</v>
      </c>
      <c r="H214" s="8" t="s">
        <v>3</v>
      </c>
      <c r="I214" s="8" t="s">
        <v>90</v>
      </c>
      <c r="J214" s="8">
        <v>30</v>
      </c>
      <c r="K214" s="8">
        <f t="shared" si="48"/>
        <v>30</v>
      </c>
      <c r="L214" s="8">
        <v>20</v>
      </c>
      <c r="M214" s="9">
        <f t="shared" si="49"/>
        <v>20</v>
      </c>
      <c r="N214" s="8">
        <v>2.8</v>
      </c>
      <c r="O214" s="10">
        <f t="shared" si="50"/>
        <v>2.8</v>
      </c>
      <c r="P214" s="8" t="s">
        <v>2050</v>
      </c>
      <c r="Q214" s="14">
        <v>0.87</v>
      </c>
      <c r="R214" s="12">
        <f t="shared" si="55"/>
        <v>0.87</v>
      </c>
      <c r="S214" s="12">
        <f t="shared" si="51"/>
        <v>0.87</v>
      </c>
    </row>
    <row r="215" spans="1:19" x14ac:dyDescent="0.35">
      <c r="A215" s="8" t="s">
        <v>477</v>
      </c>
      <c r="B215" s="8" t="s">
        <v>478</v>
      </c>
      <c r="C215" s="8" t="s">
        <v>41</v>
      </c>
      <c r="D215" s="8" t="str">
        <f t="shared" si="46"/>
        <v>Male</v>
      </c>
      <c r="E215" s="13"/>
      <c r="F215" s="8">
        <f t="shared" si="47"/>
        <v>41</v>
      </c>
      <c r="G215" s="8" t="s">
        <v>14</v>
      </c>
      <c r="H215" s="8" t="s">
        <v>15</v>
      </c>
      <c r="I215" s="8" t="s">
        <v>4</v>
      </c>
      <c r="J215" s="8">
        <v>8</v>
      </c>
      <c r="K215" s="8">
        <f t="shared" si="48"/>
        <v>8</v>
      </c>
      <c r="L215" s="8">
        <v>40</v>
      </c>
      <c r="M215" s="9">
        <f t="shared" si="49"/>
        <v>40</v>
      </c>
      <c r="N215" s="8">
        <v>0</v>
      </c>
      <c r="O215" s="11">
        <f t="shared" si="50"/>
        <v>0</v>
      </c>
      <c r="P215" s="8" t="s">
        <v>2050</v>
      </c>
      <c r="Q215" s="14">
        <v>0.64</v>
      </c>
      <c r="R215" s="12">
        <f t="shared" si="55"/>
        <v>0.64</v>
      </c>
      <c r="S215" s="12">
        <f t="shared" si="51"/>
        <v>0.64</v>
      </c>
    </row>
    <row r="216" spans="1:19" x14ac:dyDescent="0.35">
      <c r="A216" s="8" t="s">
        <v>479</v>
      </c>
      <c r="B216" s="8" t="s">
        <v>480</v>
      </c>
      <c r="C216" s="8" t="s">
        <v>22</v>
      </c>
      <c r="D216" s="8" t="str">
        <f t="shared" si="46"/>
        <v>Female</v>
      </c>
      <c r="E216" s="8">
        <v>22</v>
      </c>
      <c r="F216" s="8">
        <f t="shared" si="47"/>
        <v>22</v>
      </c>
      <c r="G216" s="8" t="s">
        <v>31</v>
      </c>
      <c r="H216" s="8" t="s">
        <v>32</v>
      </c>
      <c r="I216" s="8" t="s">
        <v>90</v>
      </c>
      <c r="J216" s="8">
        <v>0</v>
      </c>
      <c r="K216" s="8">
        <f t="shared" si="48"/>
        <v>0</v>
      </c>
      <c r="L216" s="8">
        <v>100</v>
      </c>
      <c r="M216" s="9">
        <f t="shared" si="49"/>
        <v>100</v>
      </c>
      <c r="N216" s="8">
        <v>2.7</v>
      </c>
      <c r="O216" s="10">
        <f t="shared" si="50"/>
        <v>2.7</v>
      </c>
      <c r="P216" s="8" t="s">
        <v>2051</v>
      </c>
      <c r="Q216" s="14">
        <v>0.64</v>
      </c>
      <c r="R216" s="12">
        <f t="shared" si="55"/>
        <v>0.64</v>
      </c>
      <c r="S216" s="12">
        <f t="shared" si="51"/>
        <v>0.64</v>
      </c>
    </row>
    <row r="217" spans="1:19" x14ac:dyDescent="0.35">
      <c r="A217" s="8" t="s">
        <v>481</v>
      </c>
      <c r="B217" s="8" t="s">
        <v>482</v>
      </c>
      <c r="C217" s="8" t="s">
        <v>30</v>
      </c>
      <c r="D217" s="8" t="str">
        <f t="shared" si="46"/>
        <v>Male</v>
      </c>
      <c r="E217" s="13"/>
      <c r="F217" s="8">
        <f t="shared" si="47"/>
        <v>41</v>
      </c>
      <c r="G217" s="8" t="s">
        <v>71</v>
      </c>
      <c r="H217" s="8" t="s">
        <v>72</v>
      </c>
      <c r="I217" s="8" t="s">
        <v>90</v>
      </c>
      <c r="J217" s="8">
        <v>12</v>
      </c>
      <c r="K217" s="8">
        <f t="shared" si="48"/>
        <v>12</v>
      </c>
      <c r="L217" s="8">
        <v>20</v>
      </c>
      <c r="M217" s="9">
        <f t="shared" si="49"/>
        <v>20</v>
      </c>
      <c r="N217" s="8">
        <v>0</v>
      </c>
      <c r="O217" s="11">
        <f t="shared" si="50"/>
        <v>0</v>
      </c>
      <c r="P217" s="8" t="s">
        <v>2051</v>
      </c>
      <c r="Q217" s="14">
        <v>0.8</v>
      </c>
      <c r="R217" s="12">
        <f t="shared" si="55"/>
        <v>0.8</v>
      </c>
      <c r="S217" s="12">
        <f t="shared" si="51"/>
        <v>0.8</v>
      </c>
    </row>
    <row r="218" spans="1:19" x14ac:dyDescent="0.35">
      <c r="A218" s="8" t="s">
        <v>483</v>
      </c>
      <c r="B218" s="8" t="s">
        <v>484</v>
      </c>
      <c r="C218" s="8" t="s">
        <v>19</v>
      </c>
      <c r="D218" s="8" t="str">
        <f t="shared" si="46"/>
        <v>Female</v>
      </c>
      <c r="E218" s="8">
        <v>58</v>
      </c>
      <c r="F218" s="8">
        <f t="shared" si="47"/>
        <v>58</v>
      </c>
      <c r="G218" s="8" t="s">
        <v>162</v>
      </c>
      <c r="H218" s="8" t="s">
        <v>51</v>
      </c>
      <c r="I218" s="8" t="s">
        <v>10</v>
      </c>
      <c r="J218" s="8">
        <v>4</v>
      </c>
      <c r="K218" s="8">
        <f t="shared" si="48"/>
        <v>4</v>
      </c>
      <c r="L218" s="8">
        <v>50</v>
      </c>
      <c r="M218" s="9">
        <f t="shared" si="49"/>
        <v>50</v>
      </c>
      <c r="N218" s="8">
        <v>3.1</v>
      </c>
      <c r="O218" s="10">
        <f t="shared" si="50"/>
        <v>3.1</v>
      </c>
      <c r="P218" s="8" t="s">
        <v>2050</v>
      </c>
      <c r="Q218" s="14">
        <v>0.9</v>
      </c>
      <c r="R218" s="12">
        <f t="shared" si="55"/>
        <v>0.9</v>
      </c>
      <c r="S218" s="12">
        <f t="shared" si="51"/>
        <v>0.9</v>
      </c>
    </row>
    <row r="219" spans="1:19" x14ac:dyDescent="0.35">
      <c r="A219" s="8" t="s">
        <v>485</v>
      </c>
      <c r="B219" s="8" t="s">
        <v>486</v>
      </c>
      <c r="C219" s="8" t="s">
        <v>70</v>
      </c>
      <c r="D219" s="8" t="str">
        <f t="shared" si="46"/>
        <v>Male</v>
      </c>
      <c r="E219" s="8">
        <v>39</v>
      </c>
      <c r="F219" s="8">
        <f t="shared" si="47"/>
        <v>39</v>
      </c>
      <c r="G219" s="8" t="s">
        <v>88</v>
      </c>
      <c r="H219" s="8" t="s">
        <v>89</v>
      </c>
      <c r="I219" s="8" t="s">
        <v>20</v>
      </c>
      <c r="J219" s="8">
        <v>14</v>
      </c>
      <c r="K219" s="8">
        <f t="shared" si="48"/>
        <v>14</v>
      </c>
      <c r="L219" s="8">
        <v>100</v>
      </c>
      <c r="M219" s="9">
        <f t="shared" si="49"/>
        <v>100</v>
      </c>
      <c r="N219" s="8">
        <v>0</v>
      </c>
      <c r="O219" s="11">
        <f t="shared" si="50"/>
        <v>0</v>
      </c>
      <c r="P219" s="8" t="s">
        <v>2051</v>
      </c>
      <c r="Q219" s="14">
        <v>0.92</v>
      </c>
      <c r="R219" s="12">
        <f t="shared" si="55"/>
        <v>0.92</v>
      </c>
      <c r="S219" s="12">
        <f t="shared" si="51"/>
        <v>0.92</v>
      </c>
    </row>
    <row r="220" spans="1:19" x14ac:dyDescent="0.35">
      <c r="A220" s="8" t="s">
        <v>487</v>
      </c>
      <c r="B220" s="8" t="s">
        <v>488</v>
      </c>
      <c r="C220" s="8" t="s">
        <v>70</v>
      </c>
      <c r="D220" s="8" t="str">
        <f t="shared" si="46"/>
        <v>Male</v>
      </c>
      <c r="E220" s="8">
        <v>32</v>
      </c>
      <c r="F220" s="8">
        <f t="shared" si="47"/>
        <v>32</v>
      </c>
      <c r="G220" s="8" t="s">
        <v>31</v>
      </c>
      <c r="H220" s="8" t="s">
        <v>32</v>
      </c>
      <c r="I220" s="8" t="s">
        <v>16</v>
      </c>
      <c r="J220" s="8">
        <v>14</v>
      </c>
      <c r="K220" s="8">
        <f t="shared" si="48"/>
        <v>14</v>
      </c>
      <c r="L220" s="13"/>
      <c r="M220" s="9">
        <f t="shared" si="49"/>
        <v>40</v>
      </c>
      <c r="O220" s="10">
        <f t="shared" si="50"/>
        <v>2.5125695216907653</v>
      </c>
      <c r="P220" s="8" t="s">
        <v>2050</v>
      </c>
      <c r="Q220" s="14">
        <v>0.96</v>
      </c>
      <c r="R220" s="12">
        <f t="shared" si="55"/>
        <v>0.96</v>
      </c>
      <c r="S220" s="12">
        <f t="shared" si="51"/>
        <v>0.96</v>
      </c>
    </row>
    <row r="221" spans="1:19" x14ac:dyDescent="0.35">
      <c r="A221" s="8" t="s">
        <v>489</v>
      </c>
      <c r="B221" s="8" t="s">
        <v>490</v>
      </c>
      <c r="C221" s="8" t="s">
        <v>30</v>
      </c>
      <c r="D221" s="8" t="str">
        <f t="shared" si="46"/>
        <v>Male</v>
      </c>
      <c r="E221" s="8">
        <v>37</v>
      </c>
      <c r="F221" s="8">
        <f t="shared" si="47"/>
        <v>37</v>
      </c>
      <c r="G221" s="8" t="s">
        <v>103</v>
      </c>
      <c r="H221" s="8" t="s">
        <v>9</v>
      </c>
      <c r="I221" s="8" t="s">
        <v>52</v>
      </c>
      <c r="J221" s="8">
        <v>2</v>
      </c>
      <c r="K221" s="8">
        <f t="shared" si="48"/>
        <v>2</v>
      </c>
      <c r="L221" s="8">
        <v>30</v>
      </c>
      <c r="M221" s="9">
        <f t="shared" si="49"/>
        <v>30</v>
      </c>
      <c r="N221" s="8">
        <v>2.2999999999999998</v>
      </c>
      <c r="O221" s="10">
        <f t="shared" si="50"/>
        <v>2.2999999999999998</v>
      </c>
      <c r="P221" s="8" t="s">
        <v>2051</v>
      </c>
      <c r="Q221" s="13"/>
      <c r="S221" s="12">
        <f t="shared" si="51"/>
        <v>0.79269417475728277</v>
      </c>
    </row>
    <row r="222" spans="1:19" x14ac:dyDescent="0.35">
      <c r="A222" s="8" t="s">
        <v>491</v>
      </c>
      <c r="B222" s="8" t="s">
        <v>492</v>
      </c>
      <c r="C222" s="8" t="s">
        <v>7</v>
      </c>
      <c r="D222" s="8" t="str">
        <f t="shared" si="46"/>
        <v>Female</v>
      </c>
      <c r="E222" s="8">
        <v>21</v>
      </c>
      <c r="F222" s="8">
        <f t="shared" si="47"/>
        <v>21</v>
      </c>
      <c r="G222" s="8" t="s">
        <v>147</v>
      </c>
      <c r="H222" s="8" t="s">
        <v>148</v>
      </c>
      <c r="I222" s="8" t="s">
        <v>56</v>
      </c>
      <c r="J222" s="8">
        <v>2</v>
      </c>
      <c r="K222" s="8">
        <f t="shared" si="48"/>
        <v>2</v>
      </c>
      <c r="L222" s="8">
        <v>100</v>
      </c>
      <c r="M222" s="9">
        <f t="shared" si="49"/>
        <v>100</v>
      </c>
      <c r="N222" s="8">
        <v>2.4</v>
      </c>
      <c r="O222" s="10">
        <f t="shared" si="50"/>
        <v>2.4</v>
      </c>
      <c r="P222" s="8" t="s">
        <v>2051</v>
      </c>
      <c r="Q222" s="13"/>
      <c r="S222" s="12">
        <f t="shared" si="51"/>
        <v>0.79269417475728277</v>
      </c>
    </row>
    <row r="223" spans="1:19" x14ac:dyDescent="0.35">
      <c r="A223" s="8" t="s">
        <v>493</v>
      </c>
      <c r="B223" s="8" t="s">
        <v>494</v>
      </c>
      <c r="C223" s="8" t="s">
        <v>41</v>
      </c>
      <c r="D223" s="8" t="str">
        <f t="shared" si="46"/>
        <v>Male</v>
      </c>
      <c r="E223" s="8">
        <v>41</v>
      </c>
      <c r="F223" s="8">
        <f t="shared" si="47"/>
        <v>41</v>
      </c>
      <c r="G223" s="8" t="s">
        <v>88</v>
      </c>
      <c r="H223" s="8" t="s">
        <v>89</v>
      </c>
      <c r="I223" s="8" t="s">
        <v>90</v>
      </c>
      <c r="J223" s="8">
        <v>4</v>
      </c>
      <c r="K223" s="8">
        <f t="shared" si="48"/>
        <v>4</v>
      </c>
      <c r="L223" s="8">
        <v>75</v>
      </c>
      <c r="M223" s="9">
        <f t="shared" si="49"/>
        <v>75</v>
      </c>
      <c r="N223" s="8">
        <v>2.6</v>
      </c>
      <c r="O223" s="10">
        <f t="shared" si="50"/>
        <v>2.6</v>
      </c>
      <c r="P223" s="13" t="s">
        <v>2050</v>
      </c>
      <c r="Q223" s="14">
        <v>0.85</v>
      </c>
      <c r="R223" s="12">
        <f t="shared" ref="R223:R226" si="56">Q223</f>
        <v>0.85</v>
      </c>
      <c r="S223" s="12">
        <f t="shared" si="51"/>
        <v>0.85</v>
      </c>
    </row>
    <row r="224" spans="1:19" x14ac:dyDescent="0.35">
      <c r="A224" s="8" t="s">
        <v>495</v>
      </c>
      <c r="B224" s="8" t="s">
        <v>496</v>
      </c>
      <c r="C224" s="8" t="s">
        <v>1</v>
      </c>
      <c r="D224" s="8" t="str">
        <f t="shared" si="46"/>
        <v>Female</v>
      </c>
      <c r="E224" s="8">
        <v>21</v>
      </c>
      <c r="F224" s="8">
        <f t="shared" si="47"/>
        <v>21</v>
      </c>
      <c r="G224" s="8" t="s">
        <v>103</v>
      </c>
      <c r="H224" s="8" t="s">
        <v>9</v>
      </c>
      <c r="I224" s="8" t="s">
        <v>27</v>
      </c>
      <c r="J224" s="8">
        <v>0</v>
      </c>
      <c r="K224" s="8">
        <f t="shared" si="48"/>
        <v>0</v>
      </c>
      <c r="L224" s="8">
        <v>40</v>
      </c>
      <c r="M224" s="9">
        <f t="shared" si="49"/>
        <v>40</v>
      </c>
      <c r="N224" s="8">
        <v>1.1000000000000001</v>
      </c>
      <c r="O224" s="10">
        <f t="shared" si="50"/>
        <v>1.1000000000000001</v>
      </c>
      <c r="P224" s="8" t="s">
        <v>2050</v>
      </c>
      <c r="Q224" s="14">
        <v>0.79</v>
      </c>
      <c r="R224" s="12">
        <f t="shared" si="56"/>
        <v>0.79</v>
      </c>
      <c r="S224" s="12">
        <f t="shared" si="51"/>
        <v>0.79</v>
      </c>
    </row>
    <row r="225" spans="1:19" x14ac:dyDescent="0.35">
      <c r="A225" s="8" t="s">
        <v>497</v>
      </c>
      <c r="B225" s="8" t="s">
        <v>498</v>
      </c>
      <c r="C225" s="8" t="s">
        <v>19</v>
      </c>
      <c r="D225" s="8" t="str">
        <f t="shared" si="46"/>
        <v>Female</v>
      </c>
      <c r="E225" s="8">
        <v>58</v>
      </c>
      <c r="F225" s="8">
        <f t="shared" si="47"/>
        <v>58</v>
      </c>
      <c r="G225" s="8" t="s">
        <v>147</v>
      </c>
      <c r="H225" s="8" t="s">
        <v>148</v>
      </c>
      <c r="I225" s="8" t="s">
        <v>90</v>
      </c>
      <c r="J225" s="8">
        <v>9</v>
      </c>
      <c r="K225" s="8">
        <f t="shared" si="48"/>
        <v>9</v>
      </c>
      <c r="L225" s="8">
        <v>30</v>
      </c>
      <c r="M225" s="9">
        <f t="shared" si="49"/>
        <v>30</v>
      </c>
      <c r="N225" s="8">
        <v>0</v>
      </c>
      <c r="O225" s="11">
        <f t="shared" si="50"/>
        <v>0</v>
      </c>
      <c r="P225" s="8" t="s">
        <v>2051</v>
      </c>
      <c r="Q225" s="14">
        <v>0.65</v>
      </c>
      <c r="R225" s="12">
        <f t="shared" si="56"/>
        <v>0.65</v>
      </c>
      <c r="S225" s="12">
        <f t="shared" si="51"/>
        <v>0.65</v>
      </c>
    </row>
    <row r="226" spans="1:19" x14ac:dyDescent="0.35">
      <c r="A226" s="8" t="s">
        <v>499</v>
      </c>
      <c r="B226" s="8" t="s">
        <v>500</v>
      </c>
      <c r="C226" s="8" t="s">
        <v>75</v>
      </c>
      <c r="D226" s="8" t="str">
        <f t="shared" si="46"/>
        <v>Male</v>
      </c>
      <c r="E226" s="8">
        <v>60</v>
      </c>
      <c r="F226" s="8">
        <f t="shared" si="47"/>
        <v>60</v>
      </c>
      <c r="G226" s="8" t="s">
        <v>103</v>
      </c>
      <c r="H226" s="8" t="s">
        <v>9</v>
      </c>
      <c r="I226" s="8" t="s">
        <v>90</v>
      </c>
      <c r="J226" s="8">
        <v>3</v>
      </c>
      <c r="K226" s="8">
        <f t="shared" si="48"/>
        <v>3</v>
      </c>
      <c r="L226" s="8">
        <v>40</v>
      </c>
      <c r="M226" s="9">
        <f t="shared" si="49"/>
        <v>40</v>
      </c>
      <c r="N226" s="8">
        <v>4.7</v>
      </c>
      <c r="O226" s="10">
        <f t="shared" si="50"/>
        <v>4.7</v>
      </c>
      <c r="P226" s="8" t="s">
        <v>2050</v>
      </c>
      <c r="Q226" s="14">
        <v>0.63</v>
      </c>
      <c r="R226" s="12">
        <f t="shared" si="56"/>
        <v>0.63</v>
      </c>
      <c r="S226" s="12">
        <f t="shared" si="51"/>
        <v>0.63</v>
      </c>
    </row>
    <row r="227" spans="1:19" x14ac:dyDescent="0.35">
      <c r="A227" s="8" t="s">
        <v>501</v>
      </c>
      <c r="B227" s="8" t="s">
        <v>502</v>
      </c>
      <c r="C227" s="8" t="s">
        <v>70</v>
      </c>
      <c r="D227" s="8" t="str">
        <f t="shared" si="46"/>
        <v>Male</v>
      </c>
      <c r="E227" s="8">
        <v>27</v>
      </c>
      <c r="F227" s="8">
        <f t="shared" si="47"/>
        <v>27</v>
      </c>
      <c r="G227" s="8" t="s">
        <v>128</v>
      </c>
      <c r="H227" s="8" t="s">
        <v>129</v>
      </c>
      <c r="I227" s="8" t="s">
        <v>20</v>
      </c>
      <c r="J227" s="8">
        <v>2</v>
      </c>
      <c r="K227" s="8">
        <f t="shared" si="48"/>
        <v>2</v>
      </c>
      <c r="L227" s="8">
        <v>40</v>
      </c>
      <c r="M227" s="9">
        <f t="shared" si="49"/>
        <v>40</v>
      </c>
      <c r="N227" s="8">
        <v>1.2</v>
      </c>
      <c r="O227" s="10">
        <f t="shared" si="50"/>
        <v>1.2</v>
      </c>
      <c r="P227" s="8" t="s">
        <v>2050</v>
      </c>
      <c r="Q227" s="13"/>
      <c r="S227" s="12">
        <f t="shared" si="51"/>
        <v>0.79269417475728277</v>
      </c>
    </row>
    <row r="228" spans="1:19" x14ac:dyDescent="0.35">
      <c r="A228" s="8" t="s">
        <v>503</v>
      </c>
      <c r="B228" s="8" t="s">
        <v>504</v>
      </c>
      <c r="C228" s="8" t="s">
        <v>1</v>
      </c>
      <c r="D228" s="8" t="str">
        <f t="shared" si="46"/>
        <v>Female</v>
      </c>
      <c r="E228" s="8">
        <v>29</v>
      </c>
      <c r="F228" s="8">
        <f t="shared" si="47"/>
        <v>29</v>
      </c>
      <c r="G228" s="8" t="s">
        <v>14</v>
      </c>
      <c r="H228" s="8" t="s">
        <v>15</v>
      </c>
      <c r="I228" s="8" t="s">
        <v>90</v>
      </c>
      <c r="J228" s="8">
        <v>10</v>
      </c>
      <c r="K228" s="8">
        <f t="shared" si="48"/>
        <v>10</v>
      </c>
      <c r="L228" s="8">
        <v>40</v>
      </c>
      <c r="M228" s="9">
        <f t="shared" si="49"/>
        <v>40</v>
      </c>
      <c r="N228" s="8">
        <v>1.2</v>
      </c>
      <c r="O228" s="10">
        <f t="shared" si="50"/>
        <v>1.2</v>
      </c>
      <c r="P228" s="8" t="s">
        <v>2050</v>
      </c>
      <c r="Q228" s="14">
        <v>0.78</v>
      </c>
      <c r="R228" s="12">
        <f t="shared" ref="R228:R230" si="57">Q228</f>
        <v>0.78</v>
      </c>
      <c r="S228" s="12">
        <f t="shared" si="51"/>
        <v>0.78</v>
      </c>
    </row>
    <row r="229" spans="1:19" x14ac:dyDescent="0.35">
      <c r="A229" s="8" t="s">
        <v>505</v>
      </c>
      <c r="B229" s="8" t="s">
        <v>506</v>
      </c>
      <c r="C229" s="8" t="s">
        <v>55</v>
      </c>
      <c r="D229" s="8" t="str">
        <f t="shared" si="46"/>
        <v>Female</v>
      </c>
      <c r="E229" s="8">
        <v>54</v>
      </c>
      <c r="F229" s="8">
        <f t="shared" si="47"/>
        <v>54</v>
      </c>
      <c r="G229" s="8" t="s">
        <v>103</v>
      </c>
      <c r="H229" s="8" t="s">
        <v>9</v>
      </c>
      <c r="I229" s="8" t="s">
        <v>16</v>
      </c>
      <c r="J229" s="8">
        <v>33</v>
      </c>
      <c r="K229" s="8">
        <f t="shared" si="48"/>
        <v>33</v>
      </c>
      <c r="L229" s="8">
        <v>75</v>
      </c>
      <c r="M229" s="9">
        <f t="shared" si="49"/>
        <v>75</v>
      </c>
      <c r="N229" s="8">
        <v>0</v>
      </c>
      <c r="O229" s="11">
        <f t="shared" si="50"/>
        <v>0</v>
      </c>
      <c r="P229" s="8" t="s">
        <v>2051</v>
      </c>
      <c r="Q229" s="14">
        <v>0.62</v>
      </c>
      <c r="R229" s="12">
        <f t="shared" si="57"/>
        <v>0.62</v>
      </c>
      <c r="S229" s="12">
        <f t="shared" si="51"/>
        <v>0.62</v>
      </c>
    </row>
    <row r="230" spans="1:19" x14ac:dyDescent="0.35">
      <c r="A230" s="8" t="s">
        <v>507</v>
      </c>
      <c r="B230" s="8" t="s">
        <v>508</v>
      </c>
      <c r="C230" s="8" t="s">
        <v>70</v>
      </c>
      <c r="D230" s="8" t="str">
        <f t="shared" si="46"/>
        <v>Male</v>
      </c>
      <c r="E230" s="8">
        <v>52</v>
      </c>
      <c r="F230" s="8">
        <f t="shared" si="47"/>
        <v>52</v>
      </c>
      <c r="G230" s="8" t="s">
        <v>151</v>
      </c>
      <c r="H230" s="8" t="s">
        <v>51</v>
      </c>
      <c r="I230" s="8" t="s">
        <v>90</v>
      </c>
      <c r="J230" s="8">
        <v>12</v>
      </c>
      <c r="K230" s="8">
        <f t="shared" si="48"/>
        <v>12</v>
      </c>
      <c r="L230" s="8">
        <v>40</v>
      </c>
      <c r="M230" s="9">
        <f t="shared" si="49"/>
        <v>40</v>
      </c>
      <c r="N230" s="8">
        <v>1.2</v>
      </c>
      <c r="O230" s="10">
        <f t="shared" si="50"/>
        <v>1.2</v>
      </c>
      <c r="P230" s="8" t="s">
        <v>2050</v>
      </c>
      <c r="Q230" s="14">
        <v>0.76</v>
      </c>
      <c r="R230" s="12">
        <f t="shared" si="57"/>
        <v>0.76</v>
      </c>
      <c r="S230" s="12">
        <f t="shared" si="51"/>
        <v>0.76</v>
      </c>
    </row>
    <row r="231" spans="1:19" x14ac:dyDescent="0.35">
      <c r="A231" s="8" t="s">
        <v>509</v>
      </c>
      <c r="B231" s="8" t="s">
        <v>510</v>
      </c>
      <c r="C231" s="8" t="s">
        <v>7</v>
      </c>
      <c r="D231" s="8" t="str">
        <f t="shared" si="46"/>
        <v>Female</v>
      </c>
      <c r="E231" s="8">
        <v>55</v>
      </c>
      <c r="F231" s="8">
        <f t="shared" si="47"/>
        <v>55</v>
      </c>
      <c r="G231" s="8" t="s">
        <v>31</v>
      </c>
      <c r="H231" s="8" t="s">
        <v>32</v>
      </c>
      <c r="I231" s="8" t="s">
        <v>4</v>
      </c>
      <c r="J231" s="8">
        <v>18</v>
      </c>
      <c r="K231" s="8">
        <f t="shared" si="48"/>
        <v>18</v>
      </c>
      <c r="L231" s="8">
        <v>100</v>
      </c>
      <c r="M231" s="9">
        <f t="shared" si="49"/>
        <v>100</v>
      </c>
      <c r="N231" s="8">
        <v>2.9</v>
      </c>
      <c r="O231" s="10">
        <f t="shared" si="50"/>
        <v>2.9</v>
      </c>
      <c r="P231" s="8" t="s">
        <v>2050</v>
      </c>
      <c r="Q231" s="8">
        <v>97</v>
      </c>
      <c r="R231" s="12">
        <v>0.97</v>
      </c>
      <c r="S231" s="12">
        <f t="shared" si="51"/>
        <v>0.97</v>
      </c>
    </row>
    <row r="232" spans="1:19" x14ac:dyDescent="0.35">
      <c r="A232" s="8" t="s">
        <v>511</v>
      </c>
      <c r="B232" s="8" t="s">
        <v>512</v>
      </c>
      <c r="C232" s="8" t="s">
        <v>13</v>
      </c>
      <c r="D232" s="8" t="str">
        <f t="shared" si="46"/>
        <v>Male</v>
      </c>
      <c r="E232" s="8">
        <v>37</v>
      </c>
      <c r="F232" s="8">
        <f t="shared" si="47"/>
        <v>37</v>
      </c>
      <c r="G232" s="8" t="s">
        <v>84</v>
      </c>
      <c r="H232" s="8" t="s">
        <v>85</v>
      </c>
      <c r="I232" s="8" t="s">
        <v>4</v>
      </c>
      <c r="J232" s="8">
        <v>4</v>
      </c>
      <c r="K232" s="8">
        <f t="shared" si="48"/>
        <v>4</v>
      </c>
      <c r="L232" s="13"/>
      <c r="M232" s="9">
        <f t="shared" si="49"/>
        <v>40</v>
      </c>
      <c r="O232" s="10">
        <f t="shared" si="50"/>
        <v>2.5125695216907653</v>
      </c>
      <c r="P232" s="8" t="s">
        <v>2050</v>
      </c>
      <c r="Q232" s="13"/>
      <c r="S232" s="12">
        <f t="shared" si="51"/>
        <v>0.79269417475728277</v>
      </c>
    </row>
    <row r="233" spans="1:19" x14ac:dyDescent="0.35">
      <c r="A233" s="8" t="s">
        <v>513</v>
      </c>
      <c r="B233" s="8" t="s">
        <v>514</v>
      </c>
      <c r="C233" s="8" t="s">
        <v>1</v>
      </c>
      <c r="D233" s="8" t="str">
        <f t="shared" si="46"/>
        <v>Female</v>
      </c>
      <c r="E233" s="8">
        <v>34</v>
      </c>
      <c r="F233" s="8">
        <f t="shared" si="47"/>
        <v>34</v>
      </c>
      <c r="G233" s="8" t="s">
        <v>114</v>
      </c>
      <c r="H233" s="8" t="s">
        <v>115</v>
      </c>
      <c r="I233" s="8" t="s">
        <v>33</v>
      </c>
      <c r="J233" s="8">
        <v>11</v>
      </c>
      <c r="K233" s="8">
        <f t="shared" si="48"/>
        <v>11</v>
      </c>
      <c r="L233" s="8">
        <v>50</v>
      </c>
      <c r="M233" s="9">
        <f t="shared" si="49"/>
        <v>50</v>
      </c>
      <c r="N233" s="8">
        <v>3.9</v>
      </c>
      <c r="O233" s="10">
        <f t="shared" si="50"/>
        <v>3.9</v>
      </c>
      <c r="P233" s="8" t="s">
        <v>2051</v>
      </c>
      <c r="Q233" s="14">
        <v>0.82</v>
      </c>
      <c r="R233" s="12">
        <f t="shared" ref="R233:R234" si="58">Q233</f>
        <v>0.82</v>
      </c>
      <c r="S233" s="12">
        <f t="shared" si="51"/>
        <v>0.82</v>
      </c>
    </row>
    <row r="234" spans="1:19" x14ac:dyDescent="0.35">
      <c r="A234" s="8" t="s">
        <v>515</v>
      </c>
      <c r="B234" s="8" t="s">
        <v>2039</v>
      </c>
      <c r="C234" s="8" t="s">
        <v>30</v>
      </c>
      <c r="D234" s="8" t="str">
        <f t="shared" si="46"/>
        <v>Male</v>
      </c>
      <c r="E234" s="8">
        <v>20</v>
      </c>
      <c r="F234" s="8">
        <f t="shared" si="47"/>
        <v>20</v>
      </c>
      <c r="G234" s="8" t="s">
        <v>110</v>
      </c>
      <c r="H234" s="8" t="s">
        <v>111</v>
      </c>
      <c r="I234" s="8" t="s">
        <v>33</v>
      </c>
      <c r="J234" s="8">
        <v>1</v>
      </c>
      <c r="K234" s="8">
        <f t="shared" si="48"/>
        <v>1</v>
      </c>
      <c r="L234" s="8">
        <v>50</v>
      </c>
      <c r="M234" s="9">
        <f t="shared" si="49"/>
        <v>50</v>
      </c>
      <c r="N234" s="8">
        <v>3.1</v>
      </c>
      <c r="O234" s="10">
        <f t="shared" si="50"/>
        <v>3.1</v>
      </c>
      <c r="P234" s="13" t="s">
        <v>2050</v>
      </c>
      <c r="Q234" s="14">
        <v>0.71</v>
      </c>
      <c r="R234" s="12">
        <f t="shared" si="58"/>
        <v>0.71</v>
      </c>
      <c r="S234" s="12">
        <f t="shared" si="51"/>
        <v>0.71</v>
      </c>
    </row>
    <row r="235" spans="1:19" x14ac:dyDescent="0.35">
      <c r="A235" s="8" t="s">
        <v>516</v>
      </c>
      <c r="B235" s="8" t="s">
        <v>517</v>
      </c>
      <c r="C235" s="8" t="s">
        <v>30</v>
      </c>
      <c r="D235" s="8" t="str">
        <f t="shared" si="46"/>
        <v>Male</v>
      </c>
      <c r="E235" s="8">
        <v>22</v>
      </c>
      <c r="F235" s="8">
        <f t="shared" si="47"/>
        <v>22</v>
      </c>
      <c r="G235" s="8" t="s">
        <v>151</v>
      </c>
      <c r="H235" s="8" t="s">
        <v>51</v>
      </c>
      <c r="I235" s="8" t="s">
        <v>52</v>
      </c>
      <c r="J235" s="8">
        <v>2</v>
      </c>
      <c r="K235" s="8">
        <f t="shared" si="48"/>
        <v>2</v>
      </c>
      <c r="L235" s="13"/>
      <c r="M235" s="9">
        <f t="shared" si="49"/>
        <v>40</v>
      </c>
      <c r="N235" s="8">
        <v>0</v>
      </c>
      <c r="O235" s="11">
        <f t="shared" si="50"/>
        <v>0</v>
      </c>
      <c r="P235" s="8" t="s">
        <v>2051</v>
      </c>
      <c r="Q235" s="13"/>
      <c r="S235" s="12">
        <f t="shared" si="51"/>
        <v>0.79269417475728277</v>
      </c>
    </row>
    <row r="236" spans="1:19" x14ac:dyDescent="0.35">
      <c r="A236" s="8" t="s">
        <v>518</v>
      </c>
      <c r="B236" s="8" t="s">
        <v>519</v>
      </c>
      <c r="C236" s="8" t="s">
        <v>1</v>
      </c>
      <c r="D236" s="8" t="str">
        <f t="shared" si="46"/>
        <v>Female</v>
      </c>
      <c r="E236" s="8">
        <v>23</v>
      </c>
      <c r="F236" s="8">
        <f t="shared" si="47"/>
        <v>23</v>
      </c>
      <c r="G236" s="8" t="s">
        <v>88</v>
      </c>
      <c r="H236" s="8" t="s">
        <v>89</v>
      </c>
      <c r="I236" s="8" t="s">
        <v>16</v>
      </c>
      <c r="J236" s="8">
        <v>2</v>
      </c>
      <c r="K236" s="8">
        <f t="shared" si="48"/>
        <v>2</v>
      </c>
      <c r="L236" s="8">
        <v>50</v>
      </c>
      <c r="M236" s="9">
        <f t="shared" si="49"/>
        <v>50</v>
      </c>
      <c r="N236" s="8">
        <v>3.2</v>
      </c>
      <c r="O236" s="10">
        <f t="shared" si="50"/>
        <v>3.2</v>
      </c>
      <c r="P236" s="8" t="s">
        <v>2051</v>
      </c>
      <c r="Q236" s="13"/>
      <c r="S236" s="12">
        <f t="shared" si="51"/>
        <v>0.79269417475728277</v>
      </c>
    </row>
    <row r="237" spans="1:19" x14ac:dyDescent="0.35">
      <c r="A237" s="8" t="s">
        <v>520</v>
      </c>
      <c r="B237" s="8" t="s">
        <v>521</v>
      </c>
      <c r="C237" s="8" t="s">
        <v>19</v>
      </c>
      <c r="D237" s="8" t="str">
        <f t="shared" si="46"/>
        <v>Female</v>
      </c>
      <c r="E237" s="8">
        <v>53</v>
      </c>
      <c r="F237" s="8">
        <f t="shared" si="47"/>
        <v>53</v>
      </c>
      <c r="G237" s="8" t="s">
        <v>88</v>
      </c>
      <c r="H237" s="8" t="s">
        <v>89</v>
      </c>
      <c r="I237" s="8" t="s">
        <v>4</v>
      </c>
      <c r="J237" s="8">
        <v>34</v>
      </c>
      <c r="K237" s="8">
        <f t="shared" si="48"/>
        <v>34</v>
      </c>
      <c r="L237" s="8">
        <v>30</v>
      </c>
      <c r="M237" s="9">
        <f t="shared" si="49"/>
        <v>30</v>
      </c>
      <c r="O237" s="10">
        <f t="shared" si="50"/>
        <v>2.5125695216907653</v>
      </c>
      <c r="P237" s="8" t="s">
        <v>2051</v>
      </c>
      <c r="Q237" s="13"/>
      <c r="S237" s="12">
        <f t="shared" si="51"/>
        <v>0.79269417475728277</v>
      </c>
    </row>
    <row r="238" spans="1:19" x14ac:dyDescent="0.35">
      <c r="A238" s="8" t="s">
        <v>522</v>
      </c>
      <c r="B238" s="8" t="s">
        <v>523</v>
      </c>
      <c r="C238" s="8" t="s">
        <v>19</v>
      </c>
      <c r="D238" s="8" t="str">
        <f t="shared" si="46"/>
        <v>Female</v>
      </c>
      <c r="E238" s="8">
        <v>56</v>
      </c>
      <c r="F238" s="8">
        <f t="shared" si="47"/>
        <v>56</v>
      </c>
      <c r="G238" s="8" t="s">
        <v>88</v>
      </c>
      <c r="H238" s="8" t="s">
        <v>89</v>
      </c>
      <c r="I238" s="8" t="s">
        <v>16</v>
      </c>
      <c r="J238" s="8">
        <v>27</v>
      </c>
      <c r="K238" s="8">
        <f t="shared" si="48"/>
        <v>27</v>
      </c>
      <c r="L238" s="8">
        <v>100</v>
      </c>
      <c r="M238" s="9">
        <f t="shared" si="49"/>
        <v>100</v>
      </c>
      <c r="N238" s="8">
        <v>4.7</v>
      </c>
      <c r="O238" s="10">
        <f t="shared" si="50"/>
        <v>4.7</v>
      </c>
      <c r="P238" s="8" t="s">
        <v>2051</v>
      </c>
      <c r="Q238" s="14">
        <v>0.69</v>
      </c>
      <c r="R238" s="12">
        <f t="shared" ref="R238:R240" si="59">Q238</f>
        <v>0.69</v>
      </c>
      <c r="S238" s="12">
        <f t="shared" si="51"/>
        <v>0.69</v>
      </c>
    </row>
    <row r="239" spans="1:19" x14ac:dyDescent="0.35">
      <c r="A239" s="8" t="s">
        <v>524</v>
      </c>
      <c r="B239" s="8" t="s">
        <v>525</v>
      </c>
      <c r="C239" s="8" t="s">
        <v>70</v>
      </c>
      <c r="D239" s="8" t="str">
        <f t="shared" si="46"/>
        <v>Male</v>
      </c>
      <c r="E239" s="8">
        <v>27</v>
      </c>
      <c r="F239" s="8">
        <f t="shared" si="47"/>
        <v>27</v>
      </c>
      <c r="G239" s="8" t="s">
        <v>103</v>
      </c>
      <c r="H239" s="8" t="s">
        <v>9</v>
      </c>
      <c r="I239" s="8" t="s">
        <v>27</v>
      </c>
      <c r="J239" s="8">
        <v>4</v>
      </c>
      <c r="K239" s="8">
        <f t="shared" si="48"/>
        <v>4</v>
      </c>
      <c r="L239" s="8">
        <v>75</v>
      </c>
      <c r="M239" s="9">
        <f t="shared" si="49"/>
        <v>75</v>
      </c>
      <c r="N239" s="8">
        <v>5</v>
      </c>
      <c r="O239" s="10">
        <f t="shared" si="50"/>
        <v>5</v>
      </c>
      <c r="P239" s="8" t="s">
        <v>2050</v>
      </c>
      <c r="Q239" s="14">
        <v>0.88</v>
      </c>
      <c r="R239" s="12">
        <f t="shared" si="59"/>
        <v>0.88</v>
      </c>
      <c r="S239" s="12">
        <f t="shared" si="51"/>
        <v>0.88</v>
      </c>
    </row>
    <row r="240" spans="1:19" x14ac:dyDescent="0.35">
      <c r="A240" s="8" t="s">
        <v>526</v>
      </c>
      <c r="B240" s="8" t="s">
        <v>527</v>
      </c>
      <c r="C240" s="8" t="s">
        <v>75</v>
      </c>
      <c r="D240" s="8" t="str">
        <f t="shared" si="46"/>
        <v>Male</v>
      </c>
      <c r="E240" s="8">
        <v>34</v>
      </c>
      <c r="F240" s="8">
        <f t="shared" si="47"/>
        <v>34</v>
      </c>
      <c r="G240" s="8" t="s">
        <v>2</v>
      </c>
      <c r="H240" s="8" t="s">
        <v>3</v>
      </c>
      <c r="I240" s="8" t="s">
        <v>10</v>
      </c>
      <c r="J240" s="8">
        <v>11</v>
      </c>
      <c r="K240" s="8">
        <f t="shared" si="48"/>
        <v>11</v>
      </c>
      <c r="L240" s="8">
        <v>40</v>
      </c>
      <c r="M240" s="9">
        <f t="shared" si="49"/>
        <v>40</v>
      </c>
      <c r="O240" s="10">
        <f t="shared" si="50"/>
        <v>2.5125695216907653</v>
      </c>
      <c r="P240" s="8" t="s">
        <v>2050</v>
      </c>
      <c r="Q240" s="14">
        <v>0.67</v>
      </c>
      <c r="R240" s="12">
        <f t="shared" si="59"/>
        <v>0.67</v>
      </c>
      <c r="S240" s="12">
        <f t="shared" si="51"/>
        <v>0.67</v>
      </c>
    </row>
    <row r="241" spans="1:19" x14ac:dyDescent="0.35">
      <c r="A241" s="8" t="s">
        <v>528</v>
      </c>
      <c r="B241" s="8" t="s">
        <v>529</v>
      </c>
      <c r="C241" s="8" t="s">
        <v>70</v>
      </c>
      <c r="D241" s="8" t="str">
        <f t="shared" si="46"/>
        <v>Male</v>
      </c>
      <c r="E241" s="8">
        <v>29</v>
      </c>
      <c r="F241" s="8">
        <f t="shared" si="47"/>
        <v>29</v>
      </c>
      <c r="G241" s="8" t="s">
        <v>38</v>
      </c>
      <c r="H241" s="8" t="s">
        <v>9</v>
      </c>
      <c r="I241" s="8" t="s">
        <v>20</v>
      </c>
      <c r="J241" s="8">
        <v>4</v>
      </c>
      <c r="K241" s="8">
        <f t="shared" si="48"/>
        <v>4</v>
      </c>
      <c r="L241" s="8">
        <v>50</v>
      </c>
      <c r="M241" s="9">
        <f t="shared" si="49"/>
        <v>50</v>
      </c>
      <c r="N241" s="8">
        <v>4</v>
      </c>
      <c r="O241" s="10">
        <f t="shared" si="50"/>
        <v>4</v>
      </c>
      <c r="P241" s="8" t="s">
        <v>2050</v>
      </c>
      <c r="Q241" s="13"/>
      <c r="S241" s="12">
        <f t="shared" si="51"/>
        <v>0.79269417475728277</v>
      </c>
    </row>
    <row r="242" spans="1:19" x14ac:dyDescent="0.35">
      <c r="A242" s="8" t="s">
        <v>530</v>
      </c>
      <c r="B242" s="8" t="s">
        <v>531</v>
      </c>
      <c r="C242" s="8" t="s">
        <v>70</v>
      </c>
      <c r="D242" s="8" t="str">
        <f t="shared" si="46"/>
        <v>Male</v>
      </c>
      <c r="E242" s="8">
        <v>34</v>
      </c>
      <c r="F242" s="8">
        <f t="shared" si="47"/>
        <v>34</v>
      </c>
      <c r="G242" s="8" t="s">
        <v>71</v>
      </c>
      <c r="H242" s="8" t="s">
        <v>72</v>
      </c>
      <c r="I242" s="8" t="s">
        <v>27</v>
      </c>
      <c r="J242" s="8">
        <v>11</v>
      </c>
      <c r="K242" s="8">
        <f t="shared" si="48"/>
        <v>11</v>
      </c>
      <c r="L242" s="13"/>
      <c r="M242" s="9">
        <f t="shared" si="49"/>
        <v>40</v>
      </c>
      <c r="N242" s="8">
        <v>1.2</v>
      </c>
      <c r="O242" s="10">
        <f t="shared" si="50"/>
        <v>1.2</v>
      </c>
      <c r="P242" s="8" t="s">
        <v>2051</v>
      </c>
      <c r="Q242" s="13"/>
      <c r="S242" s="12">
        <f t="shared" si="51"/>
        <v>0.79269417475728277</v>
      </c>
    </row>
    <row r="243" spans="1:19" x14ac:dyDescent="0.35">
      <c r="A243" s="8" t="s">
        <v>532</v>
      </c>
      <c r="B243" s="8" t="s">
        <v>533</v>
      </c>
      <c r="C243" s="8" t="s">
        <v>22</v>
      </c>
      <c r="D243" s="8" t="str">
        <f t="shared" si="46"/>
        <v>Female</v>
      </c>
      <c r="E243" s="8">
        <v>32</v>
      </c>
      <c r="F243" s="8">
        <f t="shared" si="47"/>
        <v>32</v>
      </c>
      <c r="G243" s="8" t="s">
        <v>151</v>
      </c>
      <c r="H243" s="8" t="s">
        <v>51</v>
      </c>
      <c r="I243" s="8" t="s">
        <v>27</v>
      </c>
      <c r="J243" s="8">
        <v>1</v>
      </c>
      <c r="K243" s="8">
        <f t="shared" si="48"/>
        <v>1</v>
      </c>
      <c r="L243" s="8">
        <v>100</v>
      </c>
      <c r="M243" s="9">
        <f t="shared" si="49"/>
        <v>100</v>
      </c>
      <c r="N243" s="8">
        <v>4.7</v>
      </c>
      <c r="O243" s="10">
        <f t="shared" si="50"/>
        <v>4.7</v>
      </c>
      <c r="P243" s="8" t="s">
        <v>2050</v>
      </c>
      <c r="Q243" s="14">
        <v>0.67</v>
      </c>
      <c r="R243" s="12">
        <f t="shared" ref="R243:R246" si="60">Q243</f>
        <v>0.67</v>
      </c>
      <c r="S243" s="12">
        <f t="shared" si="51"/>
        <v>0.67</v>
      </c>
    </row>
    <row r="244" spans="1:19" x14ac:dyDescent="0.35">
      <c r="A244" s="8" t="s">
        <v>534</v>
      </c>
      <c r="B244" s="8" t="s">
        <v>535</v>
      </c>
      <c r="C244" s="8" t="s">
        <v>1</v>
      </c>
      <c r="D244" s="8" t="str">
        <f t="shared" si="46"/>
        <v>Female</v>
      </c>
      <c r="E244" s="8">
        <v>21</v>
      </c>
      <c r="F244" s="8">
        <f t="shared" si="47"/>
        <v>21</v>
      </c>
      <c r="G244" s="8" t="s">
        <v>128</v>
      </c>
      <c r="H244" s="8" t="s">
        <v>129</v>
      </c>
      <c r="I244" s="8" t="s">
        <v>90</v>
      </c>
      <c r="J244" s="8">
        <v>2</v>
      </c>
      <c r="K244" s="8">
        <f t="shared" si="48"/>
        <v>2</v>
      </c>
      <c r="L244" s="8">
        <v>20</v>
      </c>
      <c r="M244" s="9">
        <f t="shared" si="49"/>
        <v>20</v>
      </c>
      <c r="N244" s="8">
        <v>2.4</v>
      </c>
      <c r="O244" s="10">
        <f t="shared" si="50"/>
        <v>2.4</v>
      </c>
      <c r="P244" s="13" t="s">
        <v>2050</v>
      </c>
      <c r="Q244" s="14">
        <v>0.86</v>
      </c>
      <c r="R244" s="12">
        <f t="shared" si="60"/>
        <v>0.86</v>
      </c>
      <c r="S244" s="12">
        <f t="shared" si="51"/>
        <v>0.86</v>
      </c>
    </row>
    <row r="245" spans="1:19" x14ac:dyDescent="0.35">
      <c r="A245" s="8" t="s">
        <v>536</v>
      </c>
      <c r="B245" s="8" t="s">
        <v>537</v>
      </c>
      <c r="C245" s="8" t="s">
        <v>41</v>
      </c>
      <c r="D245" s="8" t="str">
        <f t="shared" si="46"/>
        <v>Male</v>
      </c>
      <c r="E245" s="8">
        <v>20</v>
      </c>
      <c r="F245" s="8">
        <f t="shared" si="47"/>
        <v>20</v>
      </c>
      <c r="G245" s="8" t="s">
        <v>151</v>
      </c>
      <c r="H245" s="8" t="s">
        <v>51</v>
      </c>
      <c r="I245" s="8" t="s">
        <v>16</v>
      </c>
      <c r="J245" s="8">
        <v>2</v>
      </c>
      <c r="K245" s="8">
        <f t="shared" si="48"/>
        <v>2</v>
      </c>
      <c r="L245" s="13"/>
      <c r="M245" s="9">
        <f t="shared" si="49"/>
        <v>40</v>
      </c>
      <c r="N245" s="8">
        <v>1.1000000000000001</v>
      </c>
      <c r="O245" s="10">
        <f t="shared" si="50"/>
        <v>1.1000000000000001</v>
      </c>
      <c r="P245" s="8" t="s">
        <v>2050</v>
      </c>
      <c r="Q245" s="14">
        <v>0.69</v>
      </c>
      <c r="R245" s="12">
        <f t="shared" si="60"/>
        <v>0.69</v>
      </c>
      <c r="S245" s="12">
        <f t="shared" si="51"/>
        <v>0.69</v>
      </c>
    </row>
    <row r="246" spans="1:19" x14ac:dyDescent="0.35">
      <c r="A246" s="8" t="s">
        <v>538</v>
      </c>
      <c r="B246" s="8" t="s">
        <v>539</v>
      </c>
      <c r="C246" s="8" t="s">
        <v>7</v>
      </c>
      <c r="D246" s="8" t="str">
        <f t="shared" si="46"/>
        <v>Female</v>
      </c>
      <c r="E246" s="8">
        <v>35</v>
      </c>
      <c r="F246" s="8">
        <f t="shared" si="47"/>
        <v>35</v>
      </c>
      <c r="G246" s="8" t="s">
        <v>38</v>
      </c>
      <c r="H246" s="8" t="s">
        <v>9</v>
      </c>
      <c r="I246" s="8" t="s">
        <v>10</v>
      </c>
      <c r="J246" s="8">
        <v>10</v>
      </c>
      <c r="K246" s="8">
        <f t="shared" si="48"/>
        <v>10</v>
      </c>
      <c r="L246" s="8">
        <v>50</v>
      </c>
      <c r="M246" s="9">
        <f t="shared" si="49"/>
        <v>50</v>
      </c>
      <c r="N246" s="8">
        <v>1.4</v>
      </c>
      <c r="O246" s="10">
        <f t="shared" si="50"/>
        <v>1.4</v>
      </c>
      <c r="P246" s="8" t="s">
        <v>2051</v>
      </c>
      <c r="Q246" s="14">
        <v>0.85</v>
      </c>
      <c r="R246" s="12">
        <f t="shared" si="60"/>
        <v>0.85</v>
      </c>
      <c r="S246" s="12">
        <f t="shared" si="51"/>
        <v>0.85</v>
      </c>
    </row>
    <row r="247" spans="1:19" x14ac:dyDescent="0.35">
      <c r="A247" s="8" t="s">
        <v>540</v>
      </c>
      <c r="B247" s="8" t="s">
        <v>541</v>
      </c>
      <c r="C247" s="8" t="s">
        <v>1</v>
      </c>
      <c r="D247" s="8" t="str">
        <f t="shared" si="46"/>
        <v>Female</v>
      </c>
      <c r="E247" s="8">
        <v>47</v>
      </c>
      <c r="F247" s="8">
        <f t="shared" si="47"/>
        <v>47</v>
      </c>
      <c r="G247" s="8" t="s">
        <v>38</v>
      </c>
      <c r="H247" s="8" t="s">
        <v>9</v>
      </c>
      <c r="I247" s="8" t="s">
        <v>52</v>
      </c>
      <c r="J247" s="8">
        <v>18</v>
      </c>
      <c r="K247" s="8">
        <f t="shared" si="48"/>
        <v>18</v>
      </c>
      <c r="L247" s="8">
        <v>40</v>
      </c>
      <c r="M247" s="9">
        <f t="shared" si="49"/>
        <v>40</v>
      </c>
      <c r="N247" s="8">
        <v>3.4</v>
      </c>
      <c r="O247" s="10">
        <f t="shared" si="50"/>
        <v>3.4</v>
      </c>
      <c r="P247" s="8" t="s">
        <v>2050</v>
      </c>
      <c r="Q247" s="8">
        <v>60</v>
      </c>
      <c r="R247" s="12">
        <v>0.6</v>
      </c>
      <c r="S247" s="12">
        <f t="shared" si="51"/>
        <v>0.6</v>
      </c>
    </row>
    <row r="248" spans="1:19" x14ac:dyDescent="0.35">
      <c r="A248" s="8" t="s">
        <v>542</v>
      </c>
      <c r="B248" s="8" t="s">
        <v>543</v>
      </c>
      <c r="C248" s="8" t="s">
        <v>1</v>
      </c>
      <c r="D248" s="8" t="str">
        <f t="shared" si="46"/>
        <v>Female</v>
      </c>
      <c r="E248" s="8">
        <v>41</v>
      </c>
      <c r="F248" s="8">
        <f t="shared" si="47"/>
        <v>41</v>
      </c>
      <c r="G248" s="8" t="s">
        <v>42</v>
      </c>
      <c r="H248" s="8" t="s">
        <v>43</v>
      </c>
      <c r="I248" s="8" t="s">
        <v>4</v>
      </c>
      <c r="J248" s="8">
        <v>4</v>
      </c>
      <c r="K248" s="8">
        <f t="shared" si="48"/>
        <v>4</v>
      </c>
      <c r="L248" s="8">
        <v>40</v>
      </c>
      <c r="M248" s="9">
        <f t="shared" si="49"/>
        <v>40</v>
      </c>
      <c r="N248" s="8">
        <v>2.7</v>
      </c>
      <c r="O248" s="10">
        <f t="shared" si="50"/>
        <v>2.7</v>
      </c>
      <c r="P248" s="8" t="s">
        <v>2051</v>
      </c>
      <c r="Q248" s="8">
        <v>70</v>
      </c>
      <c r="R248" s="12">
        <v>0.7</v>
      </c>
      <c r="S248" s="12">
        <f t="shared" si="51"/>
        <v>0.7</v>
      </c>
    </row>
    <row r="249" spans="1:19" x14ac:dyDescent="0.35">
      <c r="A249" s="8" t="s">
        <v>544</v>
      </c>
      <c r="B249" s="8" t="s">
        <v>545</v>
      </c>
      <c r="C249" s="8" t="s">
        <v>13</v>
      </c>
      <c r="D249" s="8" t="str">
        <f t="shared" si="46"/>
        <v>Male</v>
      </c>
      <c r="E249" s="8">
        <v>58</v>
      </c>
      <c r="F249" s="8">
        <f t="shared" si="47"/>
        <v>58</v>
      </c>
      <c r="G249" s="8" t="s">
        <v>50</v>
      </c>
      <c r="H249" s="8" t="s">
        <v>51</v>
      </c>
      <c r="I249" s="8" t="s">
        <v>20</v>
      </c>
      <c r="J249" s="8">
        <v>23</v>
      </c>
      <c r="K249" s="8">
        <f t="shared" si="48"/>
        <v>23</v>
      </c>
      <c r="L249" s="13"/>
      <c r="M249" s="9">
        <f t="shared" si="49"/>
        <v>40</v>
      </c>
      <c r="N249" s="8">
        <v>4.9000000000000004</v>
      </c>
      <c r="O249" s="10">
        <f t="shared" si="50"/>
        <v>4.9000000000000004</v>
      </c>
      <c r="P249" s="8" t="s">
        <v>2050</v>
      </c>
      <c r="Q249" s="13"/>
      <c r="S249" s="12">
        <f t="shared" si="51"/>
        <v>0.79269417475728277</v>
      </c>
    </row>
    <row r="250" spans="1:19" x14ac:dyDescent="0.35">
      <c r="A250" s="8" t="s">
        <v>546</v>
      </c>
      <c r="B250" s="8" t="s">
        <v>547</v>
      </c>
      <c r="C250" s="8" t="s">
        <v>30</v>
      </c>
      <c r="D250" s="8" t="str">
        <f t="shared" si="46"/>
        <v>Male</v>
      </c>
      <c r="E250" s="8">
        <v>34</v>
      </c>
      <c r="F250" s="8">
        <f t="shared" si="47"/>
        <v>34</v>
      </c>
      <c r="G250" s="8" t="s">
        <v>147</v>
      </c>
      <c r="H250" s="8" t="s">
        <v>148</v>
      </c>
      <c r="I250" s="8" t="s">
        <v>33</v>
      </c>
      <c r="J250" s="8">
        <v>6</v>
      </c>
      <c r="K250" s="8">
        <f t="shared" si="48"/>
        <v>6</v>
      </c>
      <c r="L250" s="8">
        <v>75</v>
      </c>
      <c r="M250" s="9">
        <f t="shared" si="49"/>
        <v>75</v>
      </c>
      <c r="N250" s="8">
        <v>1.9</v>
      </c>
      <c r="O250" s="10">
        <f t="shared" si="50"/>
        <v>1.9</v>
      </c>
      <c r="P250" s="8" t="s">
        <v>2051</v>
      </c>
      <c r="Q250" s="14">
        <v>0.81</v>
      </c>
      <c r="R250" s="12">
        <f>Q250</f>
        <v>0.81</v>
      </c>
      <c r="S250" s="12">
        <f t="shared" si="51"/>
        <v>0.81</v>
      </c>
    </row>
    <row r="251" spans="1:19" x14ac:dyDescent="0.35">
      <c r="A251" s="8" t="s">
        <v>548</v>
      </c>
      <c r="B251" s="8" t="s">
        <v>549</v>
      </c>
      <c r="C251" s="8" t="s">
        <v>1</v>
      </c>
      <c r="D251" s="8" t="str">
        <f t="shared" si="46"/>
        <v>Female</v>
      </c>
      <c r="E251" s="8">
        <v>50</v>
      </c>
      <c r="F251" s="8">
        <f t="shared" si="47"/>
        <v>50</v>
      </c>
      <c r="G251" s="8" t="s">
        <v>71</v>
      </c>
      <c r="H251" s="8" t="s">
        <v>72</v>
      </c>
      <c r="I251" s="8" t="s">
        <v>10</v>
      </c>
      <c r="J251" s="8">
        <v>5</v>
      </c>
      <c r="K251" s="8">
        <f t="shared" si="48"/>
        <v>5</v>
      </c>
      <c r="L251" s="8">
        <v>100</v>
      </c>
      <c r="M251" s="9">
        <f t="shared" si="49"/>
        <v>100</v>
      </c>
      <c r="O251" s="10">
        <f t="shared" si="50"/>
        <v>2.5125695216907653</v>
      </c>
      <c r="P251" s="8" t="s">
        <v>2051</v>
      </c>
      <c r="Q251" s="13"/>
      <c r="S251" s="12">
        <f t="shared" si="51"/>
        <v>0.79269417475728277</v>
      </c>
    </row>
    <row r="252" spans="1:19" x14ac:dyDescent="0.35">
      <c r="A252" s="8" t="s">
        <v>550</v>
      </c>
      <c r="B252" s="8" t="s">
        <v>551</v>
      </c>
      <c r="C252" s="8" t="s">
        <v>1</v>
      </c>
      <c r="D252" s="8" t="str">
        <f t="shared" si="46"/>
        <v>Female</v>
      </c>
      <c r="E252" s="8">
        <v>42</v>
      </c>
      <c r="F252" s="8">
        <f t="shared" si="47"/>
        <v>42</v>
      </c>
      <c r="G252" s="8" t="s">
        <v>151</v>
      </c>
      <c r="H252" s="8" t="s">
        <v>51</v>
      </c>
      <c r="I252" s="8" t="s">
        <v>67</v>
      </c>
      <c r="J252" s="8">
        <v>19</v>
      </c>
      <c r="K252" s="8">
        <f t="shared" si="48"/>
        <v>19</v>
      </c>
      <c r="L252" s="8">
        <v>75</v>
      </c>
      <c r="M252" s="9">
        <f t="shared" si="49"/>
        <v>75</v>
      </c>
      <c r="N252" s="8">
        <v>4.5999999999999996</v>
      </c>
      <c r="O252" s="10">
        <f t="shared" si="50"/>
        <v>4.5999999999999996</v>
      </c>
      <c r="P252" s="8" t="s">
        <v>2050</v>
      </c>
      <c r="Q252" s="14">
        <v>0.78</v>
      </c>
      <c r="R252" s="12">
        <f>Q252</f>
        <v>0.78</v>
      </c>
      <c r="S252" s="12">
        <f t="shared" si="51"/>
        <v>0.78</v>
      </c>
    </row>
    <row r="253" spans="1:19" x14ac:dyDescent="0.35">
      <c r="A253" s="8" t="s">
        <v>552</v>
      </c>
      <c r="B253" s="8" t="s">
        <v>553</v>
      </c>
      <c r="C253" s="8" t="s">
        <v>70</v>
      </c>
      <c r="D253" s="8" t="str">
        <f t="shared" si="46"/>
        <v>Male</v>
      </c>
      <c r="E253" s="8">
        <v>43</v>
      </c>
      <c r="F253" s="8">
        <f t="shared" si="47"/>
        <v>43</v>
      </c>
      <c r="G253" s="8" t="s">
        <v>14</v>
      </c>
      <c r="H253" s="8" t="s">
        <v>15</v>
      </c>
      <c r="I253" s="8" t="s">
        <v>52</v>
      </c>
      <c r="J253" s="8">
        <v>6</v>
      </c>
      <c r="K253" s="8">
        <f t="shared" si="48"/>
        <v>6</v>
      </c>
      <c r="L253" s="8">
        <v>50</v>
      </c>
      <c r="M253" s="9">
        <f t="shared" si="49"/>
        <v>50</v>
      </c>
      <c r="N253" s="8">
        <v>0</v>
      </c>
      <c r="O253" s="11">
        <f t="shared" si="50"/>
        <v>0</v>
      </c>
      <c r="P253" s="8" t="s">
        <v>2050</v>
      </c>
      <c r="Q253" s="8">
        <v>81</v>
      </c>
      <c r="R253" s="12">
        <v>0.81</v>
      </c>
      <c r="S253" s="12">
        <f t="shared" si="51"/>
        <v>0.81</v>
      </c>
    </row>
    <row r="254" spans="1:19" x14ac:dyDescent="0.35">
      <c r="A254" s="8" t="s">
        <v>554</v>
      </c>
      <c r="B254" s="8" t="s">
        <v>555</v>
      </c>
      <c r="C254" s="8" t="s">
        <v>75</v>
      </c>
      <c r="D254" s="8" t="str">
        <f t="shared" si="46"/>
        <v>Male</v>
      </c>
      <c r="E254" s="8">
        <v>34</v>
      </c>
      <c r="F254" s="8">
        <f t="shared" si="47"/>
        <v>34</v>
      </c>
      <c r="G254" s="8" t="s">
        <v>14</v>
      </c>
      <c r="H254" s="8" t="s">
        <v>15</v>
      </c>
      <c r="I254" s="8" t="s">
        <v>33</v>
      </c>
      <c r="J254" s="8">
        <v>8</v>
      </c>
      <c r="K254" s="8">
        <f t="shared" si="48"/>
        <v>8</v>
      </c>
      <c r="L254" s="8">
        <v>75</v>
      </c>
      <c r="M254" s="9">
        <f t="shared" si="49"/>
        <v>75</v>
      </c>
      <c r="N254" s="8">
        <v>1.8</v>
      </c>
      <c r="O254" s="10">
        <f t="shared" si="50"/>
        <v>1.8</v>
      </c>
      <c r="P254" s="8" t="s">
        <v>2051</v>
      </c>
      <c r="Q254" s="14">
        <v>0.71</v>
      </c>
      <c r="R254" s="12">
        <f>Q254</f>
        <v>0.71</v>
      </c>
      <c r="S254" s="12">
        <f t="shared" si="51"/>
        <v>0.71</v>
      </c>
    </row>
    <row r="255" spans="1:19" x14ac:dyDescent="0.35">
      <c r="A255" s="8" t="s">
        <v>556</v>
      </c>
      <c r="B255" s="8" t="s">
        <v>557</v>
      </c>
      <c r="C255" s="8" t="s">
        <v>75</v>
      </c>
      <c r="D255" s="8" t="str">
        <f t="shared" si="46"/>
        <v>Male</v>
      </c>
      <c r="E255" s="8">
        <v>24</v>
      </c>
      <c r="F255" s="8">
        <f t="shared" si="47"/>
        <v>24</v>
      </c>
      <c r="G255" s="8" t="s">
        <v>162</v>
      </c>
      <c r="H255" s="8" t="s">
        <v>51</v>
      </c>
      <c r="I255" s="8" t="s">
        <v>10</v>
      </c>
      <c r="J255" s="8">
        <v>3</v>
      </c>
      <c r="K255" s="8">
        <f t="shared" si="48"/>
        <v>3</v>
      </c>
      <c r="L255" s="8">
        <v>75</v>
      </c>
      <c r="M255" s="9">
        <f t="shared" si="49"/>
        <v>75</v>
      </c>
      <c r="N255" s="8">
        <v>2</v>
      </c>
      <c r="O255" s="10">
        <f t="shared" si="50"/>
        <v>2</v>
      </c>
      <c r="P255" s="8" t="s">
        <v>2050</v>
      </c>
      <c r="Q255" s="13"/>
      <c r="S255" s="12">
        <f t="shared" si="51"/>
        <v>0.79269417475728277</v>
      </c>
    </row>
    <row r="256" spans="1:19" x14ac:dyDescent="0.35">
      <c r="A256" s="8" t="s">
        <v>558</v>
      </c>
      <c r="B256" s="8" t="s">
        <v>559</v>
      </c>
      <c r="C256" s="8" t="s">
        <v>30</v>
      </c>
      <c r="D256" s="8" t="str">
        <f t="shared" si="46"/>
        <v>Male</v>
      </c>
      <c r="E256" s="8">
        <v>48</v>
      </c>
      <c r="F256" s="8">
        <f t="shared" si="47"/>
        <v>48</v>
      </c>
      <c r="G256" s="8" t="s">
        <v>128</v>
      </c>
      <c r="H256" s="8" t="s">
        <v>129</v>
      </c>
      <c r="I256" s="8" t="s">
        <v>52</v>
      </c>
      <c r="J256" s="8">
        <v>8</v>
      </c>
      <c r="K256" s="8">
        <f t="shared" si="48"/>
        <v>8</v>
      </c>
      <c r="L256" s="8">
        <v>30</v>
      </c>
      <c r="M256" s="9">
        <f t="shared" si="49"/>
        <v>30</v>
      </c>
      <c r="N256" s="8">
        <v>5</v>
      </c>
      <c r="O256" s="10">
        <f t="shared" si="50"/>
        <v>5</v>
      </c>
      <c r="P256" s="8" t="s">
        <v>2051</v>
      </c>
      <c r="Q256" s="14">
        <v>0.99</v>
      </c>
      <c r="R256" s="12">
        <f t="shared" ref="R256:R259" si="61">Q256</f>
        <v>0.99</v>
      </c>
      <c r="S256" s="12">
        <f t="shared" si="51"/>
        <v>0.99</v>
      </c>
    </row>
    <row r="257" spans="1:19" x14ac:dyDescent="0.35">
      <c r="A257" s="8" t="s">
        <v>560</v>
      </c>
      <c r="B257" s="8" t="s">
        <v>561</v>
      </c>
      <c r="C257" s="8" t="s">
        <v>19</v>
      </c>
      <c r="D257" s="8" t="str">
        <f t="shared" si="46"/>
        <v>Female</v>
      </c>
      <c r="E257" s="8">
        <v>39</v>
      </c>
      <c r="F257" s="8">
        <f t="shared" si="47"/>
        <v>39</v>
      </c>
      <c r="G257" s="8" t="s">
        <v>88</v>
      </c>
      <c r="H257" s="8" t="s">
        <v>89</v>
      </c>
      <c r="I257" s="8" t="s">
        <v>33</v>
      </c>
      <c r="J257" s="8">
        <v>12</v>
      </c>
      <c r="K257" s="8">
        <f t="shared" si="48"/>
        <v>12</v>
      </c>
      <c r="L257" s="8">
        <v>20</v>
      </c>
      <c r="M257" s="9">
        <f t="shared" si="49"/>
        <v>20</v>
      </c>
      <c r="N257" s="8">
        <v>3.2</v>
      </c>
      <c r="O257" s="10">
        <f t="shared" si="50"/>
        <v>3.2</v>
      </c>
      <c r="P257" s="8" t="s">
        <v>2051</v>
      </c>
      <c r="Q257" s="14">
        <v>0.66</v>
      </c>
      <c r="R257" s="12">
        <f t="shared" si="61"/>
        <v>0.66</v>
      </c>
      <c r="S257" s="12">
        <f t="shared" si="51"/>
        <v>0.66</v>
      </c>
    </row>
    <row r="258" spans="1:19" x14ac:dyDescent="0.35">
      <c r="A258" s="8" t="s">
        <v>562</v>
      </c>
      <c r="B258" s="8" t="s">
        <v>563</v>
      </c>
      <c r="C258" s="8" t="s">
        <v>19</v>
      </c>
      <c r="D258" s="8" t="str">
        <f t="shared" si="46"/>
        <v>Female</v>
      </c>
      <c r="E258" s="8">
        <v>57</v>
      </c>
      <c r="F258" s="8">
        <f t="shared" si="47"/>
        <v>57</v>
      </c>
      <c r="G258" s="8" t="s">
        <v>8</v>
      </c>
      <c r="H258" s="8" t="s">
        <v>9</v>
      </c>
      <c r="I258" s="8" t="s">
        <v>4</v>
      </c>
      <c r="J258" s="8">
        <v>30</v>
      </c>
      <c r="K258" s="8">
        <f t="shared" si="48"/>
        <v>30</v>
      </c>
      <c r="L258" s="8">
        <v>30</v>
      </c>
      <c r="M258" s="9">
        <f t="shared" si="49"/>
        <v>30</v>
      </c>
      <c r="N258" s="8">
        <v>2.4</v>
      </c>
      <c r="O258" s="10">
        <f t="shared" si="50"/>
        <v>2.4</v>
      </c>
      <c r="P258" s="13" t="s">
        <v>2050</v>
      </c>
      <c r="Q258" s="14">
        <v>0.8</v>
      </c>
      <c r="R258" s="12">
        <f t="shared" si="61"/>
        <v>0.8</v>
      </c>
      <c r="S258" s="12">
        <f t="shared" si="51"/>
        <v>0.8</v>
      </c>
    </row>
    <row r="259" spans="1:19" x14ac:dyDescent="0.35">
      <c r="A259" s="8" t="s">
        <v>564</v>
      </c>
      <c r="B259" s="8" t="s">
        <v>565</v>
      </c>
      <c r="C259" s="8" t="s">
        <v>7</v>
      </c>
      <c r="D259" s="8" t="str">
        <f t="shared" ref="D259:D322" si="62">IF(LEFT(C259,1)="f","Female","Male")</f>
        <v>Female</v>
      </c>
      <c r="E259" s="8">
        <v>44</v>
      </c>
      <c r="F259" s="8">
        <f t="shared" ref="F259:F322" si="63">IF(ISBLANK(E259),MEDIAN($E$2:$E$1001),E259)</f>
        <v>44</v>
      </c>
      <c r="G259" s="8" t="s">
        <v>103</v>
      </c>
      <c r="H259" s="8" t="s">
        <v>9</v>
      </c>
      <c r="I259" s="8" t="s">
        <v>20</v>
      </c>
      <c r="J259" s="8">
        <v>21</v>
      </c>
      <c r="K259" s="8">
        <f t="shared" ref="K259:K322" si="64">IF(ISBLANK(J259),MEDIAN($J$2:$J$1001),J259)</f>
        <v>21</v>
      </c>
      <c r="L259" s="8">
        <v>100</v>
      </c>
      <c r="M259" s="9">
        <f t="shared" ref="M259:M322" si="65">IF(ISBLANK(L259),MEDIAN($L$2:$L$1001),L259)</f>
        <v>100</v>
      </c>
      <c r="N259" s="8">
        <v>2.9</v>
      </c>
      <c r="O259" s="10">
        <f t="shared" ref="O259:O322" si="66">IF(ISBLANK(N259),AVERAGE($N$2:$N$1001),N259)</f>
        <v>2.9</v>
      </c>
      <c r="P259" s="8" t="s">
        <v>2050</v>
      </c>
      <c r="Q259" s="14">
        <v>0.83</v>
      </c>
      <c r="R259" s="12">
        <f t="shared" si="61"/>
        <v>0.83</v>
      </c>
      <c r="S259" s="12">
        <f t="shared" si="51"/>
        <v>0.83</v>
      </c>
    </row>
    <row r="260" spans="1:19" x14ac:dyDescent="0.35">
      <c r="A260" s="8" t="s">
        <v>566</v>
      </c>
      <c r="B260" s="8" t="s">
        <v>567</v>
      </c>
      <c r="C260" s="8" t="s">
        <v>13</v>
      </c>
      <c r="D260" s="8" t="str">
        <f t="shared" si="62"/>
        <v>Male</v>
      </c>
      <c r="E260" s="8">
        <v>37</v>
      </c>
      <c r="F260" s="8">
        <f t="shared" si="63"/>
        <v>37</v>
      </c>
      <c r="G260" s="8" t="s">
        <v>84</v>
      </c>
      <c r="H260" s="8" t="s">
        <v>85</v>
      </c>
      <c r="I260" s="8" t="s">
        <v>52</v>
      </c>
      <c r="J260" s="8">
        <v>17</v>
      </c>
      <c r="K260" s="8">
        <f t="shared" si="64"/>
        <v>17</v>
      </c>
      <c r="L260" s="8">
        <v>20</v>
      </c>
      <c r="M260" s="9">
        <f t="shared" si="65"/>
        <v>20</v>
      </c>
      <c r="N260" s="8">
        <v>0</v>
      </c>
      <c r="O260" s="11">
        <f t="shared" si="66"/>
        <v>0</v>
      </c>
      <c r="P260" s="8" t="s">
        <v>2051</v>
      </c>
      <c r="Q260" s="8">
        <v>87</v>
      </c>
      <c r="R260" s="12">
        <v>0.87</v>
      </c>
      <c r="S260" s="12">
        <f t="shared" ref="S260:S323" si="67">IF(ISBLANK(R260),AVERAGE($R$2:$R$1001),R260)</f>
        <v>0.87</v>
      </c>
    </row>
    <row r="261" spans="1:19" x14ac:dyDescent="0.35">
      <c r="A261" s="8" t="s">
        <v>568</v>
      </c>
      <c r="B261" s="8" t="s">
        <v>569</v>
      </c>
      <c r="C261" s="8" t="s">
        <v>75</v>
      </c>
      <c r="D261" s="8" t="str">
        <f t="shared" si="62"/>
        <v>Male</v>
      </c>
      <c r="E261" s="8">
        <v>50</v>
      </c>
      <c r="F261" s="8">
        <f t="shared" si="63"/>
        <v>50</v>
      </c>
      <c r="G261" s="8" t="s">
        <v>42</v>
      </c>
      <c r="H261" s="8" t="s">
        <v>43</v>
      </c>
      <c r="I261" s="8" t="s">
        <v>33</v>
      </c>
      <c r="J261" s="8">
        <v>9</v>
      </c>
      <c r="K261" s="8">
        <f t="shared" si="64"/>
        <v>9</v>
      </c>
      <c r="L261" s="8">
        <v>30</v>
      </c>
      <c r="M261" s="9">
        <f t="shared" si="65"/>
        <v>30</v>
      </c>
      <c r="N261" s="8">
        <v>3</v>
      </c>
      <c r="O261" s="10">
        <f t="shared" si="66"/>
        <v>3</v>
      </c>
      <c r="P261" s="8" t="s">
        <v>2050</v>
      </c>
      <c r="Q261" s="8">
        <v>76</v>
      </c>
      <c r="R261" s="12">
        <v>0.76</v>
      </c>
      <c r="S261" s="12">
        <f t="shared" si="67"/>
        <v>0.76</v>
      </c>
    </row>
    <row r="262" spans="1:19" x14ac:dyDescent="0.35">
      <c r="A262" s="8" t="s">
        <v>570</v>
      </c>
      <c r="B262" s="8" t="s">
        <v>571</v>
      </c>
      <c r="C262" s="8" t="s">
        <v>75</v>
      </c>
      <c r="D262" s="8" t="str">
        <f t="shared" si="62"/>
        <v>Male</v>
      </c>
      <c r="E262" s="8">
        <v>50</v>
      </c>
      <c r="F262" s="8">
        <f t="shared" si="63"/>
        <v>50</v>
      </c>
      <c r="G262" s="8" t="s">
        <v>162</v>
      </c>
      <c r="H262" s="8" t="s">
        <v>51</v>
      </c>
      <c r="I262" s="8" t="s">
        <v>52</v>
      </c>
      <c r="J262" s="8">
        <v>2</v>
      </c>
      <c r="K262" s="8">
        <f t="shared" si="64"/>
        <v>2</v>
      </c>
      <c r="L262" s="8">
        <v>50</v>
      </c>
      <c r="M262" s="9">
        <f t="shared" si="65"/>
        <v>50</v>
      </c>
      <c r="N262" s="8">
        <v>1.6</v>
      </c>
      <c r="O262" s="10">
        <f t="shared" si="66"/>
        <v>1.6</v>
      </c>
      <c r="P262" s="8" t="s">
        <v>2050</v>
      </c>
      <c r="Q262" s="14">
        <v>0.89</v>
      </c>
      <c r="R262" s="12">
        <f t="shared" ref="R262:R268" si="68">Q262</f>
        <v>0.89</v>
      </c>
      <c r="S262" s="12">
        <f t="shared" si="67"/>
        <v>0.89</v>
      </c>
    </row>
    <row r="263" spans="1:19" x14ac:dyDescent="0.35">
      <c r="A263" s="8" t="s">
        <v>572</v>
      </c>
      <c r="B263" s="8" t="s">
        <v>573</v>
      </c>
      <c r="C263" s="8" t="s">
        <v>55</v>
      </c>
      <c r="D263" s="8" t="str">
        <f t="shared" si="62"/>
        <v>Female</v>
      </c>
      <c r="E263" s="8">
        <v>28</v>
      </c>
      <c r="F263" s="8">
        <f t="shared" si="63"/>
        <v>28</v>
      </c>
      <c r="G263" s="8" t="s">
        <v>110</v>
      </c>
      <c r="H263" s="8" t="s">
        <v>111</v>
      </c>
      <c r="I263" s="8" t="s">
        <v>16</v>
      </c>
      <c r="J263" s="8">
        <v>1</v>
      </c>
      <c r="K263" s="8">
        <f t="shared" si="64"/>
        <v>1</v>
      </c>
      <c r="L263" s="8">
        <v>20</v>
      </c>
      <c r="M263" s="9">
        <f t="shared" si="65"/>
        <v>20</v>
      </c>
      <c r="N263" s="8">
        <v>3.6</v>
      </c>
      <c r="O263" s="10">
        <f t="shared" si="66"/>
        <v>3.6</v>
      </c>
      <c r="P263" s="8" t="s">
        <v>2051</v>
      </c>
      <c r="Q263" s="14">
        <v>0.94</v>
      </c>
      <c r="R263" s="12">
        <f t="shared" si="68"/>
        <v>0.94</v>
      </c>
      <c r="S263" s="12">
        <f t="shared" si="67"/>
        <v>0.94</v>
      </c>
    </row>
    <row r="264" spans="1:19" x14ac:dyDescent="0.35">
      <c r="A264" s="8" t="s">
        <v>574</v>
      </c>
      <c r="B264" s="8" t="s">
        <v>575</v>
      </c>
      <c r="C264" s="8" t="s">
        <v>75</v>
      </c>
      <c r="D264" s="8" t="str">
        <f t="shared" si="62"/>
        <v>Male</v>
      </c>
      <c r="E264" s="8">
        <v>48</v>
      </c>
      <c r="F264" s="8">
        <f t="shared" si="63"/>
        <v>48</v>
      </c>
      <c r="G264" s="8" t="s">
        <v>2</v>
      </c>
      <c r="H264" s="8" t="s">
        <v>3</v>
      </c>
      <c r="I264" s="8" t="s">
        <v>20</v>
      </c>
      <c r="J264" s="8">
        <v>23</v>
      </c>
      <c r="K264" s="8">
        <f t="shared" si="64"/>
        <v>23</v>
      </c>
      <c r="L264" s="13"/>
      <c r="M264" s="9">
        <f t="shared" si="65"/>
        <v>40</v>
      </c>
      <c r="N264" s="8">
        <v>2.1</v>
      </c>
      <c r="O264" s="10">
        <f t="shared" si="66"/>
        <v>2.1</v>
      </c>
      <c r="P264" s="8" t="s">
        <v>2050</v>
      </c>
      <c r="Q264" s="14">
        <v>0.68</v>
      </c>
      <c r="R264" s="12">
        <f t="shared" si="68"/>
        <v>0.68</v>
      </c>
      <c r="S264" s="12">
        <f t="shared" si="67"/>
        <v>0.68</v>
      </c>
    </row>
    <row r="265" spans="1:19" x14ac:dyDescent="0.35">
      <c r="A265" s="8" t="s">
        <v>576</v>
      </c>
      <c r="B265" s="8" t="s">
        <v>577</v>
      </c>
      <c r="C265" s="8" t="s">
        <v>75</v>
      </c>
      <c r="D265" s="8" t="str">
        <f t="shared" si="62"/>
        <v>Male</v>
      </c>
      <c r="E265" s="8">
        <v>42</v>
      </c>
      <c r="F265" s="8">
        <f t="shared" si="63"/>
        <v>42</v>
      </c>
      <c r="G265" s="8" t="s">
        <v>14</v>
      </c>
      <c r="H265" s="8" t="s">
        <v>15</v>
      </c>
      <c r="I265" s="8" t="s">
        <v>67</v>
      </c>
      <c r="J265" s="8">
        <v>8</v>
      </c>
      <c r="K265" s="8">
        <f t="shared" si="64"/>
        <v>8</v>
      </c>
      <c r="L265" s="8">
        <v>30</v>
      </c>
      <c r="M265" s="9">
        <f t="shared" si="65"/>
        <v>30</v>
      </c>
      <c r="N265" s="8">
        <v>3.6</v>
      </c>
      <c r="O265" s="10">
        <f t="shared" si="66"/>
        <v>3.6</v>
      </c>
      <c r="P265" s="8" t="s">
        <v>2051</v>
      </c>
      <c r="Q265" s="14">
        <v>0.96</v>
      </c>
      <c r="R265" s="12">
        <f t="shared" si="68"/>
        <v>0.96</v>
      </c>
      <c r="S265" s="12">
        <f t="shared" si="67"/>
        <v>0.96</v>
      </c>
    </row>
    <row r="266" spans="1:19" x14ac:dyDescent="0.35">
      <c r="A266" s="8" t="s">
        <v>578</v>
      </c>
      <c r="B266" s="8" t="s">
        <v>579</v>
      </c>
      <c r="C266" s="8" t="s">
        <v>55</v>
      </c>
      <c r="D266" s="8" t="str">
        <f t="shared" si="62"/>
        <v>Female</v>
      </c>
      <c r="E266" s="8">
        <v>37</v>
      </c>
      <c r="F266" s="8">
        <f t="shared" si="63"/>
        <v>37</v>
      </c>
      <c r="G266" s="8" t="s">
        <v>103</v>
      </c>
      <c r="H266" s="8" t="s">
        <v>9</v>
      </c>
      <c r="I266" s="8" t="s">
        <v>33</v>
      </c>
      <c r="J266" s="8">
        <v>6</v>
      </c>
      <c r="K266" s="8">
        <f t="shared" si="64"/>
        <v>6</v>
      </c>
      <c r="L266" s="8">
        <v>20</v>
      </c>
      <c r="M266" s="9">
        <f t="shared" si="65"/>
        <v>20</v>
      </c>
      <c r="N266" s="8">
        <v>2.7</v>
      </c>
      <c r="O266" s="10">
        <f t="shared" si="66"/>
        <v>2.7</v>
      </c>
      <c r="P266" s="8" t="s">
        <v>2051</v>
      </c>
      <c r="Q266" s="14">
        <v>0.91</v>
      </c>
      <c r="R266" s="12">
        <f t="shared" si="68"/>
        <v>0.91</v>
      </c>
      <c r="S266" s="12">
        <f t="shared" si="67"/>
        <v>0.91</v>
      </c>
    </row>
    <row r="267" spans="1:19" x14ac:dyDescent="0.35">
      <c r="A267" s="8" t="s">
        <v>580</v>
      </c>
      <c r="B267" s="8" t="s">
        <v>581</v>
      </c>
      <c r="C267" s="8" t="s">
        <v>75</v>
      </c>
      <c r="D267" s="8" t="str">
        <f t="shared" si="62"/>
        <v>Male</v>
      </c>
      <c r="E267" s="8">
        <v>21</v>
      </c>
      <c r="F267" s="8">
        <f t="shared" si="63"/>
        <v>21</v>
      </c>
      <c r="G267" s="8" t="s">
        <v>71</v>
      </c>
      <c r="H267" s="8" t="s">
        <v>72</v>
      </c>
      <c r="I267" s="8" t="s">
        <v>4</v>
      </c>
      <c r="J267" s="8">
        <v>1</v>
      </c>
      <c r="K267" s="8">
        <f t="shared" si="64"/>
        <v>1</v>
      </c>
      <c r="L267" s="8">
        <v>100</v>
      </c>
      <c r="M267" s="9">
        <f t="shared" si="65"/>
        <v>100</v>
      </c>
      <c r="N267" s="8">
        <v>2.1</v>
      </c>
      <c r="O267" s="10">
        <f t="shared" si="66"/>
        <v>2.1</v>
      </c>
      <c r="P267" s="8" t="s">
        <v>2051</v>
      </c>
      <c r="Q267" s="14">
        <v>0.92</v>
      </c>
      <c r="R267" s="12">
        <f t="shared" si="68"/>
        <v>0.92</v>
      </c>
      <c r="S267" s="12">
        <f t="shared" si="67"/>
        <v>0.92</v>
      </c>
    </row>
    <row r="268" spans="1:19" x14ac:dyDescent="0.35">
      <c r="A268" s="8" t="s">
        <v>582</v>
      </c>
      <c r="B268" s="8" t="s">
        <v>583</v>
      </c>
      <c r="C268" s="8" t="s">
        <v>41</v>
      </c>
      <c r="D268" s="8" t="str">
        <f t="shared" si="62"/>
        <v>Male</v>
      </c>
      <c r="E268" s="8">
        <v>50</v>
      </c>
      <c r="F268" s="8">
        <f t="shared" si="63"/>
        <v>50</v>
      </c>
      <c r="G268" s="8" t="s">
        <v>88</v>
      </c>
      <c r="H268" s="8" t="s">
        <v>89</v>
      </c>
      <c r="I268" s="8" t="s">
        <v>20</v>
      </c>
      <c r="J268" s="8">
        <v>19</v>
      </c>
      <c r="K268" s="8">
        <f t="shared" si="64"/>
        <v>19</v>
      </c>
      <c r="L268" s="8">
        <v>40</v>
      </c>
      <c r="M268" s="9">
        <f t="shared" si="65"/>
        <v>40</v>
      </c>
      <c r="N268" s="8">
        <v>4.9000000000000004</v>
      </c>
      <c r="O268" s="10">
        <f t="shared" si="66"/>
        <v>4.9000000000000004</v>
      </c>
      <c r="P268" s="13" t="s">
        <v>2050</v>
      </c>
      <c r="Q268" s="14">
        <v>0.82</v>
      </c>
      <c r="R268" s="12">
        <f t="shared" si="68"/>
        <v>0.82</v>
      </c>
      <c r="S268" s="12">
        <f t="shared" si="67"/>
        <v>0.82</v>
      </c>
    </row>
    <row r="269" spans="1:19" x14ac:dyDescent="0.35">
      <c r="A269" s="8" t="s">
        <v>584</v>
      </c>
      <c r="B269" s="8" t="s">
        <v>585</v>
      </c>
      <c r="C269" s="8" t="s">
        <v>19</v>
      </c>
      <c r="D269" s="8" t="str">
        <f t="shared" si="62"/>
        <v>Female</v>
      </c>
      <c r="E269" s="8">
        <v>22</v>
      </c>
      <c r="F269" s="8">
        <f t="shared" si="63"/>
        <v>22</v>
      </c>
      <c r="G269" s="8" t="s">
        <v>50</v>
      </c>
      <c r="H269" s="8" t="s">
        <v>51</v>
      </c>
      <c r="I269" s="8" t="s">
        <v>27</v>
      </c>
      <c r="J269" s="8">
        <v>2</v>
      </c>
      <c r="K269" s="8">
        <f t="shared" si="64"/>
        <v>2</v>
      </c>
      <c r="L269" s="8">
        <v>30</v>
      </c>
      <c r="M269" s="9">
        <f t="shared" si="65"/>
        <v>30</v>
      </c>
      <c r="N269" s="8">
        <v>2.1</v>
      </c>
      <c r="O269" s="10">
        <f t="shared" si="66"/>
        <v>2.1</v>
      </c>
      <c r="P269" s="13" t="s">
        <v>2050</v>
      </c>
      <c r="Q269" s="13"/>
      <c r="S269" s="12">
        <f t="shared" si="67"/>
        <v>0.79269417475728277</v>
      </c>
    </row>
    <row r="270" spans="1:19" x14ac:dyDescent="0.35">
      <c r="A270" s="8" t="s">
        <v>586</v>
      </c>
      <c r="B270" s="8" t="s">
        <v>587</v>
      </c>
      <c r="C270" s="8" t="s">
        <v>55</v>
      </c>
      <c r="D270" s="8" t="str">
        <f t="shared" si="62"/>
        <v>Female</v>
      </c>
      <c r="E270" s="8">
        <v>39</v>
      </c>
      <c r="F270" s="8">
        <f t="shared" si="63"/>
        <v>39</v>
      </c>
      <c r="G270" s="8" t="s">
        <v>63</v>
      </c>
      <c r="H270" s="8" t="s">
        <v>64</v>
      </c>
      <c r="I270" s="8" t="s">
        <v>20</v>
      </c>
      <c r="J270" s="8">
        <v>21</v>
      </c>
      <c r="K270" s="8">
        <f t="shared" si="64"/>
        <v>21</v>
      </c>
      <c r="L270" s="8">
        <v>100</v>
      </c>
      <c r="M270" s="9">
        <f t="shared" si="65"/>
        <v>100</v>
      </c>
      <c r="N270" s="8">
        <v>0</v>
      </c>
      <c r="O270" s="11">
        <f t="shared" si="66"/>
        <v>0</v>
      </c>
      <c r="P270" s="8" t="s">
        <v>2050</v>
      </c>
      <c r="Q270" s="14">
        <v>0.91</v>
      </c>
      <c r="R270" s="12">
        <f>Q270</f>
        <v>0.91</v>
      </c>
      <c r="S270" s="12">
        <f t="shared" si="67"/>
        <v>0.91</v>
      </c>
    </row>
    <row r="271" spans="1:19" x14ac:dyDescent="0.35">
      <c r="A271" s="8" t="s">
        <v>588</v>
      </c>
      <c r="B271" s="8" t="s">
        <v>589</v>
      </c>
      <c r="C271" s="8" t="s">
        <v>55</v>
      </c>
      <c r="D271" s="8" t="str">
        <f t="shared" si="62"/>
        <v>Female</v>
      </c>
      <c r="E271" s="8">
        <v>25</v>
      </c>
      <c r="F271" s="8">
        <f t="shared" si="63"/>
        <v>25</v>
      </c>
      <c r="G271" s="8" t="s">
        <v>63</v>
      </c>
      <c r="H271" s="8" t="s">
        <v>64</v>
      </c>
      <c r="I271" s="8" t="s">
        <v>90</v>
      </c>
      <c r="J271" s="8">
        <v>3</v>
      </c>
      <c r="K271" s="8">
        <f t="shared" si="64"/>
        <v>3</v>
      </c>
      <c r="L271" s="8">
        <v>50</v>
      </c>
      <c r="M271" s="9">
        <f t="shared" si="65"/>
        <v>50</v>
      </c>
      <c r="N271" s="8">
        <v>2.8</v>
      </c>
      <c r="O271" s="10">
        <f t="shared" si="66"/>
        <v>2.8</v>
      </c>
      <c r="P271" s="8" t="s">
        <v>2051</v>
      </c>
      <c r="Q271" s="8">
        <v>86</v>
      </c>
      <c r="R271" s="12">
        <v>0.86</v>
      </c>
      <c r="S271" s="12">
        <f t="shared" si="67"/>
        <v>0.86</v>
      </c>
    </row>
    <row r="272" spans="1:19" x14ac:dyDescent="0.35">
      <c r="A272" s="8" t="s">
        <v>590</v>
      </c>
      <c r="B272" s="8" t="s">
        <v>591</v>
      </c>
      <c r="C272" s="8" t="s">
        <v>7</v>
      </c>
      <c r="D272" s="8" t="str">
        <f t="shared" si="62"/>
        <v>Female</v>
      </c>
      <c r="E272" s="8">
        <v>47</v>
      </c>
      <c r="F272" s="8">
        <f t="shared" si="63"/>
        <v>47</v>
      </c>
      <c r="G272" s="8" t="s">
        <v>128</v>
      </c>
      <c r="H272" s="8" t="s">
        <v>129</v>
      </c>
      <c r="I272" s="8" t="s">
        <v>10</v>
      </c>
      <c r="J272" s="8">
        <v>14</v>
      </c>
      <c r="K272" s="8">
        <f t="shared" si="64"/>
        <v>14</v>
      </c>
      <c r="L272" s="13"/>
      <c r="M272" s="9">
        <f t="shared" si="65"/>
        <v>40</v>
      </c>
      <c r="O272" s="10">
        <f t="shared" si="66"/>
        <v>2.5125695216907653</v>
      </c>
      <c r="P272" s="8" t="s">
        <v>2050</v>
      </c>
      <c r="Q272" s="14">
        <v>0.69</v>
      </c>
      <c r="R272" s="12">
        <f t="shared" ref="R272:R279" si="69">Q272</f>
        <v>0.69</v>
      </c>
      <c r="S272" s="12">
        <f t="shared" si="67"/>
        <v>0.69</v>
      </c>
    </row>
    <row r="273" spans="1:19" x14ac:dyDescent="0.35">
      <c r="A273" s="8" t="s">
        <v>592</v>
      </c>
      <c r="B273" s="8" t="s">
        <v>593</v>
      </c>
      <c r="C273" s="8" t="s">
        <v>1</v>
      </c>
      <c r="D273" s="8" t="str">
        <f t="shared" si="62"/>
        <v>Female</v>
      </c>
      <c r="E273" s="8">
        <v>35</v>
      </c>
      <c r="F273" s="8">
        <f t="shared" si="63"/>
        <v>35</v>
      </c>
      <c r="G273" s="8" t="s">
        <v>128</v>
      </c>
      <c r="H273" s="8" t="s">
        <v>129</v>
      </c>
      <c r="I273" s="8" t="s">
        <v>52</v>
      </c>
      <c r="J273" s="8">
        <v>10</v>
      </c>
      <c r="K273" s="8">
        <f t="shared" si="64"/>
        <v>10</v>
      </c>
      <c r="L273" s="8">
        <v>100</v>
      </c>
      <c r="M273" s="9">
        <f t="shared" si="65"/>
        <v>100</v>
      </c>
      <c r="N273" s="8">
        <v>4.7</v>
      </c>
      <c r="O273" s="10">
        <f t="shared" si="66"/>
        <v>4.7</v>
      </c>
      <c r="P273" s="8" t="s">
        <v>2051</v>
      </c>
      <c r="Q273" s="14">
        <v>0.84</v>
      </c>
      <c r="R273" s="12">
        <f t="shared" si="69"/>
        <v>0.84</v>
      </c>
      <c r="S273" s="12">
        <f t="shared" si="67"/>
        <v>0.84</v>
      </c>
    </row>
    <row r="274" spans="1:19" x14ac:dyDescent="0.35">
      <c r="A274" s="8" t="s">
        <v>594</v>
      </c>
      <c r="B274" s="8" t="s">
        <v>595</v>
      </c>
      <c r="C274" s="8" t="s">
        <v>1</v>
      </c>
      <c r="D274" s="8" t="str">
        <f t="shared" si="62"/>
        <v>Female</v>
      </c>
      <c r="E274" s="13"/>
      <c r="F274" s="8">
        <f t="shared" si="63"/>
        <v>41</v>
      </c>
      <c r="G274" s="8" t="s">
        <v>46</v>
      </c>
      <c r="H274" s="8" t="s">
        <v>9</v>
      </c>
      <c r="I274" s="8" t="s">
        <v>56</v>
      </c>
      <c r="J274" s="8">
        <v>5</v>
      </c>
      <c r="K274" s="8">
        <f t="shared" si="64"/>
        <v>5</v>
      </c>
      <c r="L274" s="8">
        <v>100</v>
      </c>
      <c r="M274" s="9">
        <f t="shared" si="65"/>
        <v>100</v>
      </c>
      <c r="N274" s="8">
        <v>1.3</v>
      </c>
      <c r="O274" s="10">
        <f t="shared" si="66"/>
        <v>1.3</v>
      </c>
      <c r="P274" s="8" t="s">
        <v>2050</v>
      </c>
      <c r="Q274" s="14">
        <v>0.6</v>
      </c>
      <c r="R274" s="12">
        <f t="shared" si="69"/>
        <v>0.6</v>
      </c>
      <c r="S274" s="12">
        <f t="shared" si="67"/>
        <v>0.6</v>
      </c>
    </row>
    <row r="275" spans="1:19" x14ac:dyDescent="0.35">
      <c r="A275" s="8" t="s">
        <v>596</v>
      </c>
      <c r="B275" s="8" t="s">
        <v>2014</v>
      </c>
      <c r="C275" s="8" t="s">
        <v>13</v>
      </c>
      <c r="D275" s="8" t="str">
        <f t="shared" si="62"/>
        <v>Male</v>
      </c>
      <c r="E275" s="8">
        <v>35</v>
      </c>
      <c r="F275" s="8">
        <f t="shared" si="63"/>
        <v>35</v>
      </c>
      <c r="G275" s="8" t="s">
        <v>25</v>
      </c>
      <c r="H275" s="8" t="s">
        <v>26</v>
      </c>
      <c r="I275" s="8" t="s">
        <v>4</v>
      </c>
      <c r="J275" s="8">
        <v>6</v>
      </c>
      <c r="K275" s="8">
        <f t="shared" si="64"/>
        <v>6</v>
      </c>
      <c r="L275" s="8">
        <v>75</v>
      </c>
      <c r="M275" s="9">
        <f t="shared" si="65"/>
        <v>75</v>
      </c>
      <c r="N275" s="8">
        <v>1.6</v>
      </c>
      <c r="O275" s="10">
        <f t="shared" si="66"/>
        <v>1.6</v>
      </c>
      <c r="P275" s="8" t="s">
        <v>2051</v>
      </c>
      <c r="Q275" s="14">
        <v>0.97</v>
      </c>
      <c r="R275" s="12">
        <f t="shared" si="69"/>
        <v>0.97</v>
      </c>
      <c r="S275" s="12">
        <f t="shared" si="67"/>
        <v>0.97</v>
      </c>
    </row>
    <row r="276" spans="1:19" x14ac:dyDescent="0.35">
      <c r="A276" s="8" t="s">
        <v>597</v>
      </c>
      <c r="B276" s="8" t="s">
        <v>598</v>
      </c>
      <c r="C276" s="8" t="s">
        <v>75</v>
      </c>
      <c r="D276" s="8" t="str">
        <f t="shared" si="62"/>
        <v>Male</v>
      </c>
      <c r="E276" s="8">
        <v>59</v>
      </c>
      <c r="F276" s="8">
        <f t="shared" si="63"/>
        <v>59</v>
      </c>
      <c r="G276" s="8" t="s">
        <v>110</v>
      </c>
      <c r="H276" s="8" t="s">
        <v>111</v>
      </c>
      <c r="I276" s="8" t="s">
        <v>20</v>
      </c>
      <c r="J276" s="8">
        <v>21</v>
      </c>
      <c r="K276" s="8">
        <f t="shared" si="64"/>
        <v>21</v>
      </c>
      <c r="L276" s="8">
        <v>100</v>
      </c>
      <c r="M276" s="9">
        <f t="shared" si="65"/>
        <v>100</v>
      </c>
      <c r="N276" s="8">
        <v>0</v>
      </c>
      <c r="O276" s="11">
        <f t="shared" si="66"/>
        <v>0</v>
      </c>
      <c r="P276" s="13" t="s">
        <v>2050</v>
      </c>
      <c r="Q276" s="14">
        <v>0.7</v>
      </c>
      <c r="R276" s="12">
        <f t="shared" si="69"/>
        <v>0.7</v>
      </c>
      <c r="S276" s="12">
        <f t="shared" si="67"/>
        <v>0.7</v>
      </c>
    </row>
    <row r="277" spans="1:19" x14ac:dyDescent="0.35">
      <c r="A277" s="8" t="s">
        <v>599</v>
      </c>
      <c r="B277" s="8" t="s">
        <v>600</v>
      </c>
      <c r="C277" s="8" t="s">
        <v>7</v>
      </c>
      <c r="D277" s="8" t="str">
        <f t="shared" si="62"/>
        <v>Female</v>
      </c>
      <c r="E277" s="8">
        <v>26</v>
      </c>
      <c r="F277" s="8">
        <f t="shared" si="63"/>
        <v>26</v>
      </c>
      <c r="G277" s="8" t="s">
        <v>147</v>
      </c>
      <c r="H277" s="8" t="s">
        <v>148</v>
      </c>
      <c r="I277" s="8" t="s">
        <v>52</v>
      </c>
      <c r="J277" s="8">
        <v>4</v>
      </c>
      <c r="K277" s="8">
        <f t="shared" si="64"/>
        <v>4</v>
      </c>
      <c r="L277" s="8">
        <v>100</v>
      </c>
      <c r="M277" s="9">
        <f t="shared" si="65"/>
        <v>100</v>
      </c>
      <c r="N277" s="8">
        <v>3.6</v>
      </c>
      <c r="O277" s="10">
        <f t="shared" si="66"/>
        <v>3.6</v>
      </c>
      <c r="P277" s="8" t="s">
        <v>2050</v>
      </c>
      <c r="Q277" s="14">
        <v>0.81</v>
      </c>
      <c r="R277" s="12">
        <f t="shared" si="69"/>
        <v>0.81</v>
      </c>
      <c r="S277" s="12">
        <f t="shared" si="67"/>
        <v>0.81</v>
      </c>
    </row>
    <row r="278" spans="1:19" x14ac:dyDescent="0.35">
      <c r="A278" s="8" t="s">
        <v>601</v>
      </c>
      <c r="B278" s="8" t="s">
        <v>602</v>
      </c>
      <c r="C278" s="8" t="s">
        <v>41</v>
      </c>
      <c r="D278" s="8" t="str">
        <f t="shared" si="62"/>
        <v>Male</v>
      </c>
      <c r="E278" s="8">
        <v>44</v>
      </c>
      <c r="F278" s="8">
        <f t="shared" si="63"/>
        <v>44</v>
      </c>
      <c r="G278" s="8" t="s">
        <v>99</v>
      </c>
      <c r="H278" s="8" t="s">
        <v>100</v>
      </c>
      <c r="I278" s="8" t="s">
        <v>90</v>
      </c>
      <c r="J278" s="8">
        <v>18</v>
      </c>
      <c r="K278" s="8">
        <f t="shared" si="64"/>
        <v>18</v>
      </c>
      <c r="L278" s="8">
        <v>20</v>
      </c>
      <c r="M278" s="9">
        <f t="shared" si="65"/>
        <v>20</v>
      </c>
      <c r="N278" s="8">
        <v>4.7</v>
      </c>
      <c r="O278" s="10">
        <f t="shared" si="66"/>
        <v>4.7</v>
      </c>
      <c r="P278" s="8" t="s">
        <v>2051</v>
      </c>
      <c r="Q278" s="14">
        <v>0.88</v>
      </c>
      <c r="R278" s="12">
        <f t="shared" si="69"/>
        <v>0.88</v>
      </c>
      <c r="S278" s="12">
        <f t="shared" si="67"/>
        <v>0.88</v>
      </c>
    </row>
    <row r="279" spans="1:19" x14ac:dyDescent="0.35">
      <c r="A279" s="8" t="s">
        <v>603</v>
      </c>
      <c r="B279" s="8" t="s">
        <v>604</v>
      </c>
      <c r="C279" s="8" t="s">
        <v>55</v>
      </c>
      <c r="D279" s="8" t="str">
        <f t="shared" si="62"/>
        <v>Female</v>
      </c>
      <c r="E279" s="8">
        <v>31</v>
      </c>
      <c r="F279" s="8">
        <f t="shared" si="63"/>
        <v>31</v>
      </c>
      <c r="G279" s="8" t="s">
        <v>128</v>
      </c>
      <c r="H279" s="8" t="s">
        <v>129</v>
      </c>
      <c r="I279" s="8" t="s">
        <v>52</v>
      </c>
      <c r="J279" s="8">
        <v>12</v>
      </c>
      <c r="K279" s="8">
        <f t="shared" si="64"/>
        <v>12</v>
      </c>
      <c r="L279" s="8">
        <v>40</v>
      </c>
      <c r="M279" s="9">
        <f t="shared" si="65"/>
        <v>40</v>
      </c>
      <c r="O279" s="10">
        <f t="shared" si="66"/>
        <v>2.5125695216907653</v>
      </c>
      <c r="P279" s="8" t="s">
        <v>2051</v>
      </c>
      <c r="Q279" s="14">
        <v>1</v>
      </c>
      <c r="R279" s="12">
        <f t="shared" si="69"/>
        <v>1</v>
      </c>
      <c r="S279" s="12">
        <f t="shared" si="67"/>
        <v>1</v>
      </c>
    </row>
    <row r="280" spans="1:19" x14ac:dyDescent="0.35">
      <c r="A280" s="8" t="s">
        <v>605</v>
      </c>
      <c r="B280" s="8" t="s">
        <v>2031</v>
      </c>
      <c r="C280" s="8" t="s">
        <v>13</v>
      </c>
      <c r="D280" s="8" t="str">
        <f t="shared" si="62"/>
        <v>Male</v>
      </c>
      <c r="E280" s="8">
        <v>60</v>
      </c>
      <c r="F280" s="8">
        <f t="shared" si="63"/>
        <v>60</v>
      </c>
      <c r="G280" s="8" t="s">
        <v>42</v>
      </c>
      <c r="H280" s="8" t="s">
        <v>43</v>
      </c>
      <c r="I280" s="8" t="s">
        <v>33</v>
      </c>
      <c r="J280" s="8">
        <v>6</v>
      </c>
      <c r="K280" s="8">
        <f t="shared" si="64"/>
        <v>6</v>
      </c>
      <c r="L280" s="13"/>
      <c r="M280" s="9">
        <f t="shared" si="65"/>
        <v>40</v>
      </c>
      <c r="N280" s="8">
        <v>3.2</v>
      </c>
      <c r="O280" s="10">
        <f t="shared" si="66"/>
        <v>3.2</v>
      </c>
      <c r="P280" s="8" t="s">
        <v>2050</v>
      </c>
      <c r="Q280" s="8">
        <v>95</v>
      </c>
      <c r="R280" s="12">
        <v>0.95</v>
      </c>
      <c r="S280" s="12">
        <f t="shared" si="67"/>
        <v>0.95</v>
      </c>
    </row>
    <row r="281" spans="1:19" x14ac:dyDescent="0.35">
      <c r="A281" s="8" t="s">
        <v>606</v>
      </c>
      <c r="B281" s="8" t="s">
        <v>607</v>
      </c>
      <c r="C281" s="8" t="s">
        <v>22</v>
      </c>
      <c r="D281" s="8" t="str">
        <f t="shared" si="62"/>
        <v>Female</v>
      </c>
      <c r="E281" s="8">
        <v>23</v>
      </c>
      <c r="F281" s="8">
        <f t="shared" si="63"/>
        <v>23</v>
      </c>
      <c r="G281" s="8" t="s">
        <v>46</v>
      </c>
      <c r="H281" s="8" t="s">
        <v>9</v>
      </c>
      <c r="I281" s="8" t="s">
        <v>4</v>
      </c>
      <c r="J281" s="8">
        <v>4</v>
      </c>
      <c r="K281" s="8">
        <f t="shared" si="64"/>
        <v>4</v>
      </c>
      <c r="L281" s="8">
        <v>20</v>
      </c>
      <c r="M281" s="9">
        <f t="shared" si="65"/>
        <v>20</v>
      </c>
      <c r="O281" s="10">
        <f t="shared" si="66"/>
        <v>2.5125695216907653</v>
      </c>
      <c r="P281" s="8" t="s">
        <v>2050</v>
      </c>
      <c r="Q281" s="14">
        <v>0.71</v>
      </c>
      <c r="R281" s="12">
        <f t="shared" ref="R281:R285" si="70">Q281</f>
        <v>0.71</v>
      </c>
      <c r="S281" s="12">
        <f t="shared" si="67"/>
        <v>0.71</v>
      </c>
    </row>
    <row r="282" spans="1:19" x14ac:dyDescent="0.35">
      <c r="A282" s="8" t="s">
        <v>608</v>
      </c>
      <c r="B282" s="8" t="s">
        <v>609</v>
      </c>
      <c r="C282" s="8" t="s">
        <v>70</v>
      </c>
      <c r="D282" s="8" t="str">
        <f t="shared" si="62"/>
        <v>Male</v>
      </c>
      <c r="E282" s="8">
        <v>42</v>
      </c>
      <c r="F282" s="8">
        <f t="shared" si="63"/>
        <v>42</v>
      </c>
      <c r="G282" s="8" t="s">
        <v>31</v>
      </c>
      <c r="H282" s="8" t="s">
        <v>32</v>
      </c>
      <c r="I282" s="8" t="s">
        <v>52</v>
      </c>
      <c r="J282" s="8">
        <v>13</v>
      </c>
      <c r="K282" s="8">
        <f t="shared" si="64"/>
        <v>13</v>
      </c>
      <c r="L282" s="8">
        <v>20</v>
      </c>
      <c r="M282" s="9">
        <f t="shared" si="65"/>
        <v>20</v>
      </c>
      <c r="N282" s="8">
        <v>4.7</v>
      </c>
      <c r="O282" s="10">
        <f t="shared" si="66"/>
        <v>4.7</v>
      </c>
      <c r="P282" s="8" t="s">
        <v>2050</v>
      </c>
      <c r="Q282" s="14">
        <v>0.85</v>
      </c>
      <c r="R282" s="12">
        <f t="shared" si="70"/>
        <v>0.85</v>
      </c>
      <c r="S282" s="12">
        <f t="shared" si="67"/>
        <v>0.85</v>
      </c>
    </row>
    <row r="283" spans="1:19" x14ac:dyDescent="0.35">
      <c r="A283" s="8" t="s">
        <v>610</v>
      </c>
      <c r="B283" s="8" t="s">
        <v>611</v>
      </c>
      <c r="C283" s="8" t="s">
        <v>1</v>
      </c>
      <c r="D283" s="8" t="str">
        <f t="shared" si="62"/>
        <v>Female</v>
      </c>
      <c r="E283" s="8">
        <v>48</v>
      </c>
      <c r="F283" s="8">
        <f t="shared" si="63"/>
        <v>48</v>
      </c>
      <c r="G283" s="8" t="s">
        <v>71</v>
      </c>
      <c r="H283" s="8" t="s">
        <v>72</v>
      </c>
      <c r="I283" s="8" t="s">
        <v>10</v>
      </c>
      <c r="J283" s="8">
        <v>6</v>
      </c>
      <c r="K283" s="8">
        <f t="shared" si="64"/>
        <v>6</v>
      </c>
      <c r="L283" s="8">
        <v>30</v>
      </c>
      <c r="M283" s="9">
        <f t="shared" si="65"/>
        <v>30</v>
      </c>
      <c r="O283" s="10">
        <f t="shared" si="66"/>
        <v>2.5125695216907653</v>
      </c>
      <c r="P283" s="8" t="s">
        <v>2050</v>
      </c>
      <c r="Q283" s="14">
        <v>0.96</v>
      </c>
      <c r="R283" s="12">
        <f t="shared" si="70"/>
        <v>0.96</v>
      </c>
      <c r="S283" s="12">
        <f t="shared" si="67"/>
        <v>0.96</v>
      </c>
    </row>
    <row r="284" spans="1:19" x14ac:dyDescent="0.35">
      <c r="A284" s="8" t="s">
        <v>612</v>
      </c>
      <c r="B284" s="8" t="s">
        <v>2017</v>
      </c>
      <c r="C284" s="8" t="s">
        <v>30</v>
      </c>
      <c r="D284" s="8" t="str">
        <f t="shared" si="62"/>
        <v>Male</v>
      </c>
      <c r="E284" s="8">
        <v>42</v>
      </c>
      <c r="F284" s="8">
        <f t="shared" si="63"/>
        <v>42</v>
      </c>
      <c r="G284" s="8" t="s">
        <v>25</v>
      </c>
      <c r="H284" s="8" t="s">
        <v>26</v>
      </c>
      <c r="I284" s="8" t="s">
        <v>16</v>
      </c>
      <c r="J284" s="8">
        <v>10</v>
      </c>
      <c r="K284" s="8">
        <f t="shared" si="64"/>
        <v>10</v>
      </c>
      <c r="L284" s="8">
        <v>20</v>
      </c>
      <c r="M284" s="9">
        <f t="shared" si="65"/>
        <v>20</v>
      </c>
      <c r="N284" s="8">
        <v>2.4</v>
      </c>
      <c r="O284" s="10">
        <f t="shared" si="66"/>
        <v>2.4</v>
      </c>
      <c r="P284" s="8" t="s">
        <v>2051</v>
      </c>
      <c r="Q284" s="14">
        <v>0.92</v>
      </c>
      <c r="R284" s="12">
        <f t="shared" si="70"/>
        <v>0.92</v>
      </c>
      <c r="S284" s="12">
        <f t="shared" si="67"/>
        <v>0.92</v>
      </c>
    </row>
    <row r="285" spans="1:19" x14ac:dyDescent="0.35">
      <c r="A285" s="8" t="s">
        <v>613</v>
      </c>
      <c r="B285" s="8" t="s">
        <v>614</v>
      </c>
      <c r="C285" s="8" t="s">
        <v>70</v>
      </c>
      <c r="D285" s="8" t="str">
        <f t="shared" si="62"/>
        <v>Male</v>
      </c>
      <c r="E285" s="8">
        <v>52</v>
      </c>
      <c r="F285" s="8">
        <f t="shared" si="63"/>
        <v>52</v>
      </c>
      <c r="G285" s="8" t="s">
        <v>88</v>
      </c>
      <c r="H285" s="8" t="s">
        <v>89</v>
      </c>
      <c r="I285" s="8" t="s">
        <v>56</v>
      </c>
      <c r="J285" s="8">
        <v>20</v>
      </c>
      <c r="K285" s="8">
        <f t="shared" si="64"/>
        <v>20</v>
      </c>
      <c r="L285" s="8">
        <v>50</v>
      </c>
      <c r="M285" s="9">
        <f t="shared" si="65"/>
        <v>50</v>
      </c>
      <c r="O285" s="10">
        <f t="shared" si="66"/>
        <v>2.5125695216907653</v>
      </c>
      <c r="P285" s="8" t="s">
        <v>2050</v>
      </c>
      <c r="Q285" s="14">
        <v>0.79</v>
      </c>
      <c r="R285" s="12">
        <f t="shared" si="70"/>
        <v>0.79</v>
      </c>
      <c r="S285" s="12">
        <f t="shared" si="67"/>
        <v>0.79</v>
      </c>
    </row>
    <row r="286" spans="1:19" x14ac:dyDescent="0.35">
      <c r="A286" s="8" t="s">
        <v>615</v>
      </c>
      <c r="B286" s="8" t="s">
        <v>616</v>
      </c>
      <c r="C286" s="8" t="s">
        <v>22</v>
      </c>
      <c r="D286" s="8" t="str">
        <f t="shared" si="62"/>
        <v>Female</v>
      </c>
      <c r="E286" s="8">
        <v>55</v>
      </c>
      <c r="F286" s="8">
        <f t="shared" si="63"/>
        <v>55</v>
      </c>
      <c r="G286" s="8" t="s">
        <v>63</v>
      </c>
      <c r="H286" s="8" t="s">
        <v>64</v>
      </c>
      <c r="I286" s="8" t="s">
        <v>20</v>
      </c>
      <c r="J286" s="8">
        <v>20</v>
      </c>
      <c r="K286" s="8">
        <f t="shared" si="64"/>
        <v>20</v>
      </c>
      <c r="L286" s="8">
        <v>75</v>
      </c>
      <c r="M286" s="9">
        <f t="shared" si="65"/>
        <v>75</v>
      </c>
      <c r="N286" s="8">
        <v>2.9</v>
      </c>
      <c r="O286" s="10">
        <f t="shared" si="66"/>
        <v>2.9</v>
      </c>
      <c r="P286" s="8" t="s">
        <v>2050</v>
      </c>
      <c r="Q286" s="13"/>
      <c r="S286" s="12">
        <f t="shared" si="67"/>
        <v>0.79269417475728277</v>
      </c>
    </row>
    <row r="287" spans="1:19" x14ac:dyDescent="0.35">
      <c r="A287" s="8" t="s">
        <v>617</v>
      </c>
      <c r="B287" s="8" t="s">
        <v>618</v>
      </c>
      <c r="C287" s="8" t="s">
        <v>1</v>
      </c>
      <c r="D287" s="8" t="str">
        <f t="shared" si="62"/>
        <v>Female</v>
      </c>
      <c r="E287" s="8">
        <v>58</v>
      </c>
      <c r="F287" s="8">
        <f t="shared" si="63"/>
        <v>58</v>
      </c>
      <c r="G287" s="8" t="s">
        <v>128</v>
      </c>
      <c r="H287" s="8" t="s">
        <v>129</v>
      </c>
      <c r="I287" s="8" t="s">
        <v>56</v>
      </c>
      <c r="J287" s="8">
        <v>11</v>
      </c>
      <c r="K287" s="8">
        <f t="shared" si="64"/>
        <v>11</v>
      </c>
      <c r="L287" s="8">
        <v>50</v>
      </c>
      <c r="M287" s="9">
        <f t="shared" si="65"/>
        <v>50</v>
      </c>
      <c r="N287" s="8">
        <v>0</v>
      </c>
      <c r="O287" s="11">
        <f t="shared" si="66"/>
        <v>0</v>
      </c>
      <c r="P287" s="8" t="s">
        <v>2050</v>
      </c>
      <c r="Q287" s="13"/>
      <c r="S287" s="12">
        <f t="shared" si="67"/>
        <v>0.79269417475728277</v>
      </c>
    </row>
    <row r="288" spans="1:19" x14ac:dyDescent="0.35">
      <c r="A288" s="8" t="s">
        <v>619</v>
      </c>
      <c r="B288" s="8" t="s">
        <v>620</v>
      </c>
      <c r="C288" s="8" t="s">
        <v>7</v>
      </c>
      <c r="D288" s="8" t="str">
        <f t="shared" si="62"/>
        <v>Female</v>
      </c>
      <c r="E288" s="8">
        <v>46</v>
      </c>
      <c r="F288" s="8">
        <f t="shared" si="63"/>
        <v>46</v>
      </c>
      <c r="G288" s="8" t="s">
        <v>88</v>
      </c>
      <c r="H288" s="8" t="s">
        <v>89</v>
      </c>
      <c r="I288" s="8" t="s">
        <v>90</v>
      </c>
      <c r="J288" s="8">
        <v>12</v>
      </c>
      <c r="K288" s="8">
        <f t="shared" si="64"/>
        <v>12</v>
      </c>
      <c r="L288" s="8">
        <v>20</v>
      </c>
      <c r="M288" s="9">
        <f t="shared" si="65"/>
        <v>20</v>
      </c>
      <c r="N288" s="8">
        <v>0</v>
      </c>
      <c r="O288" s="11">
        <f t="shared" si="66"/>
        <v>0</v>
      </c>
      <c r="P288" s="8" t="s">
        <v>2050</v>
      </c>
      <c r="Q288" s="14">
        <v>0.89</v>
      </c>
      <c r="R288" s="12">
        <f t="shared" ref="R288:R290" si="71">Q288</f>
        <v>0.89</v>
      </c>
      <c r="S288" s="12">
        <f t="shared" si="67"/>
        <v>0.89</v>
      </c>
    </row>
    <row r="289" spans="1:19" x14ac:dyDescent="0.35">
      <c r="A289" s="8" t="s">
        <v>621</v>
      </c>
      <c r="B289" s="8" t="s">
        <v>622</v>
      </c>
      <c r="C289" s="8" t="s">
        <v>7</v>
      </c>
      <c r="D289" s="8" t="str">
        <f t="shared" si="62"/>
        <v>Female</v>
      </c>
      <c r="E289" s="8">
        <v>45</v>
      </c>
      <c r="F289" s="8">
        <f t="shared" si="63"/>
        <v>45</v>
      </c>
      <c r="G289" s="8" t="s">
        <v>162</v>
      </c>
      <c r="H289" s="8" t="s">
        <v>51</v>
      </c>
      <c r="I289" s="8" t="s">
        <v>90</v>
      </c>
      <c r="J289" s="8">
        <v>1</v>
      </c>
      <c r="K289" s="8">
        <f t="shared" si="64"/>
        <v>1</v>
      </c>
      <c r="L289" s="8">
        <v>100</v>
      </c>
      <c r="M289" s="9">
        <f t="shared" si="65"/>
        <v>100</v>
      </c>
      <c r="N289" s="8">
        <v>1.5</v>
      </c>
      <c r="O289" s="10">
        <f t="shared" si="66"/>
        <v>1.5</v>
      </c>
      <c r="P289" s="8" t="s">
        <v>2051</v>
      </c>
      <c r="Q289" s="14">
        <v>1</v>
      </c>
      <c r="R289" s="12">
        <f t="shared" si="71"/>
        <v>1</v>
      </c>
      <c r="S289" s="12">
        <f t="shared" si="67"/>
        <v>1</v>
      </c>
    </row>
    <row r="290" spans="1:19" x14ac:dyDescent="0.35">
      <c r="A290" s="8" t="s">
        <v>623</v>
      </c>
      <c r="B290" s="8" t="s">
        <v>624</v>
      </c>
      <c r="C290" s="8" t="s">
        <v>7</v>
      </c>
      <c r="D290" s="8" t="str">
        <f t="shared" si="62"/>
        <v>Female</v>
      </c>
      <c r="E290" s="8">
        <v>56</v>
      </c>
      <c r="F290" s="8">
        <f t="shared" si="63"/>
        <v>56</v>
      </c>
      <c r="G290" s="8" t="s">
        <v>71</v>
      </c>
      <c r="H290" s="8" t="s">
        <v>72</v>
      </c>
      <c r="I290" s="8" t="s">
        <v>90</v>
      </c>
      <c r="J290" s="8">
        <v>2</v>
      </c>
      <c r="K290" s="8">
        <f t="shared" si="64"/>
        <v>2</v>
      </c>
      <c r="L290" s="8">
        <v>30</v>
      </c>
      <c r="M290" s="9">
        <f t="shared" si="65"/>
        <v>30</v>
      </c>
      <c r="N290" s="8">
        <v>1.9</v>
      </c>
      <c r="O290" s="10">
        <f t="shared" si="66"/>
        <v>1.9</v>
      </c>
      <c r="P290" s="8" t="s">
        <v>2051</v>
      </c>
      <c r="Q290" s="14">
        <v>0.81</v>
      </c>
      <c r="R290" s="12">
        <f t="shared" si="71"/>
        <v>0.81</v>
      </c>
      <c r="S290" s="12">
        <f t="shared" si="67"/>
        <v>0.81</v>
      </c>
    </row>
    <row r="291" spans="1:19" x14ac:dyDescent="0.35">
      <c r="A291" s="8" t="s">
        <v>625</v>
      </c>
      <c r="B291" s="8" t="s">
        <v>626</v>
      </c>
      <c r="C291" s="8" t="s">
        <v>13</v>
      </c>
      <c r="D291" s="8" t="str">
        <f t="shared" si="62"/>
        <v>Male</v>
      </c>
      <c r="E291" s="8">
        <v>44</v>
      </c>
      <c r="F291" s="8">
        <f t="shared" si="63"/>
        <v>44</v>
      </c>
      <c r="G291" s="8" t="s">
        <v>46</v>
      </c>
      <c r="H291" s="8" t="s">
        <v>9</v>
      </c>
      <c r="I291" s="8" t="s">
        <v>4</v>
      </c>
      <c r="J291" s="8">
        <v>13</v>
      </c>
      <c r="K291" s="8">
        <f t="shared" si="64"/>
        <v>13</v>
      </c>
      <c r="L291" s="8">
        <v>100</v>
      </c>
      <c r="M291" s="9">
        <f t="shared" si="65"/>
        <v>100</v>
      </c>
      <c r="N291" s="8">
        <v>3.1</v>
      </c>
      <c r="O291" s="10">
        <f t="shared" si="66"/>
        <v>3.1</v>
      </c>
      <c r="P291" s="8" t="s">
        <v>2051</v>
      </c>
      <c r="Q291" s="8">
        <v>95</v>
      </c>
      <c r="R291" s="12">
        <v>0.95</v>
      </c>
      <c r="S291" s="12">
        <f t="shared" si="67"/>
        <v>0.95</v>
      </c>
    </row>
    <row r="292" spans="1:19" x14ac:dyDescent="0.35">
      <c r="A292" s="8" t="s">
        <v>627</v>
      </c>
      <c r="B292" s="8" t="s">
        <v>628</v>
      </c>
      <c r="C292" s="8" t="s">
        <v>75</v>
      </c>
      <c r="D292" s="8" t="str">
        <f t="shared" si="62"/>
        <v>Male</v>
      </c>
      <c r="E292" s="8">
        <v>46</v>
      </c>
      <c r="F292" s="8">
        <f t="shared" si="63"/>
        <v>46</v>
      </c>
      <c r="G292" s="8" t="s">
        <v>31</v>
      </c>
      <c r="H292" s="8" t="s">
        <v>32</v>
      </c>
      <c r="I292" s="8" t="s">
        <v>52</v>
      </c>
      <c r="J292" s="8">
        <v>0</v>
      </c>
      <c r="K292" s="8">
        <f t="shared" si="64"/>
        <v>0</v>
      </c>
      <c r="L292" s="13"/>
      <c r="M292" s="9">
        <f t="shared" si="65"/>
        <v>40</v>
      </c>
      <c r="N292" s="8">
        <v>1.8</v>
      </c>
      <c r="O292" s="10">
        <f t="shared" si="66"/>
        <v>1.8</v>
      </c>
      <c r="P292" s="8" t="s">
        <v>2050</v>
      </c>
      <c r="Q292" s="14">
        <v>0.88</v>
      </c>
      <c r="R292" s="12">
        <f t="shared" ref="R292:R294" si="72">Q292</f>
        <v>0.88</v>
      </c>
      <c r="S292" s="12">
        <f t="shared" si="67"/>
        <v>0.88</v>
      </c>
    </row>
    <row r="293" spans="1:19" x14ac:dyDescent="0.35">
      <c r="A293" s="8" t="s">
        <v>629</v>
      </c>
      <c r="B293" s="8" t="s">
        <v>630</v>
      </c>
      <c r="C293" s="8" t="s">
        <v>55</v>
      </c>
      <c r="D293" s="8" t="str">
        <f t="shared" si="62"/>
        <v>Female</v>
      </c>
      <c r="E293" s="8">
        <v>27</v>
      </c>
      <c r="F293" s="8">
        <f t="shared" si="63"/>
        <v>27</v>
      </c>
      <c r="G293" s="8" t="s">
        <v>63</v>
      </c>
      <c r="H293" s="8" t="s">
        <v>64</v>
      </c>
      <c r="I293" s="8" t="s">
        <v>20</v>
      </c>
      <c r="J293" s="8">
        <v>7</v>
      </c>
      <c r="K293" s="8">
        <f t="shared" si="64"/>
        <v>7</v>
      </c>
      <c r="L293" s="8">
        <v>30</v>
      </c>
      <c r="M293" s="9">
        <f t="shared" si="65"/>
        <v>30</v>
      </c>
      <c r="N293" s="8">
        <v>2.4</v>
      </c>
      <c r="O293" s="10">
        <f t="shared" si="66"/>
        <v>2.4</v>
      </c>
      <c r="P293" s="8" t="s">
        <v>2051</v>
      </c>
      <c r="Q293" s="14">
        <v>0.66</v>
      </c>
      <c r="R293" s="12">
        <f t="shared" si="72"/>
        <v>0.66</v>
      </c>
      <c r="S293" s="12">
        <f t="shared" si="67"/>
        <v>0.66</v>
      </c>
    </row>
    <row r="294" spans="1:19" x14ac:dyDescent="0.35">
      <c r="A294" s="8" t="s">
        <v>631</v>
      </c>
      <c r="B294" s="8" t="s">
        <v>632</v>
      </c>
      <c r="C294" s="8" t="s">
        <v>7</v>
      </c>
      <c r="D294" s="8" t="str">
        <f t="shared" si="62"/>
        <v>Female</v>
      </c>
      <c r="E294" s="8">
        <v>49</v>
      </c>
      <c r="F294" s="8">
        <f t="shared" si="63"/>
        <v>49</v>
      </c>
      <c r="G294" s="8" t="s">
        <v>71</v>
      </c>
      <c r="H294" s="8" t="s">
        <v>72</v>
      </c>
      <c r="I294" s="8" t="s">
        <v>4</v>
      </c>
      <c r="J294" s="8">
        <v>13</v>
      </c>
      <c r="K294" s="8">
        <f t="shared" si="64"/>
        <v>13</v>
      </c>
      <c r="L294" s="8">
        <v>100</v>
      </c>
      <c r="M294" s="9">
        <f t="shared" si="65"/>
        <v>100</v>
      </c>
      <c r="N294" s="8">
        <v>4.2</v>
      </c>
      <c r="O294" s="10">
        <f t="shared" si="66"/>
        <v>4.2</v>
      </c>
      <c r="P294" s="8" t="s">
        <v>2051</v>
      </c>
      <c r="Q294" s="14">
        <v>0.84</v>
      </c>
      <c r="R294" s="12">
        <f t="shared" si="72"/>
        <v>0.84</v>
      </c>
      <c r="S294" s="12">
        <f t="shared" si="67"/>
        <v>0.84</v>
      </c>
    </row>
    <row r="295" spans="1:19" x14ac:dyDescent="0.35">
      <c r="A295" s="8" t="s">
        <v>633</v>
      </c>
      <c r="B295" s="8" t="s">
        <v>634</v>
      </c>
      <c r="C295" s="8" t="s">
        <v>75</v>
      </c>
      <c r="D295" s="8" t="str">
        <f t="shared" si="62"/>
        <v>Male</v>
      </c>
      <c r="E295" s="8">
        <v>53</v>
      </c>
      <c r="F295" s="8">
        <f t="shared" si="63"/>
        <v>53</v>
      </c>
      <c r="G295" s="8" t="s">
        <v>151</v>
      </c>
      <c r="H295" s="8" t="s">
        <v>51</v>
      </c>
      <c r="I295" s="8" t="s">
        <v>20</v>
      </c>
      <c r="J295" s="8">
        <v>21</v>
      </c>
      <c r="K295" s="8">
        <f t="shared" si="64"/>
        <v>21</v>
      </c>
      <c r="L295" s="8">
        <v>50</v>
      </c>
      <c r="M295" s="9">
        <f t="shared" si="65"/>
        <v>50</v>
      </c>
      <c r="N295" s="8">
        <v>1.4</v>
      </c>
      <c r="O295" s="10">
        <f t="shared" si="66"/>
        <v>1.4</v>
      </c>
      <c r="P295" s="8" t="s">
        <v>2050</v>
      </c>
      <c r="Q295" s="13"/>
      <c r="S295" s="12">
        <f t="shared" si="67"/>
        <v>0.79269417475728277</v>
      </c>
    </row>
    <row r="296" spans="1:19" x14ac:dyDescent="0.35">
      <c r="A296" s="8" t="s">
        <v>635</v>
      </c>
      <c r="B296" s="8" t="s">
        <v>636</v>
      </c>
      <c r="C296" s="8" t="s">
        <v>75</v>
      </c>
      <c r="D296" s="8" t="str">
        <f t="shared" si="62"/>
        <v>Male</v>
      </c>
      <c r="E296" s="8">
        <v>56</v>
      </c>
      <c r="F296" s="8">
        <f t="shared" si="63"/>
        <v>56</v>
      </c>
      <c r="G296" s="8" t="s">
        <v>8</v>
      </c>
      <c r="H296" s="8" t="s">
        <v>9</v>
      </c>
      <c r="I296" s="8" t="s">
        <v>20</v>
      </c>
      <c r="J296" s="8">
        <v>19</v>
      </c>
      <c r="K296" s="8">
        <f t="shared" si="64"/>
        <v>19</v>
      </c>
      <c r="L296" s="8">
        <v>40</v>
      </c>
      <c r="M296" s="9">
        <f t="shared" si="65"/>
        <v>40</v>
      </c>
      <c r="N296" s="8">
        <v>1.2</v>
      </c>
      <c r="O296" s="10">
        <f t="shared" si="66"/>
        <v>1.2</v>
      </c>
      <c r="P296" s="8" t="s">
        <v>2051</v>
      </c>
      <c r="Q296" s="14">
        <v>0.82</v>
      </c>
      <c r="R296" s="12">
        <f t="shared" ref="R296:R305" si="73">Q296</f>
        <v>0.82</v>
      </c>
      <c r="S296" s="12">
        <f t="shared" si="67"/>
        <v>0.82</v>
      </c>
    </row>
    <row r="297" spans="1:19" x14ac:dyDescent="0.35">
      <c r="A297" s="8" t="s">
        <v>637</v>
      </c>
      <c r="B297" s="8" t="s">
        <v>638</v>
      </c>
      <c r="C297" s="8" t="s">
        <v>7</v>
      </c>
      <c r="D297" s="8" t="str">
        <f t="shared" si="62"/>
        <v>Female</v>
      </c>
      <c r="E297" s="8">
        <v>56</v>
      </c>
      <c r="F297" s="8">
        <f t="shared" si="63"/>
        <v>56</v>
      </c>
      <c r="G297" s="8" t="s">
        <v>46</v>
      </c>
      <c r="H297" s="8" t="s">
        <v>9</v>
      </c>
      <c r="I297" s="8" t="s">
        <v>67</v>
      </c>
      <c r="J297" s="8">
        <v>34</v>
      </c>
      <c r="K297" s="8">
        <f t="shared" si="64"/>
        <v>34</v>
      </c>
      <c r="L297" s="13"/>
      <c r="M297" s="9">
        <f t="shared" si="65"/>
        <v>40</v>
      </c>
      <c r="N297" s="8">
        <v>2.1</v>
      </c>
      <c r="O297" s="10">
        <f t="shared" si="66"/>
        <v>2.1</v>
      </c>
      <c r="P297" s="8" t="s">
        <v>2051</v>
      </c>
      <c r="Q297" s="14">
        <v>0.84</v>
      </c>
      <c r="R297" s="12">
        <f t="shared" si="73"/>
        <v>0.84</v>
      </c>
      <c r="S297" s="12">
        <f t="shared" si="67"/>
        <v>0.84</v>
      </c>
    </row>
    <row r="298" spans="1:19" x14ac:dyDescent="0.35">
      <c r="A298" s="8" t="s">
        <v>639</v>
      </c>
      <c r="B298" s="8" t="s">
        <v>640</v>
      </c>
      <c r="C298" s="8" t="s">
        <v>41</v>
      </c>
      <c r="D298" s="8" t="str">
        <f t="shared" si="62"/>
        <v>Male</v>
      </c>
      <c r="E298" s="8">
        <v>38</v>
      </c>
      <c r="F298" s="8">
        <f t="shared" si="63"/>
        <v>38</v>
      </c>
      <c r="G298" s="8" t="s">
        <v>128</v>
      </c>
      <c r="H298" s="8" t="s">
        <v>129</v>
      </c>
      <c r="I298" s="8" t="s">
        <v>33</v>
      </c>
      <c r="J298" s="8">
        <v>3</v>
      </c>
      <c r="K298" s="8">
        <f t="shared" si="64"/>
        <v>3</v>
      </c>
      <c r="L298" s="8">
        <v>100</v>
      </c>
      <c r="M298" s="9">
        <f t="shared" si="65"/>
        <v>100</v>
      </c>
      <c r="N298" s="8">
        <v>1.4</v>
      </c>
      <c r="O298" s="10">
        <f t="shared" si="66"/>
        <v>1.4</v>
      </c>
      <c r="P298" s="8" t="s">
        <v>2050</v>
      </c>
      <c r="Q298" s="14">
        <v>0.73</v>
      </c>
      <c r="R298" s="12">
        <f t="shared" si="73"/>
        <v>0.73</v>
      </c>
      <c r="S298" s="12">
        <f t="shared" si="67"/>
        <v>0.73</v>
      </c>
    </row>
    <row r="299" spans="1:19" x14ac:dyDescent="0.35">
      <c r="A299" s="8" t="s">
        <v>641</v>
      </c>
      <c r="B299" s="8" t="s">
        <v>642</v>
      </c>
      <c r="C299" s="8" t="s">
        <v>70</v>
      </c>
      <c r="D299" s="8" t="str">
        <f t="shared" si="62"/>
        <v>Male</v>
      </c>
      <c r="E299" s="8">
        <v>20</v>
      </c>
      <c r="F299" s="8">
        <f t="shared" si="63"/>
        <v>20</v>
      </c>
      <c r="G299" s="8" t="s">
        <v>88</v>
      </c>
      <c r="H299" s="8" t="s">
        <v>89</v>
      </c>
      <c r="I299" s="8" t="s">
        <v>10</v>
      </c>
      <c r="J299" s="8">
        <v>0</v>
      </c>
      <c r="K299" s="8">
        <f t="shared" si="64"/>
        <v>0</v>
      </c>
      <c r="L299" s="8">
        <v>30</v>
      </c>
      <c r="M299" s="9">
        <f t="shared" si="65"/>
        <v>30</v>
      </c>
      <c r="N299" s="8">
        <v>3.8</v>
      </c>
      <c r="O299" s="10">
        <f t="shared" si="66"/>
        <v>3.8</v>
      </c>
      <c r="P299" s="13" t="s">
        <v>2050</v>
      </c>
      <c r="Q299" s="14">
        <v>0.93</v>
      </c>
      <c r="R299" s="12">
        <f t="shared" si="73"/>
        <v>0.93</v>
      </c>
      <c r="S299" s="12">
        <f t="shared" si="67"/>
        <v>0.93</v>
      </c>
    </row>
    <row r="300" spans="1:19" x14ac:dyDescent="0.35">
      <c r="A300" s="8" t="s">
        <v>643</v>
      </c>
      <c r="B300" s="8" t="s">
        <v>644</v>
      </c>
      <c r="C300" s="8" t="s">
        <v>22</v>
      </c>
      <c r="D300" s="8" t="str">
        <f t="shared" si="62"/>
        <v>Female</v>
      </c>
      <c r="E300" s="8">
        <v>38</v>
      </c>
      <c r="F300" s="8">
        <f t="shared" si="63"/>
        <v>38</v>
      </c>
      <c r="G300" s="8" t="s">
        <v>103</v>
      </c>
      <c r="H300" s="8" t="s">
        <v>9</v>
      </c>
      <c r="I300" s="8" t="s">
        <v>90</v>
      </c>
      <c r="J300" s="8">
        <v>20</v>
      </c>
      <c r="K300" s="8">
        <f t="shared" si="64"/>
        <v>20</v>
      </c>
      <c r="L300" s="8">
        <v>50</v>
      </c>
      <c r="M300" s="9">
        <f t="shared" si="65"/>
        <v>50</v>
      </c>
      <c r="N300" s="8">
        <v>0</v>
      </c>
      <c r="O300" s="11">
        <f t="shared" si="66"/>
        <v>0</v>
      </c>
      <c r="P300" s="13" t="s">
        <v>2050</v>
      </c>
      <c r="Q300" s="14">
        <v>0.64</v>
      </c>
      <c r="R300" s="12">
        <f t="shared" si="73"/>
        <v>0.64</v>
      </c>
      <c r="S300" s="12">
        <f t="shared" si="67"/>
        <v>0.64</v>
      </c>
    </row>
    <row r="301" spans="1:19" x14ac:dyDescent="0.35">
      <c r="A301" s="8" t="s">
        <v>645</v>
      </c>
      <c r="B301" s="8" t="s">
        <v>646</v>
      </c>
      <c r="C301" s="8" t="s">
        <v>1</v>
      </c>
      <c r="D301" s="8" t="str">
        <f t="shared" si="62"/>
        <v>Female</v>
      </c>
      <c r="E301" s="13"/>
      <c r="F301" s="8">
        <f t="shared" si="63"/>
        <v>41</v>
      </c>
      <c r="G301" s="8" t="s">
        <v>25</v>
      </c>
      <c r="H301" s="8" t="s">
        <v>26</v>
      </c>
      <c r="I301" s="8" t="s">
        <v>10</v>
      </c>
      <c r="J301" s="8">
        <v>6</v>
      </c>
      <c r="K301" s="8">
        <f t="shared" si="64"/>
        <v>6</v>
      </c>
      <c r="L301" s="8">
        <v>40</v>
      </c>
      <c r="M301" s="9">
        <f t="shared" si="65"/>
        <v>40</v>
      </c>
      <c r="N301" s="8">
        <v>3.5</v>
      </c>
      <c r="O301" s="10">
        <f t="shared" si="66"/>
        <v>3.5</v>
      </c>
      <c r="P301" s="8" t="s">
        <v>2050</v>
      </c>
      <c r="Q301" s="14">
        <v>0.76</v>
      </c>
      <c r="R301" s="12">
        <f t="shared" si="73"/>
        <v>0.76</v>
      </c>
      <c r="S301" s="12">
        <f t="shared" si="67"/>
        <v>0.76</v>
      </c>
    </row>
    <row r="302" spans="1:19" x14ac:dyDescent="0.35">
      <c r="A302" s="8" t="s">
        <v>647</v>
      </c>
      <c r="B302" s="8" t="s">
        <v>648</v>
      </c>
      <c r="C302" s="8" t="s">
        <v>41</v>
      </c>
      <c r="D302" s="8" t="str">
        <f t="shared" si="62"/>
        <v>Male</v>
      </c>
      <c r="E302" s="8">
        <v>46</v>
      </c>
      <c r="F302" s="8">
        <f t="shared" si="63"/>
        <v>46</v>
      </c>
      <c r="G302" s="8" t="s">
        <v>71</v>
      </c>
      <c r="H302" s="8" t="s">
        <v>72</v>
      </c>
      <c r="I302" s="8" t="s">
        <v>90</v>
      </c>
      <c r="J302" s="8">
        <v>13</v>
      </c>
      <c r="K302" s="8">
        <f t="shared" si="64"/>
        <v>13</v>
      </c>
      <c r="L302" s="8">
        <v>100</v>
      </c>
      <c r="M302" s="9">
        <f t="shared" si="65"/>
        <v>100</v>
      </c>
      <c r="N302" s="8">
        <v>0</v>
      </c>
      <c r="O302" s="11">
        <f t="shared" si="66"/>
        <v>0</v>
      </c>
      <c r="P302" s="8" t="s">
        <v>2051</v>
      </c>
      <c r="Q302" s="14">
        <v>0.97</v>
      </c>
      <c r="R302" s="12">
        <f t="shared" si="73"/>
        <v>0.97</v>
      </c>
      <c r="S302" s="12">
        <f t="shared" si="67"/>
        <v>0.97</v>
      </c>
    </row>
    <row r="303" spans="1:19" x14ac:dyDescent="0.35">
      <c r="A303" s="8" t="s">
        <v>649</v>
      </c>
      <c r="B303" s="8" t="s">
        <v>650</v>
      </c>
      <c r="C303" s="8" t="s">
        <v>75</v>
      </c>
      <c r="D303" s="8" t="str">
        <f t="shared" si="62"/>
        <v>Male</v>
      </c>
      <c r="E303" s="8">
        <v>36</v>
      </c>
      <c r="F303" s="8">
        <f t="shared" si="63"/>
        <v>36</v>
      </c>
      <c r="G303" s="8" t="s">
        <v>128</v>
      </c>
      <c r="H303" s="8" t="s">
        <v>129</v>
      </c>
      <c r="I303" s="8" t="s">
        <v>33</v>
      </c>
      <c r="J303" s="8">
        <v>9</v>
      </c>
      <c r="K303" s="8">
        <f t="shared" si="64"/>
        <v>9</v>
      </c>
      <c r="L303" s="8">
        <v>75</v>
      </c>
      <c r="M303" s="9">
        <f t="shared" si="65"/>
        <v>75</v>
      </c>
      <c r="N303" s="8">
        <v>2.2000000000000002</v>
      </c>
      <c r="O303" s="10">
        <f t="shared" si="66"/>
        <v>2.2000000000000002</v>
      </c>
      <c r="P303" s="8" t="s">
        <v>2050</v>
      </c>
      <c r="Q303" s="14">
        <v>0.95</v>
      </c>
      <c r="R303" s="12">
        <f t="shared" si="73"/>
        <v>0.95</v>
      </c>
      <c r="S303" s="12">
        <f t="shared" si="67"/>
        <v>0.95</v>
      </c>
    </row>
    <row r="304" spans="1:19" x14ac:dyDescent="0.35">
      <c r="A304" s="8" t="s">
        <v>651</v>
      </c>
      <c r="B304" s="8" t="s">
        <v>2044</v>
      </c>
      <c r="C304" s="8" t="s">
        <v>75</v>
      </c>
      <c r="D304" s="8" t="str">
        <f t="shared" si="62"/>
        <v>Male</v>
      </c>
      <c r="E304" s="8">
        <v>33</v>
      </c>
      <c r="F304" s="8">
        <f t="shared" si="63"/>
        <v>33</v>
      </c>
      <c r="G304" s="8" t="s">
        <v>99</v>
      </c>
      <c r="H304" s="8" t="s">
        <v>100</v>
      </c>
      <c r="I304" s="8" t="s">
        <v>20</v>
      </c>
      <c r="J304" s="8">
        <v>2</v>
      </c>
      <c r="K304" s="8">
        <f t="shared" si="64"/>
        <v>2</v>
      </c>
      <c r="L304" s="8">
        <v>75</v>
      </c>
      <c r="M304" s="9">
        <f t="shared" si="65"/>
        <v>75</v>
      </c>
      <c r="N304" s="8">
        <v>2.5</v>
      </c>
      <c r="O304" s="10">
        <f t="shared" si="66"/>
        <v>2.5</v>
      </c>
      <c r="P304" s="8" t="s">
        <v>2050</v>
      </c>
      <c r="Q304" s="14">
        <v>0.65</v>
      </c>
      <c r="R304" s="12">
        <f t="shared" si="73"/>
        <v>0.65</v>
      </c>
      <c r="S304" s="12">
        <f t="shared" si="67"/>
        <v>0.65</v>
      </c>
    </row>
    <row r="305" spans="1:19" x14ac:dyDescent="0.35">
      <c r="A305" s="8" t="s">
        <v>652</v>
      </c>
      <c r="B305" s="8" t="s">
        <v>653</v>
      </c>
      <c r="C305" s="8" t="s">
        <v>19</v>
      </c>
      <c r="D305" s="8" t="str">
        <f t="shared" si="62"/>
        <v>Female</v>
      </c>
      <c r="E305" s="8">
        <v>37</v>
      </c>
      <c r="F305" s="8">
        <f t="shared" si="63"/>
        <v>37</v>
      </c>
      <c r="G305" s="8" t="s">
        <v>103</v>
      </c>
      <c r="H305" s="8" t="s">
        <v>9</v>
      </c>
      <c r="I305" s="8" t="s">
        <v>16</v>
      </c>
      <c r="J305" s="8">
        <v>0</v>
      </c>
      <c r="K305" s="8">
        <f t="shared" si="64"/>
        <v>0</v>
      </c>
      <c r="L305" s="8">
        <v>50</v>
      </c>
      <c r="M305" s="9">
        <f t="shared" si="65"/>
        <v>50</v>
      </c>
      <c r="N305" s="8">
        <v>4.7</v>
      </c>
      <c r="O305" s="10">
        <f t="shared" si="66"/>
        <v>4.7</v>
      </c>
      <c r="P305" s="8" t="s">
        <v>2050</v>
      </c>
      <c r="Q305" s="14">
        <v>0.77</v>
      </c>
      <c r="R305" s="12">
        <f t="shared" si="73"/>
        <v>0.77</v>
      </c>
      <c r="S305" s="12">
        <f t="shared" si="67"/>
        <v>0.77</v>
      </c>
    </row>
    <row r="306" spans="1:19" x14ac:dyDescent="0.35">
      <c r="A306" s="8" t="s">
        <v>654</v>
      </c>
      <c r="B306" s="8" t="s">
        <v>655</v>
      </c>
      <c r="C306" s="8" t="s">
        <v>75</v>
      </c>
      <c r="D306" s="8" t="str">
        <f t="shared" si="62"/>
        <v>Male</v>
      </c>
      <c r="E306" s="8">
        <v>20</v>
      </c>
      <c r="F306" s="8">
        <f t="shared" si="63"/>
        <v>20</v>
      </c>
      <c r="G306" s="8" t="s">
        <v>114</v>
      </c>
      <c r="H306" s="8" t="s">
        <v>115</v>
      </c>
      <c r="I306" s="8" t="s">
        <v>33</v>
      </c>
      <c r="J306" s="8">
        <v>0</v>
      </c>
      <c r="K306" s="8">
        <f t="shared" si="64"/>
        <v>0</v>
      </c>
      <c r="L306" s="8">
        <v>20</v>
      </c>
      <c r="M306" s="9">
        <f t="shared" si="65"/>
        <v>20</v>
      </c>
      <c r="N306" s="8">
        <v>3.9</v>
      </c>
      <c r="O306" s="10">
        <f t="shared" si="66"/>
        <v>3.9</v>
      </c>
      <c r="P306" s="8" t="s">
        <v>2050</v>
      </c>
      <c r="Q306" s="13"/>
      <c r="S306" s="12">
        <f t="shared" si="67"/>
        <v>0.79269417475728277</v>
      </c>
    </row>
    <row r="307" spans="1:19" x14ac:dyDescent="0.35">
      <c r="A307" s="8" t="s">
        <v>656</v>
      </c>
      <c r="B307" s="8" t="s">
        <v>657</v>
      </c>
      <c r="C307" s="8" t="s">
        <v>7</v>
      </c>
      <c r="D307" s="8" t="str">
        <f t="shared" si="62"/>
        <v>Female</v>
      </c>
      <c r="E307" s="8">
        <v>48</v>
      </c>
      <c r="F307" s="8">
        <f t="shared" si="63"/>
        <v>48</v>
      </c>
      <c r="G307" s="8" t="s">
        <v>147</v>
      </c>
      <c r="H307" s="8" t="s">
        <v>148</v>
      </c>
      <c r="I307" s="8" t="s">
        <v>33</v>
      </c>
      <c r="J307" s="8">
        <v>2</v>
      </c>
      <c r="K307" s="8">
        <f t="shared" si="64"/>
        <v>2</v>
      </c>
      <c r="L307" s="8">
        <v>75</v>
      </c>
      <c r="M307" s="9">
        <f t="shared" si="65"/>
        <v>75</v>
      </c>
      <c r="N307" s="8">
        <v>1.6</v>
      </c>
      <c r="O307" s="10">
        <f t="shared" si="66"/>
        <v>1.6</v>
      </c>
      <c r="P307" s="8" t="s">
        <v>2050</v>
      </c>
      <c r="Q307" s="14">
        <v>0.67</v>
      </c>
      <c r="R307" s="12">
        <f t="shared" ref="R307:R311" si="74">Q307</f>
        <v>0.67</v>
      </c>
      <c r="S307" s="12">
        <f t="shared" si="67"/>
        <v>0.67</v>
      </c>
    </row>
    <row r="308" spans="1:19" x14ac:dyDescent="0.35">
      <c r="A308" s="8" t="s">
        <v>658</v>
      </c>
      <c r="B308" s="8" t="s">
        <v>659</v>
      </c>
      <c r="C308" s="8" t="s">
        <v>13</v>
      </c>
      <c r="D308" s="8" t="str">
        <f t="shared" si="62"/>
        <v>Male</v>
      </c>
      <c r="E308" s="8">
        <v>27</v>
      </c>
      <c r="F308" s="8">
        <f t="shared" si="63"/>
        <v>27</v>
      </c>
      <c r="G308" s="8" t="s">
        <v>110</v>
      </c>
      <c r="H308" s="8" t="s">
        <v>111</v>
      </c>
      <c r="I308" s="8" t="s">
        <v>56</v>
      </c>
      <c r="J308" s="8">
        <v>2</v>
      </c>
      <c r="K308" s="8">
        <f t="shared" si="64"/>
        <v>2</v>
      </c>
      <c r="L308" s="8">
        <v>50</v>
      </c>
      <c r="M308" s="9">
        <f t="shared" si="65"/>
        <v>50</v>
      </c>
      <c r="O308" s="10">
        <f t="shared" si="66"/>
        <v>2.5125695216907653</v>
      </c>
      <c r="P308" s="8" t="s">
        <v>2050</v>
      </c>
      <c r="Q308" s="14">
        <v>0.84</v>
      </c>
      <c r="R308" s="12">
        <f t="shared" si="74"/>
        <v>0.84</v>
      </c>
      <c r="S308" s="12">
        <f t="shared" si="67"/>
        <v>0.84</v>
      </c>
    </row>
    <row r="309" spans="1:19" x14ac:dyDescent="0.35">
      <c r="A309" s="8" t="s">
        <v>660</v>
      </c>
      <c r="B309" s="8" t="s">
        <v>661</v>
      </c>
      <c r="C309" s="8" t="s">
        <v>70</v>
      </c>
      <c r="D309" s="8" t="str">
        <f t="shared" si="62"/>
        <v>Male</v>
      </c>
      <c r="E309" s="8">
        <v>34</v>
      </c>
      <c r="F309" s="8">
        <f t="shared" si="63"/>
        <v>34</v>
      </c>
      <c r="G309" s="8" t="s">
        <v>88</v>
      </c>
      <c r="H309" s="8" t="s">
        <v>89</v>
      </c>
      <c r="I309" s="8" t="s">
        <v>10</v>
      </c>
      <c r="J309" s="8">
        <v>1</v>
      </c>
      <c r="K309" s="8">
        <f t="shared" si="64"/>
        <v>1</v>
      </c>
      <c r="L309" s="8">
        <v>30</v>
      </c>
      <c r="M309" s="9">
        <f t="shared" si="65"/>
        <v>30</v>
      </c>
      <c r="N309" s="8">
        <v>3.6</v>
      </c>
      <c r="O309" s="10">
        <f t="shared" si="66"/>
        <v>3.6</v>
      </c>
      <c r="P309" s="8" t="s">
        <v>2051</v>
      </c>
      <c r="Q309" s="14">
        <v>0.87</v>
      </c>
      <c r="R309" s="12">
        <f t="shared" si="74"/>
        <v>0.87</v>
      </c>
      <c r="S309" s="12">
        <f t="shared" si="67"/>
        <v>0.87</v>
      </c>
    </row>
    <row r="310" spans="1:19" x14ac:dyDescent="0.35">
      <c r="A310" s="8" t="s">
        <v>662</v>
      </c>
      <c r="B310" s="8" t="s">
        <v>663</v>
      </c>
      <c r="C310" s="8" t="s">
        <v>75</v>
      </c>
      <c r="D310" s="8" t="str">
        <f t="shared" si="62"/>
        <v>Male</v>
      </c>
      <c r="E310" s="8">
        <v>55</v>
      </c>
      <c r="F310" s="8">
        <f t="shared" si="63"/>
        <v>55</v>
      </c>
      <c r="G310" s="8" t="s">
        <v>84</v>
      </c>
      <c r="H310" s="8" t="s">
        <v>85</v>
      </c>
      <c r="I310" s="8" t="s">
        <v>90</v>
      </c>
      <c r="J310" s="8">
        <v>14</v>
      </c>
      <c r="K310" s="8">
        <f t="shared" si="64"/>
        <v>14</v>
      </c>
      <c r="L310" s="8">
        <v>30</v>
      </c>
      <c r="M310" s="9">
        <f t="shared" si="65"/>
        <v>30</v>
      </c>
      <c r="N310" s="8">
        <v>1.2</v>
      </c>
      <c r="O310" s="10">
        <f t="shared" si="66"/>
        <v>1.2</v>
      </c>
      <c r="P310" s="8" t="s">
        <v>2051</v>
      </c>
      <c r="Q310" s="14">
        <v>0.91</v>
      </c>
      <c r="R310" s="12">
        <f t="shared" si="74"/>
        <v>0.91</v>
      </c>
      <c r="S310" s="12">
        <f t="shared" si="67"/>
        <v>0.91</v>
      </c>
    </row>
    <row r="311" spans="1:19" x14ac:dyDescent="0.35">
      <c r="A311" s="8" t="s">
        <v>664</v>
      </c>
      <c r="B311" s="8" t="s">
        <v>2035</v>
      </c>
      <c r="C311" s="8" t="s">
        <v>19</v>
      </c>
      <c r="D311" s="8" t="str">
        <f t="shared" si="62"/>
        <v>Female</v>
      </c>
      <c r="E311" s="8">
        <v>44</v>
      </c>
      <c r="F311" s="8">
        <f t="shared" si="63"/>
        <v>44</v>
      </c>
      <c r="G311" s="8" t="s">
        <v>128</v>
      </c>
      <c r="H311" s="8" t="s">
        <v>129</v>
      </c>
      <c r="I311" s="8" t="s">
        <v>90</v>
      </c>
      <c r="J311" s="8">
        <v>14</v>
      </c>
      <c r="K311" s="8">
        <f t="shared" si="64"/>
        <v>14</v>
      </c>
      <c r="L311" s="8">
        <v>75</v>
      </c>
      <c r="M311" s="9">
        <f t="shared" si="65"/>
        <v>75</v>
      </c>
      <c r="N311" s="8">
        <v>3</v>
      </c>
      <c r="O311" s="10">
        <f t="shared" si="66"/>
        <v>3</v>
      </c>
      <c r="P311" s="8" t="s">
        <v>2050</v>
      </c>
      <c r="Q311" s="14">
        <v>0.78</v>
      </c>
      <c r="R311" s="12">
        <f t="shared" si="74"/>
        <v>0.78</v>
      </c>
      <c r="S311" s="12">
        <f t="shared" si="67"/>
        <v>0.78</v>
      </c>
    </row>
    <row r="312" spans="1:19" x14ac:dyDescent="0.35">
      <c r="A312" s="8" t="s">
        <v>665</v>
      </c>
      <c r="B312" s="8" t="s">
        <v>666</v>
      </c>
      <c r="C312" s="8" t="s">
        <v>13</v>
      </c>
      <c r="D312" s="8" t="str">
        <f t="shared" si="62"/>
        <v>Male</v>
      </c>
      <c r="E312" s="8">
        <v>31</v>
      </c>
      <c r="F312" s="8">
        <f t="shared" si="63"/>
        <v>31</v>
      </c>
      <c r="G312" s="8" t="s">
        <v>25</v>
      </c>
      <c r="H312" s="8" t="s">
        <v>26</v>
      </c>
      <c r="I312" s="8" t="s">
        <v>52</v>
      </c>
      <c r="J312" s="8">
        <v>2</v>
      </c>
      <c r="K312" s="8">
        <f t="shared" si="64"/>
        <v>2</v>
      </c>
      <c r="L312" s="8">
        <v>50</v>
      </c>
      <c r="M312" s="9">
        <f t="shared" si="65"/>
        <v>50</v>
      </c>
      <c r="N312" s="8">
        <v>3.9</v>
      </c>
      <c r="O312" s="10">
        <f t="shared" si="66"/>
        <v>3.9</v>
      </c>
      <c r="P312" s="8" t="s">
        <v>2050</v>
      </c>
      <c r="Q312" s="13"/>
      <c r="S312" s="12">
        <f t="shared" si="67"/>
        <v>0.79269417475728277</v>
      </c>
    </row>
    <row r="313" spans="1:19" x14ac:dyDescent="0.35">
      <c r="A313" s="8" t="s">
        <v>667</v>
      </c>
      <c r="B313" s="8" t="s">
        <v>668</v>
      </c>
      <c r="C313" s="8" t="s">
        <v>30</v>
      </c>
      <c r="D313" s="8" t="str">
        <f t="shared" si="62"/>
        <v>Male</v>
      </c>
      <c r="E313" s="8">
        <v>34</v>
      </c>
      <c r="F313" s="8">
        <f t="shared" si="63"/>
        <v>34</v>
      </c>
      <c r="G313" s="8" t="s">
        <v>8</v>
      </c>
      <c r="H313" s="8" t="s">
        <v>9</v>
      </c>
      <c r="I313" s="8" t="s">
        <v>67</v>
      </c>
      <c r="J313" s="8">
        <v>1</v>
      </c>
      <c r="K313" s="8">
        <f t="shared" si="64"/>
        <v>1</v>
      </c>
      <c r="L313" s="8">
        <v>40</v>
      </c>
      <c r="M313" s="9">
        <f t="shared" si="65"/>
        <v>40</v>
      </c>
      <c r="N313" s="8">
        <v>1.7</v>
      </c>
      <c r="O313" s="10">
        <f t="shared" si="66"/>
        <v>1.7</v>
      </c>
      <c r="P313" s="13" t="s">
        <v>2050</v>
      </c>
      <c r="Q313" s="8">
        <v>74</v>
      </c>
      <c r="R313" s="12">
        <v>0.74</v>
      </c>
      <c r="S313" s="12">
        <f t="shared" si="67"/>
        <v>0.74</v>
      </c>
    </row>
    <row r="314" spans="1:19" x14ac:dyDescent="0.35">
      <c r="A314" s="8" t="s">
        <v>669</v>
      </c>
      <c r="B314" s="8" t="s">
        <v>670</v>
      </c>
      <c r="C314" s="8" t="s">
        <v>19</v>
      </c>
      <c r="D314" s="8" t="str">
        <f t="shared" si="62"/>
        <v>Female</v>
      </c>
      <c r="E314" s="8">
        <v>47</v>
      </c>
      <c r="F314" s="8">
        <f t="shared" si="63"/>
        <v>47</v>
      </c>
      <c r="G314" s="8" t="s">
        <v>84</v>
      </c>
      <c r="H314" s="8" t="s">
        <v>85</v>
      </c>
      <c r="I314" s="8" t="s">
        <v>67</v>
      </c>
      <c r="J314" s="8">
        <v>13</v>
      </c>
      <c r="K314" s="8">
        <f t="shared" si="64"/>
        <v>13</v>
      </c>
      <c r="L314" s="8">
        <v>20</v>
      </c>
      <c r="M314" s="9">
        <f t="shared" si="65"/>
        <v>20</v>
      </c>
      <c r="N314" s="8">
        <v>4.5</v>
      </c>
      <c r="O314" s="10">
        <f t="shared" si="66"/>
        <v>4.5</v>
      </c>
      <c r="P314" s="13" t="s">
        <v>2050</v>
      </c>
      <c r="Q314" s="14">
        <v>0.91</v>
      </c>
      <c r="R314" s="12">
        <f t="shared" ref="R314:R317" si="75">Q314</f>
        <v>0.91</v>
      </c>
      <c r="S314" s="12">
        <f t="shared" si="67"/>
        <v>0.91</v>
      </c>
    </row>
    <row r="315" spans="1:19" x14ac:dyDescent="0.35">
      <c r="A315" s="8" t="s">
        <v>671</v>
      </c>
      <c r="B315" s="8" t="s">
        <v>672</v>
      </c>
      <c r="C315" s="8" t="s">
        <v>30</v>
      </c>
      <c r="D315" s="8" t="str">
        <f t="shared" si="62"/>
        <v>Male</v>
      </c>
      <c r="E315" s="8">
        <v>50</v>
      </c>
      <c r="F315" s="8">
        <f t="shared" si="63"/>
        <v>50</v>
      </c>
      <c r="G315" s="8" t="s">
        <v>38</v>
      </c>
      <c r="H315" s="8" t="s">
        <v>9</v>
      </c>
      <c r="I315" s="8" t="s">
        <v>16</v>
      </c>
      <c r="J315" s="8">
        <v>23</v>
      </c>
      <c r="K315" s="8">
        <f t="shared" si="64"/>
        <v>23</v>
      </c>
      <c r="L315" s="8">
        <v>40</v>
      </c>
      <c r="M315" s="9">
        <f t="shared" si="65"/>
        <v>40</v>
      </c>
      <c r="N315" s="8">
        <v>3.6</v>
      </c>
      <c r="O315" s="10">
        <f t="shared" si="66"/>
        <v>3.6</v>
      </c>
      <c r="P315" s="8" t="s">
        <v>2051</v>
      </c>
      <c r="Q315" s="14">
        <v>0.71</v>
      </c>
      <c r="R315" s="12">
        <f t="shared" si="75"/>
        <v>0.71</v>
      </c>
      <c r="S315" s="12">
        <f t="shared" si="67"/>
        <v>0.71</v>
      </c>
    </row>
    <row r="316" spans="1:19" x14ac:dyDescent="0.35">
      <c r="A316" s="8" t="s">
        <v>673</v>
      </c>
      <c r="B316" s="8" t="s">
        <v>674</v>
      </c>
      <c r="C316" s="8" t="s">
        <v>70</v>
      </c>
      <c r="D316" s="8" t="str">
        <f t="shared" si="62"/>
        <v>Male</v>
      </c>
      <c r="E316" s="8">
        <v>39</v>
      </c>
      <c r="F316" s="8">
        <f t="shared" si="63"/>
        <v>39</v>
      </c>
      <c r="G316" s="8" t="s">
        <v>14</v>
      </c>
      <c r="H316" s="8" t="s">
        <v>15</v>
      </c>
      <c r="I316" s="8" t="s">
        <v>56</v>
      </c>
      <c r="J316" s="13"/>
      <c r="K316" s="8">
        <f t="shared" si="64"/>
        <v>9</v>
      </c>
      <c r="L316" s="8">
        <v>75</v>
      </c>
      <c r="M316" s="9">
        <f t="shared" si="65"/>
        <v>75</v>
      </c>
      <c r="N316" s="8">
        <v>3.6</v>
      </c>
      <c r="O316" s="10">
        <f t="shared" si="66"/>
        <v>3.6</v>
      </c>
      <c r="P316" s="8" t="s">
        <v>2051</v>
      </c>
      <c r="Q316" s="14">
        <v>0.87</v>
      </c>
      <c r="R316" s="12">
        <f t="shared" si="75"/>
        <v>0.87</v>
      </c>
      <c r="S316" s="12">
        <f t="shared" si="67"/>
        <v>0.87</v>
      </c>
    </row>
    <row r="317" spans="1:19" x14ac:dyDescent="0.35">
      <c r="A317" s="8" t="s">
        <v>675</v>
      </c>
      <c r="B317" s="8" t="s">
        <v>676</v>
      </c>
      <c r="C317" s="8" t="s">
        <v>7</v>
      </c>
      <c r="D317" s="8" t="str">
        <f t="shared" si="62"/>
        <v>Female</v>
      </c>
      <c r="E317" s="8">
        <v>26</v>
      </c>
      <c r="F317" s="8">
        <f t="shared" si="63"/>
        <v>26</v>
      </c>
      <c r="G317" s="8" t="s">
        <v>50</v>
      </c>
      <c r="H317" s="8" t="s">
        <v>51</v>
      </c>
      <c r="I317" s="8" t="s">
        <v>4</v>
      </c>
      <c r="J317" s="8">
        <v>3</v>
      </c>
      <c r="K317" s="8">
        <f t="shared" si="64"/>
        <v>3</v>
      </c>
      <c r="L317" s="8">
        <v>100</v>
      </c>
      <c r="M317" s="9">
        <f t="shared" si="65"/>
        <v>100</v>
      </c>
      <c r="N317" s="8">
        <v>2.8</v>
      </c>
      <c r="O317" s="10">
        <f t="shared" si="66"/>
        <v>2.8</v>
      </c>
      <c r="P317" s="8" t="s">
        <v>2051</v>
      </c>
      <c r="Q317" s="14">
        <v>0.61</v>
      </c>
      <c r="R317" s="12">
        <f t="shared" si="75"/>
        <v>0.61</v>
      </c>
      <c r="S317" s="12">
        <f t="shared" si="67"/>
        <v>0.61</v>
      </c>
    </row>
    <row r="318" spans="1:19" x14ac:dyDescent="0.35">
      <c r="A318" s="8" t="s">
        <v>677</v>
      </c>
      <c r="B318" s="8" t="s">
        <v>678</v>
      </c>
      <c r="C318" s="8" t="s">
        <v>70</v>
      </c>
      <c r="D318" s="8" t="str">
        <f t="shared" si="62"/>
        <v>Male</v>
      </c>
      <c r="E318" s="13"/>
      <c r="F318" s="8">
        <f t="shared" si="63"/>
        <v>41</v>
      </c>
      <c r="G318" s="8" t="s">
        <v>25</v>
      </c>
      <c r="H318" s="8" t="s">
        <v>26</v>
      </c>
      <c r="I318" s="8" t="s">
        <v>67</v>
      </c>
      <c r="J318" s="8">
        <v>0</v>
      </c>
      <c r="K318" s="8">
        <f t="shared" si="64"/>
        <v>0</v>
      </c>
      <c r="L318" s="8">
        <v>100</v>
      </c>
      <c r="M318" s="9">
        <f t="shared" si="65"/>
        <v>100</v>
      </c>
      <c r="N318" s="8">
        <v>5</v>
      </c>
      <c r="O318" s="10">
        <f t="shared" si="66"/>
        <v>5</v>
      </c>
      <c r="P318" s="8" t="s">
        <v>2050</v>
      </c>
      <c r="Q318" s="13"/>
      <c r="S318" s="12">
        <f t="shared" si="67"/>
        <v>0.79269417475728277</v>
      </c>
    </row>
    <row r="319" spans="1:19" x14ac:dyDescent="0.35">
      <c r="A319" s="8" t="s">
        <v>679</v>
      </c>
      <c r="B319" s="8" t="s">
        <v>680</v>
      </c>
      <c r="C319" s="8" t="s">
        <v>13</v>
      </c>
      <c r="D319" s="8" t="str">
        <f t="shared" si="62"/>
        <v>Male</v>
      </c>
      <c r="E319" s="8">
        <v>32</v>
      </c>
      <c r="F319" s="8">
        <f t="shared" si="63"/>
        <v>32</v>
      </c>
      <c r="G319" s="8" t="s">
        <v>14</v>
      </c>
      <c r="H319" s="8" t="s">
        <v>15</v>
      </c>
      <c r="I319" s="8" t="s">
        <v>16</v>
      </c>
      <c r="J319" s="8">
        <v>0</v>
      </c>
      <c r="K319" s="8">
        <f t="shared" si="64"/>
        <v>0</v>
      </c>
      <c r="L319" s="8">
        <v>100</v>
      </c>
      <c r="M319" s="9">
        <f t="shared" si="65"/>
        <v>100</v>
      </c>
      <c r="N319" s="8">
        <v>1.4</v>
      </c>
      <c r="O319" s="10">
        <f t="shared" si="66"/>
        <v>1.4</v>
      </c>
      <c r="P319" s="8" t="s">
        <v>2051</v>
      </c>
      <c r="Q319" s="14">
        <v>0.81</v>
      </c>
      <c r="R319" s="12">
        <f>Q319</f>
        <v>0.81</v>
      </c>
      <c r="S319" s="12">
        <f t="shared" si="67"/>
        <v>0.81</v>
      </c>
    </row>
    <row r="320" spans="1:19" x14ac:dyDescent="0.35">
      <c r="A320" s="8" t="s">
        <v>681</v>
      </c>
      <c r="B320" s="8" t="s">
        <v>682</v>
      </c>
      <c r="C320" s="8" t="s">
        <v>55</v>
      </c>
      <c r="D320" s="8" t="str">
        <f t="shared" si="62"/>
        <v>Female</v>
      </c>
      <c r="E320" s="8">
        <v>55</v>
      </c>
      <c r="F320" s="8">
        <f t="shared" si="63"/>
        <v>55</v>
      </c>
      <c r="G320" s="8" t="s">
        <v>99</v>
      </c>
      <c r="H320" s="8" t="s">
        <v>100</v>
      </c>
      <c r="I320" s="8" t="s">
        <v>33</v>
      </c>
      <c r="J320" s="8">
        <v>17</v>
      </c>
      <c r="K320" s="8">
        <f t="shared" si="64"/>
        <v>17</v>
      </c>
      <c r="L320" s="8">
        <v>30</v>
      </c>
      <c r="M320" s="9">
        <f t="shared" si="65"/>
        <v>30</v>
      </c>
      <c r="O320" s="10">
        <f t="shared" si="66"/>
        <v>2.5125695216907653</v>
      </c>
      <c r="P320" s="13" t="s">
        <v>2050</v>
      </c>
      <c r="Q320" s="13"/>
      <c r="S320" s="12">
        <f t="shared" si="67"/>
        <v>0.79269417475728277</v>
      </c>
    </row>
    <row r="321" spans="1:19" x14ac:dyDescent="0.35">
      <c r="A321" s="8" t="s">
        <v>683</v>
      </c>
      <c r="B321" s="8" t="s">
        <v>684</v>
      </c>
      <c r="C321" s="8" t="s">
        <v>70</v>
      </c>
      <c r="D321" s="8" t="str">
        <f t="shared" si="62"/>
        <v>Male</v>
      </c>
      <c r="E321" s="8">
        <v>32</v>
      </c>
      <c r="F321" s="8">
        <f t="shared" si="63"/>
        <v>32</v>
      </c>
      <c r="G321" s="8" t="s">
        <v>50</v>
      </c>
      <c r="H321" s="8" t="s">
        <v>51</v>
      </c>
      <c r="I321" s="8" t="s">
        <v>90</v>
      </c>
      <c r="J321" s="8">
        <v>9</v>
      </c>
      <c r="K321" s="8">
        <f t="shared" si="64"/>
        <v>9</v>
      </c>
      <c r="L321" s="8">
        <v>40</v>
      </c>
      <c r="M321" s="9">
        <f t="shared" si="65"/>
        <v>40</v>
      </c>
      <c r="N321" s="8">
        <v>4.5999999999999996</v>
      </c>
      <c r="O321" s="10">
        <f t="shared" si="66"/>
        <v>4.5999999999999996</v>
      </c>
      <c r="P321" s="8" t="s">
        <v>2051</v>
      </c>
      <c r="Q321" s="14">
        <v>0.84</v>
      </c>
      <c r="R321" s="12">
        <f>Q321</f>
        <v>0.84</v>
      </c>
      <c r="S321" s="12">
        <f t="shared" si="67"/>
        <v>0.84</v>
      </c>
    </row>
    <row r="322" spans="1:19" x14ac:dyDescent="0.35">
      <c r="A322" s="8" t="s">
        <v>685</v>
      </c>
      <c r="B322" s="8" t="s">
        <v>686</v>
      </c>
      <c r="C322" s="8" t="s">
        <v>30</v>
      </c>
      <c r="D322" s="8" t="str">
        <f t="shared" si="62"/>
        <v>Male</v>
      </c>
      <c r="E322" s="8">
        <v>30</v>
      </c>
      <c r="F322" s="8">
        <f t="shared" si="63"/>
        <v>30</v>
      </c>
      <c r="G322" s="8" t="s">
        <v>88</v>
      </c>
      <c r="H322" s="8" t="s">
        <v>89</v>
      </c>
      <c r="I322" s="8" t="s">
        <v>4</v>
      </c>
      <c r="J322" s="8">
        <v>4</v>
      </c>
      <c r="K322" s="8">
        <f t="shared" si="64"/>
        <v>4</v>
      </c>
      <c r="L322" s="8">
        <v>20</v>
      </c>
      <c r="M322" s="9">
        <f t="shared" si="65"/>
        <v>20</v>
      </c>
      <c r="N322" s="8">
        <v>3.3</v>
      </c>
      <c r="O322" s="10">
        <f t="shared" si="66"/>
        <v>3.3</v>
      </c>
      <c r="P322" s="8" t="s">
        <v>2050</v>
      </c>
      <c r="Q322" s="13"/>
      <c r="S322" s="12">
        <f t="shared" si="67"/>
        <v>0.79269417475728277</v>
      </c>
    </row>
    <row r="323" spans="1:19" x14ac:dyDescent="0.35">
      <c r="A323" s="8" t="s">
        <v>687</v>
      </c>
      <c r="B323" s="8" t="s">
        <v>688</v>
      </c>
      <c r="C323" s="8" t="s">
        <v>22</v>
      </c>
      <c r="D323" s="8" t="str">
        <f t="shared" ref="D323:D386" si="76">IF(LEFT(C323,1)="f","Female","Male")</f>
        <v>Female</v>
      </c>
      <c r="E323" s="8">
        <v>37</v>
      </c>
      <c r="F323" s="8">
        <f t="shared" ref="F323:F386" si="77">IF(ISBLANK(E323),MEDIAN($E$2:$E$1001),E323)</f>
        <v>37</v>
      </c>
      <c r="G323" s="8" t="s">
        <v>103</v>
      </c>
      <c r="H323" s="8" t="s">
        <v>9</v>
      </c>
      <c r="I323" s="8" t="s">
        <v>56</v>
      </c>
      <c r="J323" s="8">
        <v>0</v>
      </c>
      <c r="K323" s="8">
        <f t="shared" ref="K323:K386" si="78">IF(ISBLANK(J323),MEDIAN($J$2:$J$1001),J323)</f>
        <v>0</v>
      </c>
      <c r="L323" s="8">
        <v>40</v>
      </c>
      <c r="M323" s="9">
        <f t="shared" ref="M323:M386" si="79">IF(ISBLANK(L323),MEDIAN($L$2:$L$1001),L323)</f>
        <v>40</v>
      </c>
      <c r="N323" s="8">
        <v>3.7</v>
      </c>
      <c r="O323" s="10">
        <f t="shared" ref="O323:O386" si="80">IF(ISBLANK(N323),AVERAGE($N$2:$N$1001),N323)</f>
        <v>3.7</v>
      </c>
      <c r="P323" s="8" t="s">
        <v>2051</v>
      </c>
      <c r="Q323" s="13"/>
      <c r="S323" s="12">
        <f t="shared" si="67"/>
        <v>0.79269417475728277</v>
      </c>
    </row>
    <row r="324" spans="1:19" x14ac:dyDescent="0.35">
      <c r="A324" s="8" t="s">
        <v>689</v>
      </c>
      <c r="B324" s="8" t="s">
        <v>690</v>
      </c>
      <c r="C324" s="8" t="s">
        <v>70</v>
      </c>
      <c r="D324" s="8" t="str">
        <f t="shared" si="76"/>
        <v>Male</v>
      </c>
      <c r="E324" s="8">
        <v>52</v>
      </c>
      <c r="F324" s="8">
        <f t="shared" si="77"/>
        <v>52</v>
      </c>
      <c r="G324" s="8" t="s">
        <v>84</v>
      </c>
      <c r="H324" s="8" t="s">
        <v>85</v>
      </c>
      <c r="I324" s="8" t="s">
        <v>16</v>
      </c>
      <c r="J324" s="8">
        <v>33</v>
      </c>
      <c r="K324" s="8">
        <f t="shared" si="78"/>
        <v>33</v>
      </c>
      <c r="L324" s="13"/>
      <c r="M324" s="9">
        <f t="shared" si="79"/>
        <v>40</v>
      </c>
      <c r="N324" s="8">
        <v>0</v>
      </c>
      <c r="O324" s="11">
        <f t="shared" si="80"/>
        <v>0</v>
      </c>
      <c r="P324" s="8" t="s">
        <v>2051</v>
      </c>
      <c r="Q324" s="14">
        <v>0.6</v>
      </c>
      <c r="R324" s="12">
        <f t="shared" ref="R324:R327" si="81">Q324</f>
        <v>0.6</v>
      </c>
      <c r="S324" s="12">
        <f t="shared" ref="S324:S387" si="82">IF(ISBLANK(R324),AVERAGE($R$2:$R$1001),R324)</f>
        <v>0.6</v>
      </c>
    </row>
    <row r="325" spans="1:19" x14ac:dyDescent="0.35">
      <c r="A325" s="8" t="s">
        <v>691</v>
      </c>
      <c r="B325" s="8" t="s">
        <v>692</v>
      </c>
      <c r="C325" s="8" t="s">
        <v>75</v>
      </c>
      <c r="D325" s="8" t="str">
        <f t="shared" si="76"/>
        <v>Male</v>
      </c>
      <c r="E325" s="8">
        <v>48</v>
      </c>
      <c r="F325" s="8">
        <f t="shared" si="77"/>
        <v>48</v>
      </c>
      <c r="G325" s="8" t="s">
        <v>71</v>
      </c>
      <c r="H325" s="8" t="s">
        <v>72</v>
      </c>
      <c r="I325" s="8" t="s">
        <v>56</v>
      </c>
      <c r="J325" s="8">
        <v>18</v>
      </c>
      <c r="K325" s="8">
        <f t="shared" si="78"/>
        <v>18</v>
      </c>
      <c r="L325" s="8">
        <v>50</v>
      </c>
      <c r="M325" s="9">
        <f t="shared" si="79"/>
        <v>50</v>
      </c>
      <c r="N325" s="8">
        <v>0</v>
      </c>
      <c r="O325" s="11">
        <f t="shared" si="80"/>
        <v>0</v>
      </c>
      <c r="P325" s="8" t="s">
        <v>2051</v>
      </c>
      <c r="Q325" s="14">
        <v>0.64</v>
      </c>
      <c r="R325" s="12">
        <f t="shared" si="81"/>
        <v>0.64</v>
      </c>
      <c r="S325" s="12">
        <f t="shared" si="82"/>
        <v>0.64</v>
      </c>
    </row>
    <row r="326" spans="1:19" x14ac:dyDescent="0.35">
      <c r="A326" s="8" t="s">
        <v>693</v>
      </c>
      <c r="B326" s="8" t="s">
        <v>694</v>
      </c>
      <c r="C326" s="8" t="s">
        <v>7</v>
      </c>
      <c r="D326" s="8" t="str">
        <f t="shared" si="76"/>
        <v>Female</v>
      </c>
      <c r="E326" s="8">
        <v>28</v>
      </c>
      <c r="F326" s="8">
        <f t="shared" si="77"/>
        <v>28</v>
      </c>
      <c r="G326" s="8" t="s">
        <v>63</v>
      </c>
      <c r="H326" s="8" t="s">
        <v>64</v>
      </c>
      <c r="I326" s="8" t="s">
        <v>10</v>
      </c>
      <c r="J326" s="8">
        <v>9</v>
      </c>
      <c r="K326" s="8">
        <f t="shared" si="78"/>
        <v>9</v>
      </c>
      <c r="L326" s="8">
        <v>40</v>
      </c>
      <c r="M326" s="9">
        <f t="shared" si="79"/>
        <v>40</v>
      </c>
      <c r="O326" s="10">
        <f t="shared" si="80"/>
        <v>2.5125695216907653</v>
      </c>
      <c r="P326" s="8" t="s">
        <v>2051</v>
      </c>
      <c r="Q326" s="14">
        <v>0.64</v>
      </c>
      <c r="R326" s="12">
        <f t="shared" si="81"/>
        <v>0.64</v>
      </c>
      <c r="S326" s="12">
        <f t="shared" si="82"/>
        <v>0.64</v>
      </c>
    </row>
    <row r="327" spans="1:19" x14ac:dyDescent="0.35">
      <c r="A327" s="8" t="s">
        <v>695</v>
      </c>
      <c r="B327" s="8" t="s">
        <v>696</v>
      </c>
      <c r="C327" s="8" t="s">
        <v>7</v>
      </c>
      <c r="D327" s="8" t="str">
        <f t="shared" si="76"/>
        <v>Female</v>
      </c>
      <c r="E327" s="8">
        <v>58</v>
      </c>
      <c r="F327" s="8">
        <f t="shared" si="77"/>
        <v>58</v>
      </c>
      <c r="G327" s="8" t="s">
        <v>162</v>
      </c>
      <c r="H327" s="8" t="s">
        <v>51</v>
      </c>
      <c r="I327" s="8" t="s">
        <v>33</v>
      </c>
      <c r="J327" s="8">
        <v>40</v>
      </c>
      <c r="K327" s="8">
        <f t="shared" si="78"/>
        <v>40</v>
      </c>
      <c r="L327" s="8">
        <v>75</v>
      </c>
      <c r="M327" s="9">
        <f t="shared" si="79"/>
        <v>75</v>
      </c>
      <c r="N327" s="8">
        <v>3.4</v>
      </c>
      <c r="O327" s="10">
        <f t="shared" si="80"/>
        <v>3.4</v>
      </c>
      <c r="P327" s="8" t="s">
        <v>2051</v>
      </c>
      <c r="Q327" s="14">
        <v>1</v>
      </c>
      <c r="R327" s="12">
        <f t="shared" si="81"/>
        <v>1</v>
      </c>
      <c r="S327" s="12">
        <f t="shared" si="82"/>
        <v>1</v>
      </c>
    </row>
    <row r="328" spans="1:19" x14ac:dyDescent="0.35">
      <c r="A328" s="8" t="s">
        <v>697</v>
      </c>
      <c r="B328" s="8" t="s">
        <v>698</v>
      </c>
      <c r="C328" s="8" t="s">
        <v>13</v>
      </c>
      <c r="D328" s="8" t="str">
        <f t="shared" si="76"/>
        <v>Male</v>
      </c>
      <c r="E328" s="8">
        <v>30</v>
      </c>
      <c r="F328" s="8">
        <f t="shared" si="77"/>
        <v>30</v>
      </c>
      <c r="G328" s="8" t="s">
        <v>50</v>
      </c>
      <c r="H328" s="8" t="s">
        <v>51</v>
      </c>
      <c r="I328" s="8" t="s">
        <v>20</v>
      </c>
      <c r="J328" s="8">
        <v>1</v>
      </c>
      <c r="K328" s="8">
        <f t="shared" si="78"/>
        <v>1</v>
      </c>
      <c r="L328" s="8">
        <v>40</v>
      </c>
      <c r="M328" s="9">
        <f t="shared" si="79"/>
        <v>40</v>
      </c>
      <c r="N328" s="8">
        <v>1.6</v>
      </c>
      <c r="O328" s="10">
        <f t="shared" si="80"/>
        <v>1.6</v>
      </c>
      <c r="P328" s="8" t="s">
        <v>2051</v>
      </c>
      <c r="Q328" s="8">
        <v>100</v>
      </c>
      <c r="R328" s="12">
        <v>1</v>
      </c>
      <c r="S328" s="12">
        <f t="shared" si="82"/>
        <v>1</v>
      </c>
    </row>
    <row r="329" spans="1:19" x14ac:dyDescent="0.35">
      <c r="A329" s="8" t="s">
        <v>699</v>
      </c>
      <c r="B329" s="8" t="s">
        <v>700</v>
      </c>
      <c r="C329" s="8" t="s">
        <v>55</v>
      </c>
      <c r="D329" s="8" t="str">
        <f t="shared" si="76"/>
        <v>Female</v>
      </c>
      <c r="E329" s="8">
        <v>47</v>
      </c>
      <c r="F329" s="8">
        <f t="shared" si="77"/>
        <v>47</v>
      </c>
      <c r="G329" s="8" t="s">
        <v>147</v>
      </c>
      <c r="H329" s="8" t="s">
        <v>148</v>
      </c>
      <c r="I329" s="8" t="s">
        <v>10</v>
      </c>
      <c r="J329" s="8">
        <v>5</v>
      </c>
      <c r="K329" s="8">
        <f t="shared" si="78"/>
        <v>5</v>
      </c>
      <c r="L329" s="8">
        <v>20</v>
      </c>
      <c r="M329" s="9">
        <f t="shared" si="79"/>
        <v>20</v>
      </c>
      <c r="N329" s="8">
        <v>1.9</v>
      </c>
      <c r="O329" s="10">
        <f t="shared" si="80"/>
        <v>1.9</v>
      </c>
      <c r="P329" s="8" t="s">
        <v>2050</v>
      </c>
      <c r="Q329" s="13"/>
      <c r="S329" s="12">
        <f t="shared" si="82"/>
        <v>0.79269417475728277</v>
      </c>
    </row>
    <row r="330" spans="1:19" x14ac:dyDescent="0.35">
      <c r="A330" s="8" t="s">
        <v>701</v>
      </c>
      <c r="B330" s="8" t="s">
        <v>702</v>
      </c>
      <c r="C330" s="8" t="s">
        <v>13</v>
      </c>
      <c r="D330" s="8" t="str">
        <f t="shared" si="76"/>
        <v>Male</v>
      </c>
      <c r="E330" s="8">
        <v>44</v>
      </c>
      <c r="F330" s="8">
        <f t="shared" si="77"/>
        <v>44</v>
      </c>
      <c r="G330" s="8" t="s">
        <v>50</v>
      </c>
      <c r="H330" s="8" t="s">
        <v>51</v>
      </c>
      <c r="I330" s="8" t="s">
        <v>27</v>
      </c>
      <c r="J330" s="8">
        <v>4</v>
      </c>
      <c r="K330" s="8">
        <f t="shared" si="78"/>
        <v>4</v>
      </c>
      <c r="L330" s="8">
        <v>50</v>
      </c>
      <c r="M330" s="9">
        <f t="shared" si="79"/>
        <v>50</v>
      </c>
      <c r="N330" s="8">
        <v>0</v>
      </c>
      <c r="O330" s="11">
        <f t="shared" si="80"/>
        <v>0</v>
      </c>
      <c r="P330" s="8" t="s">
        <v>2051</v>
      </c>
      <c r="Q330" s="14">
        <v>0.83</v>
      </c>
      <c r="R330" s="12">
        <f t="shared" ref="R330:R334" si="83">Q330</f>
        <v>0.83</v>
      </c>
      <c r="S330" s="12">
        <f t="shared" si="82"/>
        <v>0.83</v>
      </c>
    </row>
    <row r="331" spans="1:19" x14ac:dyDescent="0.35">
      <c r="A331" s="8" t="s">
        <v>703</v>
      </c>
      <c r="B331" s="8" t="s">
        <v>704</v>
      </c>
      <c r="C331" s="8" t="s">
        <v>70</v>
      </c>
      <c r="D331" s="8" t="str">
        <f t="shared" si="76"/>
        <v>Male</v>
      </c>
      <c r="E331" s="8">
        <v>56</v>
      </c>
      <c r="F331" s="8">
        <f t="shared" si="77"/>
        <v>56</v>
      </c>
      <c r="G331" s="8" t="s">
        <v>2</v>
      </c>
      <c r="H331" s="8" t="s">
        <v>3</v>
      </c>
      <c r="I331" s="8" t="s">
        <v>90</v>
      </c>
      <c r="J331" s="8">
        <v>13</v>
      </c>
      <c r="K331" s="8">
        <f t="shared" si="78"/>
        <v>13</v>
      </c>
      <c r="L331" s="8">
        <v>40</v>
      </c>
      <c r="M331" s="9">
        <f t="shared" si="79"/>
        <v>40</v>
      </c>
      <c r="O331" s="10">
        <f t="shared" si="80"/>
        <v>2.5125695216907653</v>
      </c>
      <c r="P331" s="8" t="s">
        <v>2051</v>
      </c>
      <c r="Q331" s="14">
        <v>0.87</v>
      </c>
      <c r="R331" s="12">
        <f t="shared" si="83"/>
        <v>0.87</v>
      </c>
      <c r="S331" s="12">
        <f t="shared" si="82"/>
        <v>0.87</v>
      </c>
    </row>
    <row r="332" spans="1:19" x14ac:dyDescent="0.35">
      <c r="A332" s="8" t="s">
        <v>705</v>
      </c>
      <c r="B332" s="8" t="s">
        <v>706</v>
      </c>
      <c r="C332" s="8" t="s">
        <v>55</v>
      </c>
      <c r="D332" s="8" t="str">
        <f t="shared" si="76"/>
        <v>Female</v>
      </c>
      <c r="E332" s="8">
        <v>53</v>
      </c>
      <c r="F332" s="8">
        <f t="shared" si="77"/>
        <v>53</v>
      </c>
      <c r="G332" s="8" t="s">
        <v>38</v>
      </c>
      <c r="H332" s="8" t="s">
        <v>9</v>
      </c>
      <c r="I332" s="8" t="s">
        <v>10</v>
      </c>
      <c r="J332" s="8">
        <v>33</v>
      </c>
      <c r="K332" s="8">
        <f t="shared" si="78"/>
        <v>33</v>
      </c>
      <c r="L332" s="8">
        <v>100</v>
      </c>
      <c r="M332" s="9">
        <f t="shared" si="79"/>
        <v>100</v>
      </c>
      <c r="O332" s="10">
        <f t="shared" si="80"/>
        <v>2.5125695216907653</v>
      </c>
      <c r="P332" s="8" t="s">
        <v>2050</v>
      </c>
      <c r="Q332" s="14">
        <v>0.75</v>
      </c>
      <c r="R332" s="12">
        <f t="shared" si="83"/>
        <v>0.75</v>
      </c>
      <c r="S332" s="12">
        <f t="shared" si="82"/>
        <v>0.75</v>
      </c>
    </row>
    <row r="333" spans="1:19" x14ac:dyDescent="0.35">
      <c r="A333" s="8" t="s">
        <v>707</v>
      </c>
      <c r="B333" s="8" t="s">
        <v>708</v>
      </c>
      <c r="C333" s="8" t="s">
        <v>41</v>
      </c>
      <c r="D333" s="8" t="str">
        <f t="shared" si="76"/>
        <v>Male</v>
      </c>
      <c r="E333" s="8">
        <v>59</v>
      </c>
      <c r="F333" s="8">
        <f t="shared" si="77"/>
        <v>59</v>
      </c>
      <c r="G333" s="8" t="s">
        <v>46</v>
      </c>
      <c r="H333" s="8" t="s">
        <v>9</v>
      </c>
      <c r="I333" s="8" t="s">
        <v>10</v>
      </c>
      <c r="J333" s="8">
        <v>22</v>
      </c>
      <c r="K333" s="8">
        <f t="shared" si="78"/>
        <v>22</v>
      </c>
      <c r="L333" s="8">
        <v>40</v>
      </c>
      <c r="M333" s="9">
        <f t="shared" si="79"/>
        <v>40</v>
      </c>
      <c r="N333" s="8">
        <v>1.1000000000000001</v>
      </c>
      <c r="O333" s="10">
        <f t="shared" si="80"/>
        <v>1.1000000000000001</v>
      </c>
      <c r="P333" s="8" t="s">
        <v>2051</v>
      </c>
      <c r="Q333" s="14">
        <v>0.61</v>
      </c>
      <c r="R333" s="12">
        <f t="shared" si="83"/>
        <v>0.61</v>
      </c>
      <c r="S333" s="12">
        <f t="shared" si="82"/>
        <v>0.61</v>
      </c>
    </row>
    <row r="334" spans="1:19" x14ac:dyDescent="0.35">
      <c r="A334" s="8" t="s">
        <v>709</v>
      </c>
      <c r="B334" s="8" t="s">
        <v>710</v>
      </c>
      <c r="C334" s="8" t="s">
        <v>70</v>
      </c>
      <c r="D334" s="8" t="str">
        <f t="shared" si="76"/>
        <v>Male</v>
      </c>
      <c r="E334" s="8">
        <v>60</v>
      </c>
      <c r="F334" s="8">
        <f t="shared" si="77"/>
        <v>60</v>
      </c>
      <c r="G334" s="8" t="s">
        <v>38</v>
      </c>
      <c r="H334" s="8" t="s">
        <v>9</v>
      </c>
      <c r="I334" s="8" t="s">
        <v>67</v>
      </c>
      <c r="J334" s="8">
        <v>34</v>
      </c>
      <c r="K334" s="8">
        <f t="shared" si="78"/>
        <v>34</v>
      </c>
      <c r="L334" s="13"/>
      <c r="M334" s="9">
        <f t="shared" si="79"/>
        <v>40</v>
      </c>
      <c r="N334" s="8">
        <v>2.5</v>
      </c>
      <c r="O334" s="10">
        <f t="shared" si="80"/>
        <v>2.5</v>
      </c>
      <c r="P334" s="8" t="s">
        <v>2050</v>
      </c>
      <c r="Q334" s="14">
        <v>0.93</v>
      </c>
      <c r="R334" s="12">
        <f t="shared" si="83"/>
        <v>0.93</v>
      </c>
      <c r="S334" s="12">
        <f t="shared" si="82"/>
        <v>0.93</v>
      </c>
    </row>
    <row r="335" spans="1:19" x14ac:dyDescent="0.35">
      <c r="A335" s="8" t="s">
        <v>711</v>
      </c>
      <c r="B335" s="8" t="s">
        <v>712</v>
      </c>
      <c r="C335" s="8" t="s">
        <v>7</v>
      </c>
      <c r="D335" s="8" t="str">
        <f t="shared" si="76"/>
        <v>Female</v>
      </c>
      <c r="E335" s="8">
        <v>33</v>
      </c>
      <c r="F335" s="8">
        <f t="shared" si="77"/>
        <v>33</v>
      </c>
      <c r="G335" s="8" t="s">
        <v>14</v>
      </c>
      <c r="H335" s="8" t="s">
        <v>15</v>
      </c>
      <c r="I335" s="8" t="s">
        <v>10</v>
      </c>
      <c r="J335" s="8">
        <v>8</v>
      </c>
      <c r="K335" s="8">
        <f t="shared" si="78"/>
        <v>8</v>
      </c>
      <c r="L335" s="8">
        <v>30</v>
      </c>
      <c r="M335" s="9">
        <f t="shared" si="79"/>
        <v>30</v>
      </c>
      <c r="N335" s="8">
        <v>3.6</v>
      </c>
      <c r="O335" s="10">
        <f t="shared" si="80"/>
        <v>3.6</v>
      </c>
      <c r="P335" s="8" t="s">
        <v>2051</v>
      </c>
      <c r="Q335" s="13"/>
      <c r="S335" s="12">
        <f t="shared" si="82"/>
        <v>0.79269417475728277</v>
      </c>
    </row>
    <row r="336" spans="1:19" x14ac:dyDescent="0.35">
      <c r="A336" s="8" t="s">
        <v>713</v>
      </c>
      <c r="B336" s="8" t="s">
        <v>714</v>
      </c>
      <c r="C336" s="8" t="s">
        <v>55</v>
      </c>
      <c r="D336" s="8" t="str">
        <f t="shared" si="76"/>
        <v>Female</v>
      </c>
      <c r="E336" s="8">
        <v>21</v>
      </c>
      <c r="F336" s="8">
        <f t="shared" si="77"/>
        <v>21</v>
      </c>
      <c r="G336" s="8" t="s">
        <v>50</v>
      </c>
      <c r="H336" s="8" t="s">
        <v>51</v>
      </c>
      <c r="I336" s="8" t="s">
        <v>20</v>
      </c>
      <c r="J336" s="8">
        <v>1</v>
      </c>
      <c r="K336" s="8">
        <f t="shared" si="78"/>
        <v>1</v>
      </c>
      <c r="L336" s="8">
        <v>20</v>
      </c>
      <c r="M336" s="9">
        <f t="shared" si="79"/>
        <v>20</v>
      </c>
      <c r="O336" s="10">
        <f t="shared" si="80"/>
        <v>2.5125695216907653</v>
      </c>
      <c r="P336" s="8" t="s">
        <v>2050</v>
      </c>
      <c r="Q336" s="14">
        <v>0.99</v>
      </c>
      <c r="R336" s="12">
        <f>Q336</f>
        <v>0.99</v>
      </c>
      <c r="S336" s="12">
        <f t="shared" si="82"/>
        <v>0.99</v>
      </c>
    </row>
    <row r="337" spans="1:19" x14ac:dyDescent="0.35">
      <c r="A337" s="8" t="s">
        <v>715</v>
      </c>
      <c r="B337" s="8" t="s">
        <v>716</v>
      </c>
      <c r="C337" s="8" t="s">
        <v>13</v>
      </c>
      <c r="D337" s="8" t="str">
        <f t="shared" si="76"/>
        <v>Male</v>
      </c>
      <c r="E337" s="8">
        <v>54</v>
      </c>
      <c r="F337" s="8">
        <f t="shared" si="77"/>
        <v>54</v>
      </c>
      <c r="G337" s="8" t="s">
        <v>46</v>
      </c>
      <c r="H337" s="8" t="s">
        <v>9</v>
      </c>
      <c r="I337" s="8" t="s">
        <v>52</v>
      </c>
      <c r="J337" s="8">
        <v>20</v>
      </c>
      <c r="K337" s="8">
        <f t="shared" si="78"/>
        <v>20</v>
      </c>
      <c r="L337" s="8">
        <v>50</v>
      </c>
      <c r="M337" s="9">
        <f t="shared" si="79"/>
        <v>50</v>
      </c>
      <c r="N337" s="8">
        <v>4.4000000000000004</v>
      </c>
      <c r="O337" s="10">
        <f t="shared" si="80"/>
        <v>4.4000000000000004</v>
      </c>
      <c r="P337" s="8" t="s">
        <v>2050</v>
      </c>
      <c r="Q337" s="8">
        <v>73</v>
      </c>
      <c r="R337" s="12">
        <v>0.73</v>
      </c>
      <c r="S337" s="12">
        <f t="shared" si="82"/>
        <v>0.73</v>
      </c>
    </row>
    <row r="338" spans="1:19" x14ac:dyDescent="0.35">
      <c r="A338" s="8" t="s">
        <v>717</v>
      </c>
      <c r="B338" s="8" t="s">
        <v>718</v>
      </c>
      <c r="C338" s="8" t="s">
        <v>55</v>
      </c>
      <c r="D338" s="8" t="str">
        <f t="shared" si="76"/>
        <v>Female</v>
      </c>
      <c r="E338" s="8">
        <v>33</v>
      </c>
      <c r="F338" s="8">
        <f t="shared" si="77"/>
        <v>33</v>
      </c>
      <c r="G338" s="8" t="s">
        <v>38</v>
      </c>
      <c r="H338" s="8" t="s">
        <v>9</v>
      </c>
      <c r="I338" s="8" t="s">
        <v>16</v>
      </c>
      <c r="J338" s="8">
        <v>11</v>
      </c>
      <c r="K338" s="8">
        <f t="shared" si="78"/>
        <v>11</v>
      </c>
      <c r="L338" s="8">
        <v>75</v>
      </c>
      <c r="M338" s="9">
        <f t="shared" si="79"/>
        <v>75</v>
      </c>
      <c r="N338" s="8">
        <v>2.1</v>
      </c>
      <c r="O338" s="10">
        <f t="shared" si="80"/>
        <v>2.1</v>
      </c>
      <c r="P338" s="8" t="s">
        <v>2050</v>
      </c>
      <c r="Q338" s="14">
        <v>0.96</v>
      </c>
      <c r="R338" s="12">
        <f t="shared" ref="R338:R340" si="84">Q338</f>
        <v>0.96</v>
      </c>
      <c r="S338" s="12">
        <f t="shared" si="82"/>
        <v>0.96</v>
      </c>
    </row>
    <row r="339" spans="1:19" x14ac:dyDescent="0.35">
      <c r="A339" s="8" t="s">
        <v>719</v>
      </c>
      <c r="B339" s="8" t="s">
        <v>720</v>
      </c>
      <c r="C339" s="8" t="s">
        <v>55</v>
      </c>
      <c r="D339" s="8" t="str">
        <f t="shared" si="76"/>
        <v>Female</v>
      </c>
      <c r="E339" s="8">
        <v>57</v>
      </c>
      <c r="F339" s="8">
        <f t="shared" si="77"/>
        <v>57</v>
      </c>
      <c r="G339" s="8" t="s">
        <v>42</v>
      </c>
      <c r="H339" s="8" t="s">
        <v>43</v>
      </c>
      <c r="I339" s="8" t="s">
        <v>33</v>
      </c>
      <c r="J339" s="8">
        <v>2</v>
      </c>
      <c r="K339" s="8">
        <f t="shared" si="78"/>
        <v>2</v>
      </c>
      <c r="L339" s="8">
        <v>40</v>
      </c>
      <c r="M339" s="9">
        <f t="shared" si="79"/>
        <v>40</v>
      </c>
      <c r="N339" s="8">
        <v>0</v>
      </c>
      <c r="O339" s="11">
        <f t="shared" si="80"/>
        <v>0</v>
      </c>
      <c r="P339" s="8" t="s">
        <v>2050</v>
      </c>
      <c r="Q339" s="14">
        <v>0.6</v>
      </c>
      <c r="R339" s="12">
        <f t="shared" si="84"/>
        <v>0.6</v>
      </c>
      <c r="S339" s="12">
        <f t="shared" si="82"/>
        <v>0.6</v>
      </c>
    </row>
    <row r="340" spans="1:19" x14ac:dyDescent="0.35">
      <c r="A340" s="8" t="s">
        <v>721</v>
      </c>
      <c r="B340" s="8" t="s">
        <v>722</v>
      </c>
      <c r="C340" s="8" t="s">
        <v>70</v>
      </c>
      <c r="D340" s="8" t="str">
        <f t="shared" si="76"/>
        <v>Male</v>
      </c>
      <c r="E340" s="8">
        <v>36</v>
      </c>
      <c r="F340" s="8">
        <f t="shared" si="77"/>
        <v>36</v>
      </c>
      <c r="G340" s="8" t="s">
        <v>88</v>
      </c>
      <c r="H340" s="8" t="s">
        <v>89</v>
      </c>
      <c r="I340" s="8" t="s">
        <v>16</v>
      </c>
      <c r="J340" s="8">
        <v>6</v>
      </c>
      <c r="K340" s="8">
        <f t="shared" si="78"/>
        <v>6</v>
      </c>
      <c r="L340" s="8">
        <v>20</v>
      </c>
      <c r="M340" s="9">
        <f t="shared" si="79"/>
        <v>20</v>
      </c>
      <c r="N340" s="8">
        <v>1</v>
      </c>
      <c r="O340" s="10">
        <f t="shared" si="80"/>
        <v>1</v>
      </c>
      <c r="P340" s="8" t="s">
        <v>2051</v>
      </c>
      <c r="Q340" s="14">
        <v>0.64</v>
      </c>
      <c r="R340" s="12">
        <f t="shared" si="84"/>
        <v>0.64</v>
      </c>
      <c r="S340" s="12">
        <f t="shared" si="82"/>
        <v>0.64</v>
      </c>
    </row>
    <row r="341" spans="1:19" x14ac:dyDescent="0.35">
      <c r="A341" s="8" t="s">
        <v>723</v>
      </c>
      <c r="B341" s="8" t="s">
        <v>724</v>
      </c>
      <c r="C341" s="8" t="s">
        <v>75</v>
      </c>
      <c r="D341" s="8" t="str">
        <f t="shared" si="76"/>
        <v>Male</v>
      </c>
      <c r="E341" s="8">
        <v>50</v>
      </c>
      <c r="F341" s="8">
        <f t="shared" si="77"/>
        <v>50</v>
      </c>
      <c r="G341" s="8" t="s">
        <v>14</v>
      </c>
      <c r="H341" s="8" t="s">
        <v>15</v>
      </c>
      <c r="I341" s="8" t="s">
        <v>4</v>
      </c>
      <c r="J341" s="8">
        <v>20</v>
      </c>
      <c r="K341" s="8">
        <f t="shared" si="78"/>
        <v>20</v>
      </c>
      <c r="L341" s="8">
        <v>30</v>
      </c>
      <c r="M341" s="9">
        <f t="shared" si="79"/>
        <v>30</v>
      </c>
      <c r="N341" s="8">
        <v>0</v>
      </c>
      <c r="O341" s="11">
        <f t="shared" si="80"/>
        <v>0</v>
      </c>
      <c r="P341" s="8" t="s">
        <v>2050</v>
      </c>
      <c r="Q341" s="13"/>
      <c r="S341" s="12">
        <f t="shared" si="82"/>
        <v>0.79269417475728277</v>
      </c>
    </row>
    <row r="342" spans="1:19" x14ac:dyDescent="0.35">
      <c r="A342" s="8" t="s">
        <v>725</v>
      </c>
      <c r="B342" s="8" t="s">
        <v>726</v>
      </c>
      <c r="C342" s="8" t="s">
        <v>1</v>
      </c>
      <c r="D342" s="8" t="str">
        <f t="shared" si="76"/>
        <v>Female</v>
      </c>
      <c r="E342" s="8">
        <v>37</v>
      </c>
      <c r="F342" s="8">
        <f t="shared" si="77"/>
        <v>37</v>
      </c>
      <c r="G342" s="8" t="s">
        <v>103</v>
      </c>
      <c r="H342" s="8" t="s">
        <v>9</v>
      </c>
      <c r="I342" s="8" t="s">
        <v>67</v>
      </c>
      <c r="J342" s="13"/>
      <c r="K342" s="8">
        <f t="shared" si="78"/>
        <v>9</v>
      </c>
      <c r="L342" s="8">
        <v>20</v>
      </c>
      <c r="M342" s="9">
        <f t="shared" si="79"/>
        <v>20</v>
      </c>
      <c r="N342" s="8">
        <v>4.9000000000000004</v>
      </c>
      <c r="O342" s="10">
        <f t="shared" si="80"/>
        <v>4.9000000000000004</v>
      </c>
      <c r="P342" s="8" t="s">
        <v>2050</v>
      </c>
      <c r="Q342" s="13"/>
      <c r="S342" s="12">
        <f t="shared" si="82"/>
        <v>0.79269417475728277</v>
      </c>
    </row>
    <row r="343" spans="1:19" x14ac:dyDescent="0.35">
      <c r="A343" s="8" t="s">
        <v>727</v>
      </c>
      <c r="B343" s="8" t="s">
        <v>728</v>
      </c>
      <c r="C343" s="8" t="s">
        <v>70</v>
      </c>
      <c r="D343" s="8" t="str">
        <f t="shared" si="76"/>
        <v>Male</v>
      </c>
      <c r="E343" s="8">
        <v>53</v>
      </c>
      <c r="F343" s="8">
        <f t="shared" si="77"/>
        <v>53</v>
      </c>
      <c r="G343" s="8" t="s">
        <v>2</v>
      </c>
      <c r="H343" s="8" t="s">
        <v>3</v>
      </c>
      <c r="I343" s="8" t="s">
        <v>27</v>
      </c>
      <c r="J343" s="8">
        <v>4</v>
      </c>
      <c r="K343" s="8">
        <f t="shared" si="78"/>
        <v>4</v>
      </c>
      <c r="L343" s="8">
        <v>30</v>
      </c>
      <c r="M343" s="9">
        <f t="shared" si="79"/>
        <v>30</v>
      </c>
      <c r="N343" s="8">
        <v>4.7</v>
      </c>
      <c r="O343" s="10">
        <f t="shared" si="80"/>
        <v>4.7</v>
      </c>
      <c r="P343" s="8" t="s">
        <v>2050</v>
      </c>
      <c r="Q343" s="14">
        <v>0.99</v>
      </c>
      <c r="R343" s="12">
        <f>Q343</f>
        <v>0.99</v>
      </c>
      <c r="S343" s="12">
        <f t="shared" si="82"/>
        <v>0.99</v>
      </c>
    </row>
    <row r="344" spans="1:19" x14ac:dyDescent="0.35">
      <c r="A344" s="8" t="s">
        <v>729</v>
      </c>
      <c r="B344" s="8" t="s">
        <v>730</v>
      </c>
      <c r="C344" s="8" t="s">
        <v>55</v>
      </c>
      <c r="D344" s="8" t="str">
        <f t="shared" si="76"/>
        <v>Female</v>
      </c>
      <c r="E344" s="8">
        <v>22</v>
      </c>
      <c r="F344" s="8">
        <f t="shared" si="77"/>
        <v>22</v>
      </c>
      <c r="G344" s="8" t="s">
        <v>2</v>
      </c>
      <c r="H344" s="8" t="s">
        <v>3</v>
      </c>
      <c r="I344" s="8" t="s">
        <v>4</v>
      </c>
      <c r="J344" s="8">
        <v>3</v>
      </c>
      <c r="K344" s="8">
        <f t="shared" si="78"/>
        <v>3</v>
      </c>
      <c r="L344" s="8">
        <v>40</v>
      </c>
      <c r="M344" s="9">
        <f t="shared" si="79"/>
        <v>40</v>
      </c>
      <c r="N344" s="8">
        <v>2.1</v>
      </c>
      <c r="O344" s="10">
        <f t="shared" si="80"/>
        <v>2.1</v>
      </c>
      <c r="P344" s="8" t="s">
        <v>2050</v>
      </c>
      <c r="Q344" s="13"/>
      <c r="S344" s="12">
        <f t="shared" si="82"/>
        <v>0.79269417475728277</v>
      </c>
    </row>
    <row r="345" spans="1:19" x14ac:dyDescent="0.35">
      <c r="A345" s="8" t="s">
        <v>731</v>
      </c>
      <c r="B345" s="8" t="s">
        <v>732</v>
      </c>
      <c r="C345" s="8" t="s">
        <v>55</v>
      </c>
      <c r="D345" s="8" t="str">
        <f t="shared" si="76"/>
        <v>Female</v>
      </c>
      <c r="E345" s="8">
        <v>55</v>
      </c>
      <c r="F345" s="8">
        <f t="shared" si="77"/>
        <v>55</v>
      </c>
      <c r="G345" s="8" t="s">
        <v>25</v>
      </c>
      <c r="H345" s="8" t="s">
        <v>26</v>
      </c>
      <c r="I345" s="8" t="s">
        <v>10</v>
      </c>
      <c r="J345" s="8">
        <v>33</v>
      </c>
      <c r="K345" s="8">
        <f t="shared" si="78"/>
        <v>33</v>
      </c>
      <c r="L345" s="8">
        <v>40</v>
      </c>
      <c r="M345" s="9">
        <f t="shared" si="79"/>
        <v>40</v>
      </c>
      <c r="N345" s="8">
        <v>1.5</v>
      </c>
      <c r="O345" s="10">
        <f t="shared" si="80"/>
        <v>1.5</v>
      </c>
      <c r="P345" s="8" t="s">
        <v>2051</v>
      </c>
      <c r="Q345" s="14">
        <v>0.71</v>
      </c>
      <c r="R345" s="12">
        <f t="shared" ref="R345:R348" si="85">Q345</f>
        <v>0.71</v>
      </c>
      <c r="S345" s="12">
        <f t="shared" si="82"/>
        <v>0.71</v>
      </c>
    </row>
    <row r="346" spans="1:19" x14ac:dyDescent="0.35">
      <c r="A346" s="8" t="s">
        <v>733</v>
      </c>
      <c r="B346" s="8" t="s">
        <v>734</v>
      </c>
      <c r="C346" s="8" t="s">
        <v>41</v>
      </c>
      <c r="D346" s="8" t="str">
        <f t="shared" si="76"/>
        <v>Male</v>
      </c>
      <c r="E346" s="8">
        <v>22</v>
      </c>
      <c r="F346" s="8">
        <f t="shared" si="77"/>
        <v>22</v>
      </c>
      <c r="G346" s="8" t="s">
        <v>8</v>
      </c>
      <c r="H346" s="8" t="s">
        <v>9</v>
      </c>
      <c r="I346" s="8" t="s">
        <v>56</v>
      </c>
      <c r="J346" s="8">
        <v>1</v>
      </c>
      <c r="K346" s="8">
        <f t="shared" si="78"/>
        <v>1</v>
      </c>
      <c r="L346" s="13"/>
      <c r="M346" s="9">
        <f t="shared" si="79"/>
        <v>40</v>
      </c>
      <c r="N346" s="8">
        <v>2.6</v>
      </c>
      <c r="O346" s="10">
        <f t="shared" si="80"/>
        <v>2.6</v>
      </c>
      <c r="P346" s="8" t="s">
        <v>2050</v>
      </c>
      <c r="Q346" s="14">
        <v>0.72</v>
      </c>
      <c r="R346" s="12">
        <f t="shared" si="85"/>
        <v>0.72</v>
      </c>
      <c r="S346" s="12">
        <f t="shared" si="82"/>
        <v>0.72</v>
      </c>
    </row>
    <row r="347" spans="1:19" x14ac:dyDescent="0.35">
      <c r="A347" s="8" t="s">
        <v>735</v>
      </c>
      <c r="B347" s="8" t="s">
        <v>736</v>
      </c>
      <c r="C347" s="8" t="s">
        <v>1</v>
      </c>
      <c r="D347" s="8" t="str">
        <f t="shared" si="76"/>
        <v>Female</v>
      </c>
      <c r="E347" s="8">
        <v>45</v>
      </c>
      <c r="F347" s="8">
        <f t="shared" si="77"/>
        <v>45</v>
      </c>
      <c r="G347" s="8" t="s">
        <v>42</v>
      </c>
      <c r="H347" s="8" t="s">
        <v>43</v>
      </c>
      <c r="I347" s="8" t="s">
        <v>20</v>
      </c>
      <c r="J347" s="8">
        <v>23</v>
      </c>
      <c r="K347" s="8">
        <f t="shared" si="78"/>
        <v>23</v>
      </c>
      <c r="L347" s="8">
        <v>50</v>
      </c>
      <c r="M347" s="9">
        <f t="shared" si="79"/>
        <v>50</v>
      </c>
      <c r="N347" s="8">
        <v>0</v>
      </c>
      <c r="O347" s="11">
        <f t="shared" si="80"/>
        <v>0</v>
      </c>
      <c r="P347" s="8" t="s">
        <v>2050</v>
      </c>
      <c r="Q347" s="14">
        <v>0.66</v>
      </c>
      <c r="R347" s="12">
        <f t="shared" si="85"/>
        <v>0.66</v>
      </c>
      <c r="S347" s="12">
        <f t="shared" si="82"/>
        <v>0.66</v>
      </c>
    </row>
    <row r="348" spans="1:19" x14ac:dyDescent="0.35">
      <c r="A348" s="8" t="s">
        <v>737</v>
      </c>
      <c r="B348" s="8" t="s">
        <v>2040</v>
      </c>
      <c r="C348" s="8" t="s">
        <v>70</v>
      </c>
      <c r="D348" s="8" t="str">
        <f t="shared" si="76"/>
        <v>Male</v>
      </c>
      <c r="E348" s="8">
        <v>36</v>
      </c>
      <c r="F348" s="8">
        <f t="shared" si="77"/>
        <v>36</v>
      </c>
      <c r="G348" s="8" t="s">
        <v>110</v>
      </c>
      <c r="H348" s="8" t="s">
        <v>111</v>
      </c>
      <c r="I348" s="8" t="s">
        <v>33</v>
      </c>
      <c r="J348" s="8">
        <v>13</v>
      </c>
      <c r="K348" s="8">
        <f t="shared" si="78"/>
        <v>13</v>
      </c>
      <c r="L348" s="8">
        <v>40</v>
      </c>
      <c r="M348" s="9">
        <f t="shared" si="79"/>
        <v>40</v>
      </c>
      <c r="O348" s="10">
        <f t="shared" si="80"/>
        <v>2.5125695216907653</v>
      </c>
      <c r="P348" s="8" t="s">
        <v>2050</v>
      </c>
      <c r="Q348" s="14">
        <v>0.78</v>
      </c>
      <c r="R348" s="12">
        <f t="shared" si="85"/>
        <v>0.78</v>
      </c>
      <c r="S348" s="12">
        <f t="shared" si="82"/>
        <v>0.78</v>
      </c>
    </row>
    <row r="349" spans="1:19" x14ac:dyDescent="0.35">
      <c r="A349" s="8" t="s">
        <v>738</v>
      </c>
      <c r="B349" s="8" t="s">
        <v>739</v>
      </c>
      <c r="C349" s="8" t="s">
        <v>30</v>
      </c>
      <c r="D349" s="8" t="str">
        <f t="shared" si="76"/>
        <v>Male</v>
      </c>
      <c r="E349" s="8">
        <v>23</v>
      </c>
      <c r="F349" s="8">
        <f t="shared" si="77"/>
        <v>23</v>
      </c>
      <c r="G349" s="8" t="s">
        <v>8</v>
      </c>
      <c r="H349" s="8" t="s">
        <v>9</v>
      </c>
      <c r="I349" s="8" t="s">
        <v>67</v>
      </c>
      <c r="J349" s="8">
        <v>1</v>
      </c>
      <c r="K349" s="8">
        <f t="shared" si="78"/>
        <v>1</v>
      </c>
      <c r="L349" s="8">
        <v>20</v>
      </c>
      <c r="M349" s="9">
        <f t="shared" si="79"/>
        <v>20</v>
      </c>
      <c r="N349" s="8">
        <v>4</v>
      </c>
      <c r="O349" s="10">
        <f t="shared" si="80"/>
        <v>4</v>
      </c>
      <c r="P349" s="8" t="s">
        <v>2051</v>
      </c>
      <c r="Q349" s="8">
        <v>100</v>
      </c>
      <c r="R349" s="12">
        <v>1</v>
      </c>
      <c r="S349" s="12">
        <f t="shared" si="82"/>
        <v>1</v>
      </c>
    </row>
    <row r="350" spans="1:19" x14ac:dyDescent="0.35">
      <c r="A350" s="8" t="s">
        <v>740</v>
      </c>
      <c r="B350" s="8" t="s">
        <v>741</v>
      </c>
      <c r="C350" s="8" t="s">
        <v>70</v>
      </c>
      <c r="D350" s="8" t="str">
        <f t="shared" si="76"/>
        <v>Male</v>
      </c>
      <c r="E350" s="8">
        <v>55</v>
      </c>
      <c r="F350" s="8">
        <f t="shared" si="77"/>
        <v>55</v>
      </c>
      <c r="G350" s="8" t="s">
        <v>2</v>
      </c>
      <c r="H350" s="8" t="s">
        <v>3</v>
      </c>
      <c r="I350" s="8" t="s">
        <v>67</v>
      </c>
      <c r="J350" s="8">
        <v>15</v>
      </c>
      <c r="K350" s="8">
        <f t="shared" si="78"/>
        <v>15</v>
      </c>
      <c r="L350" s="8">
        <v>40</v>
      </c>
      <c r="M350" s="9">
        <f t="shared" si="79"/>
        <v>40</v>
      </c>
      <c r="N350" s="8">
        <v>4.5</v>
      </c>
      <c r="O350" s="10">
        <f t="shared" si="80"/>
        <v>4.5</v>
      </c>
      <c r="P350" s="13" t="s">
        <v>2050</v>
      </c>
      <c r="Q350" s="13"/>
      <c r="S350" s="12">
        <f t="shared" si="82"/>
        <v>0.79269417475728277</v>
      </c>
    </row>
    <row r="351" spans="1:19" x14ac:dyDescent="0.35">
      <c r="A351" s="8" t="s">
        <v>742</v>
      </c>
      <c r="B351" s="8" t="s">
        <v>743</v>
      </c>
      <c r="C351" s="8" t="s">
        <v>19</v>
      </c>
      <c r="D351" s="8" t="str">
        <f t="shared" si="76"/>
        <v>Female</v>
      </c>
      <c r="E351" s="8">
        <v>50</v>
      </c>
      <c r="F351" s="8">
        <f t="shared" si="77"/>
        <v>50</v>
      </c>
      <c r="G351" s="8" t="s">
        <v>84</v>
      </c>
      <c r="H351" s="8" t="s">
        <v>85</v>
      </c>
      <c r="I351" s="8" t="s">
        <v>10</v>
      </c>
      <c r="J351" s="8">
        <v>18</v>
      </c>
      <c r="K351" s="8">
        <f t="shared" si="78"/>
        <v>18</v>
      </c>
      <c r="L351" s="8">
        <v>75</v>
      </c>
      <c r="M351" s="9">
        <f t="shared" si="79"/>
        <v>75</v>
      </c>
      <c r="N351" s="8">
        <v>3.8</v>
      </c>
      <c r="O351" s="10">
        <f t="shared" si="80"/>
        <v>3.8</v>
      </c>
      <c r="P351" s="8" t="s">
        <v>2050</v>
      </c>
      <c r="Q351" s="8">
        <v>67</v>
      </c>
      <c r="R351" s="12">
        <v>0.67</v>
      </c>
      <c r="S351" s="12">
        <f t="shared" si="82"/>
        <v>0.67</v>
      </c>
    </row>
    <row r="352" spans="1:19" x14ac:dyDescent="0.35">
      <c r="A352" s="8" t="s">
        <v>744</v>
      </c>
      <c r="B352" s="8" t="s">
        <v>745</v>
      </c>
      <c r="C352" s="8" t="s">
        <v>13</v>
      </c>
      <c r="D352" s="8" t="str">
        <f t="shared" si="76"/>
        <v>Male</v>
      </c>
      <c r="E352" s="8">
        <v>48</v>
      </c>
      <c r="F352" s="8">
        <f t="shared" si="77"/>
        <v>48</v>
      </c>
      <c r="G352" s="8" t="s">
        <v>38</v>
      </c>
      <c r="H352" s="8" t="s">
        <v>9</v>
      </c>
      <c r="I352" s="8" t="s">
        <v>90</v>
      </c>
      <c r="J352" s="8">
        <v>21</v>
      </c>
      <c r="K352" s="8">
        <f t="shared" si="78"/>
        <v>21</v>
      </c>
      <c r="L352" s="8">
        <v>50</v>
      </c>
      <c r="M352" s="9">
        <f t="shared" si="79"/>
        <v>50</v>
      </c>
      <c r="N352" s="8">
        <v>4</v>
      </c>
      <c r="O352" s="10">
        <f t="shared" si="80"/>
        <v>4</v>
      </c>
      <c r="P352" s="8" t="s">
        <v>2050</v>
      </c>
      <c r="Q352" s="14">
        <v>0.78</v>
      </c>
      <c r="R352" s="12">
        <f t="shared" ref="R352:R356" si="86">Q352</f>
        <v>0.78</v>
      </c>
      <c r="S352" s="12">
        <f t="shared" si="82"/>
        <v>0.78</v>
      </c>
    </row>
    <row r="353" spans="1:19" x14ac:dyDescent="0.35">
      <c r="A353" s="8" t="s">
        <v>746</v>
      </c>
      <c r="B353" s="8" t="s">
        <v>747</v>
      </c>
      <c r="C353" s="8" t="s">
        <v>41</v>
      </c>
      <c r="D353" s="8" t="str">
        <f t="shared" si="76"/>
        <v>Male</v>
      </c>
      <c r="E353" s="8">
        <v>23</v>
      </c>
      <c r="F353" s="8">
        <f t="shared" si="77"/>
        <v>23</v>
      </c>
      <c r="G353" s="8" t="s">
        <v>25</v>
      </c>
      <c r="H353" s="8" t="s">
        <v>26</v>
      </c>
      <c r="I353" s="8" t="s">
        <v>67</v>
      </c>
      <c r="J353" s="8">
        <v>1</v>
      </c>
      <c r="K353" s="8">
        <f t="shared" si="78"/>
        <v>1</v>
      </c>
      <c r="L353" s="8">
        <v>40</v>
      </c>
      <c r="M353" s="9">
        <f t="shared" si="79"/>
        <v>40</v>
      </c>
      <c r="N353" s="8">
        <v>4.9000000000000004</v>
      </c>
      <c r="O353" s="10">
        <f t="shared" si="80"/>
        <v>4.9000000000000004</v>
      </c>
      <c r="P353" s="8" t="s">
        <v>2051</v>
      </c>
      <c r="Q353" s="14">
        <v>0.78</v>
      </c>
      <c r="R353" s="12">
        <f t="shared" si="86"/>
        <v>0.78</v>
      </c>
      <c r="S353" s="12">
        <f t="shared" si="82"/>
        <v>0.78</v>
      </c>
    </row>
    <row r="354" spans="1:19" x14ac:dyDescent="0.35">
      <c r="A354" s="8" t="s">
        <v>748</v>
      </c>
      <c r="B354" s="8" t="s">
        <v>749</v>
      </c>
      <c r="C354" s="8" t="s">
        <v>1</v>
      </c>
      <c r="D354" s="8" t="str">
        <f t="shared" si="76"/>
        <v>Female</v>
      </c>
      <c r="E354" s="8">
        <v>49</v>
      </c>
      <c r="F354" s="8">
        <f t="shared" si="77"/>
        <v>49</v>
      </c>
      <c r="G354" s="8" t="s">
        <v>103</v>
      </c>
      <c r="H354" s="8" t="s">
        <v>9</v>
      </c>
      <c r="I354" s="8" t="s">
        <v>20</v>
      </c>
      <c r="J354" s="8">
        <v>25</v>
      </c>
      <c r="K354" s="8">
        <f t="shared" si="78"/>
        <v>25</v>
      </c>
      <c r="L354" s="8">
        <v>30</v>
      </c>
      <c r="M354" s="9">
        <f t="shared" si="79"/>
        <v>30</v>
      </c>
      <c r="N354" s="8">
        <v>3.4</v>
      </c>
      <c r="O354" s="10">
        <f t="shared" si="80"/>
        <v>3.4</v>
      </c>
      <c r="P354" s="8" t="s">
        <v>2050</v>
      </c>
      <c r="Q354" s="14">
        <v>0.75</v>
      </c>
      <c r="R354" s="12">
        <f t="shared" si="86"/>
        <v>0.75</v>
      </c>
      <c r="S354" s="12">
        <f t="shared" si="82"/>
        <v>0.75</v>
      </c>
    </row>
    <row r="355" spans="1:19" x14ac:dyDescent="0.35">
      <c r="A355" s="8" t="s">
        <v>750</v>
      </c>
      <c r="B355" s="8" t="s">
        <v>751</v>
      </c>
      <c r="C355" s="8" t="s">
        <v>19</v>
      </c>
      <c r="D355" s="8" t="str">
        <f t="shared" si="76"/>
        <v>Female</v>
      </c>
      <c r="E355" s="8">
        <v>47</v>
      </c>
      <c r="F355" s="8">
        <f t="shared" si="77"/>
        <v>47</v>
      </c>
      <c r="G355" s="8" t="s">
        <v>2</v>
      </c>
      <c r="H355" s="8" t="s">
        <v>3</v>
      </c>
      <c r="I355" s="8" t="s">
        <v>56</v>
      </c>
      <c r="J355" s="8">
        <v>12</v>
      </c>
      <c r="K355" s="8">
        <f t="shared" si="78"/>
        <v>12</v>
      </c>
      <c r="L355" s="8">
        <v>50</v>
      </c>
      <c r="M355" s="9">
        <f t="shared" si="79"/>
        <v>50</v>
      </c>
      <c r="N355" s="8">
        <v>2.1</v>
      </c>
      <c r="O355" s="10">
        <f t="shared" si="80"/>
        <v>2.1</v>
      </c>
      <c r="P355" s="8" t="s">
        <v>2051</v>
      </c>
      <c r="Q355" s="14">
        <v>0.67</v>
      </c>
      <c r="R355" s="12">
        <f t="shared" si="86"/>
        <v>0.67</v>
      </c>
      <c r="S355" s="12">
        <f t="shared" si="82"/>
        <v>0.67</v>
      </c>
    </row>
    <row r="356" spans="1:19" x14ac:dyDescent="0.35">
      <c r="A356" s="8" t="s">
        <v>752</v>
      </c>
      <c r="B356" s="8" t="s">
        <v>753</v>
      </c>
      <c r="C356" s="8" t="s">
        <v>55</v>
      </c>
      <c r="D356" s="8" t="str">
        <f t="shared" si="76"/>
        <v>Female</v>
      </c>
      <c r="E356" s="8">
        <v>56</v>
      </c>
      <c r="F356" s="8">
        <f t="shared" si="77"/>
        <v>56</v>
      </c>
      <c r="G356" s="8" t="s">
        <v>63</v>
      </c>
      <c r="H356" s="8" t="s">
        <v>64</v>
      </c>
      <c r="I356" s="8" t="s">
        <v>16</v>
      </c>
      <c r="J356" s="8">
        <v>32</v>
      </c>
      <c r="K356" s="8">
        <f t="shared" si="78"/>
        <v>32</v>
      </c>
      <c r="L356" s="8">
        <v>40</v>
      </c>
      <c r="M356" s="9">
        <f t="shared" si="79"/>
        <v>40</v>
      </c>
      <c r="N356" s="8">
        <v>0</v>
      </c>
      <c r="O356" s="11">
        <f t="shared" si="80"/>
        <v>0</v>
      </c>
      <c r="P356" s="8" t="s">
        <v>2051</v>
      </c>
      <c r="Q356" s="14">
        <v>0.86</v>
      </c>
      <c r="R356" s="12">
        <f t="shared" si="86"/>
        <v>0.86</v>
      </c>
      <c r="S356" s="12">
        <f t="shared" si="82"/>
        <v>0.86</v>
      </c>
    </row>
    <row r="357" spans="1:19" x14ac:dyDescent="0.35">
      <c r="A357" s="8" t="s">
        <v>754</v>
      </c>
      <c r="B357" s="8" t="s">
        <v>755</v>
      </c>
      <c r="C357" s="8" t="s">
        <v>41</v>
      </c>
      <c r="D357" s="8" t="str">
        <f t="shared" si="76"/>
        <v>Male</v>
      </c>
      <c r="E357" s="8">
        <v>58</v>
      </c>
      <c r="F357" s="8">
        <f t="shared" si="77"/>
        <v>58</v>
      </c>
      <c r="G357" s="8" t="s">
        <v>50</v>
      </c>
      <c r="H357" s="8" t="s">
        <v>51</v>
      </c>
      <c r="I357" s="8" t="s">
        <v>52</v>
      </c>
      <c r="J357" s="13"/>
      <c r="K357" s="8">
        <f t="shared" si="78"/>
        <v>9</v>
      </c>
      <c r="L357" s="8">
        <v>100</v>
      </c>
      <c r="M357" s="9">
        <f t="shared" si="79"/>
        <v>100</v>
      </c>
      <c r="N357" s="8">
        <v>4.5</v>
      </c>
      <c r="O357" s="10">
        <f t="shared" si="80"/>
        <v>4.5</v>
      </c>
      <c r="P357" s="8" t="s">
        <v>2050</v>
      </c>
      <c r="Q357" s="8">
        <v>77</v>
      </c>
      <c r="R357" s="12">
        <v>0.77</v>
      </c>
      <c r="S357" s="12">
        <f t="shared" si="82"/>
        <v>0.77</v>
      </c>
    </row>
    <row r="358" spans="1:19" x14ac:dyDescent="0.35">
      <c r="A358" s="8" t="s">
        <v>756</v>
      </c>
      <c r="B358" s="8" t="s">
        <v>757</v>
      </c>
      <c r="C358" s="8" t="s">
        <v>30</v>
      </c>
      <c r="D358" s="8" t="str">
        <f t="shared" si="76"/>
        <v>Male</v>
      </c>
      <c r="E358" s="8">
        <v>32</v>
      </c>
      <c r="F358" s="8">
        <f t="shared" si="77"/>
        <v>32</v>
      </c>
      <c r="G358" s="8" t="s">
        <v>88</v>
      </c>
      <c r="H358" s="8" t="s">
        <v>89</v>
      </c>
      <c r="I358" s="8" t="s">
        <v>52</v>
      </c>
      <c r="J358" s="8">
        <v>10</v>
      </c>
      <c r="K358" s="8">
        <f t="shared" si="78"/>
        <v>10</v>
      </c>
      <c r="L358" s="8">
        <v>30</v>
      </c>
      <c r="M358" s="9">
        <f t="shared" si="79"/>
        <v>30</v>
      </c>
      <c r="N358" s="8">
        <v>3.8</v>
      </c>
      <c r="O358" s="10">
        <f t="shared" si="80"/>
        <v>3.8</v>
      </c>
      <c r="P358" s="8" t="s">
        <v>2050</v>
      </c>
      <c r="Q358" s="14">
        <v>0.61</v>
      </c>
      <c r="R358" s="12">
        <f t="shared" ref="R358:R364" si="87">Q358</f>
        <v>0.61</v>
      </c>
      <c r="S358" s="12">
        <f t="shared" si="82"/>
        <v>0.61</v>
      </c>
    </row>
    <row r="359" spans="1:19" x14ac:dyDescent="0.35">
      <c r="A359" s="8" t="s">
        <v>758</v>
      </c>
      <c r="B359" s="8" t="s">
        <v>759</v>
      </c>
      <c r="C359" s="8" t="s">
        <v>55</v>
      </c>
      <c r="D359" s="8" t="str">
        <f t="shared" si="76"/>
        <v>Female</v>
      </c>
      <c r="E359" s="8">
        <v>52</v>
      </c>
      <c r="F359" s="8">
        <f t="shared" si="77"/>
        <v>52</v>
      </c>
      <c r="G359" s="8" t="s">
        <v>71</v>
      </c>
      <c r="H359" s="8" t="s">
        <v>72</v>
      </c>
      <c r="I359" s="8" t="s">
        <v>52</v>
      </c>
      <c r="J359" s="8">
        <v>0</v>
      </c>
      <c r="K359" s="8">
        <f t="shared" si="78"/>
        <v>0</v>
      </c>
      <c r="L359" s="13"/>
      <c r="M359" s="9">
        <f t="shared" si="79"/>
        <v>40</v>
      </c>
      <c r="N359" s="8">
        <v>4.3</v>
      </c>
      <c r="O359" s="10">
        <f t="shared" si="80"/>
        <v>4.3</v>
      </c>
      <c r="P359" s="8" t="s">
        <v>2050</v>
      </c>
      <c r="Q359" s="14">
        <v>0.9</v>
      </c>
      <c r="R359" s="12">
        <f t="shared" si="87"/>
        <v>0.9</v>
      </c>
      <c r="S359" s="12">
        <f t="shared" si="82"/>
        <v>0.9</v>
      </c>
    </row>
    <row r="360" spans="1:19" x14ac:dyDescent="0.35">
      <c r="A360" s="8" t="s">
        <v>760</v>
      </c>
      <c r="B360" s="8" t="s">
        <v>761</v>
      </c>
      <c r="C360" s="8" t="s">
        <v>7</v>
      </c>
      <c r="D360" s="8" t="str">
        <f t="shared" si="76"/>
        <v>Female</v>
      </c>
      <c r="E360" s="8">
        <v>22</v>
      </c>
      <c r="F360" s="8">
        <f t="shared" si="77"/>
        <v>22</v>
      </c>
      <c r="G360" s="8" t="s">
        <v>147</v>
      </c>
      <c r="H360" s="8" t="s">
        <v>148</v>
      </c>
      <c r="I360" s="8" t="s">
        <v>33</v>
      </c>
      <c r="J360" s="8">
        <v>1</v>
      </c>
      <c r="K360" s="8">
        <f t="shared" si="78"/>
        <v>1</v>
      </c>
      <c r="L360" s="8">
        <v>50</v>
      </c>
      <c r="M360" s="9">
        <f t="shared" si="79"/>
        <v>50</v>
      </c>
      <c r="N360" s="8">
        <v>0</v>
      </c>
      <c r="O360" s="11">
        <f t="shared" si="80"/>
        <v>0</v>
      </c>
      <c r="P360" s="13" t="s">
        <v>2050</v>
      </c>
      <c r="Q360" s="14">
        <v>0.98</v>
      </c>
      <c r="R360" s="12">
        <f t="shared" si="87"/>
        <v>0.98</v>
      </c>
      <c r="S360" s="12">
        <f t="shared" si="82"/>
        <v>0.98</v>
      </c>
    </row>
    <row r="361" spans="1:19" x14ac:dyDescent="0.35">
      <c r="A361" s="8" t="s">
        <v>762</v>
      </c>
      <c r="B361" s="8" t="s">
        <v>763</v>
      </c>
      <c r="C361" s="8" t="s">
        <v>75</v>
      </c>
      <c r="D361" s="8" t="str">
        <f t="shared" si="76"/>
        <v>Male</v>
      </c>
      <c r="E361" s="8">
        <v>20</v>
      </c>
      <c r="F361" s="8">
        <f t="shared" si="77"/>
        <v>20</v>
      </c>
      <c r="G361" s="8" t="s">
        <v>71</v>
      </c>
      <c r="H361" s="8" t="s">
        <v>72</v>
      </c>
      <c r="I361" s="8" t="s">
        <v>56</v>
      </c>
      <c r="J361" s="8">
        <v>2</v>
      </c>
      <c r="K361" s="8">
        <f t="shared" si="78"/>
        <v>2</v>
      </c>
      <c r="L361" s="8">
        <v>30</v>
      </c>
      <c r="M361" s="9">
        <f t="shared" si="79"/>
        <v>30</v>
      </c>
      <c r="O361" s="10">
        <f t="shared" si="80"/>
        <v>2.5125695216907653</v>
      </c>
      <c r="P361" s="8" t="s">
        <v>2051</v>
      </c>
      <c r="Q361" s="14">
        <v>0.99</v>
      </c>
      <c r="R361" s="12">
        <f t="shared" si="87"/>
        <v>0.99</v>
      </c>
      <c r="S361" s="12">
        <f t="shared" si="82"/>
        <v>0.99</v>
      </c>
    </row>
    <row r="362" spans="1:19" x14ac:dyDescent="0.35">
      <c r="A362" s="8" t="s">
        <v>764</v>
      </c>
      <c r="B362" s="8" t="s">
        <v>765</v>
      </c>
      <c r="C362" s="8" t="s">
        <v>70</v>
      </c>
      <c r="D362" s="8" t="str">
        <f t="shared" si="76"/>
        <v>Male</v>
      </c>
      <c r="E362" s="8">
        <v>56</v>
      </c>
      <c r="F362" s="8">
        <f t="shared" si="77"/>
        <v>56</v>
      </c>
      <c r="G362" s="8" t="s">
        <v>25</v>
      </c>
      <c r="H362" s="8" t="s">
        <v>26</v>
      </c>
      <c r="I362" s="8" t="s">
        <v>33</v>
      </c>
      <c r="J362" s="8">
        <v>9</v>
      </c>
      <c r="K362" s="8">
        <f t="shared" si="78"/>
        <v>9</v>
      </c>
      <c r="L362" s="8">
        <v>40</v>
      </c>
      <c r="M362" s="9">
        <f t="shared" si="79"/>
        <v>40</v>
      </c>
      <c r="N362" s="8">
        <v>2.6</v>
      </c>
      <c r="O362" s="10">
        <f t="shared" si="80"/>
        <v>2.6</v>
      </c>
      <c r="P362" s="8" t="s">
        <v>2050</v>
      </c>
      <c r="Q362" s="14">
        <v>0.61</v>
      </c>
      <c r="R362" s="12">
        <f t="shared" si="87"/>
        <v>0.61</v>
      </c>
      <c r="S362" s="12">
        <f t="shared" si="82"/>
        <v>0.61</v>
      </c>
    </row>
    <row r="363" spans="1:19" x14ac:dyDescent="0.35">
      <c r="A363" s="8" t="s">
        <v>766</v>
      </c>
      <c r="B363" s="8" t="s">
        <v>767</v>
      </c>
      <c r="C363" s="8" t="s">
        <v>75</v>
      </c>
      <c r="D363" s="8" t="str">
        <f t="shared" si="76"/>
        <v>Male</v>
      </c>
      <c r="E363" s="8">
        <v>41</v>
      </c>
      <c r="F363" s="8">
        <f t="shared" si="77"/>
        <v>41</v>
      </c>
      <c r="G363" s="8" t="s">
        <v>63</v>
      </c>
      <c r="H363" s="8" t="s">
        <v>64</v>
      </c>
      <c r="I363" s="8" t="s">
        <v>33</v>
      </c>
      <c r="J363" s="8">
        <v>22</v>
      </c>
      <c r="K363" s="8">
        <f t="shared" si="78"/>
        <v>22</v>
      </c>
      <c r="L363" s="8">
        <v>50</v>
      </c>
      <c r="M363" s="9">
        <f t="shared" si="79"/>
        <v>50</v>
      </c>
      <c r="N363" s="8">
        <v>1.6</v>
      </c>
      <c r="O363" s="10">
        <f t="shared" si="80"/>
        <v>1.6</v>
      </c>
      <c r="P363" s="8" t="s">
        <v>2051</v>
      </c>
      <c r="Q363" s="14">
        <v>0.61</v>
      </c>
      <c r="R363" s="12">
        <f t="shared" si="87"/>
        <v>0.61</v>
      </c>
      <c r="S363" s="12">
        <f t="shared" si="82"/>
        <v>0.61</v>
      </c>
    </row>
    <row r="364" spans="1:19" x14ac:dyDescent="0.35">
      <c r="A364" s="8" t="s">
        <v>768</v>
      </c>
      <c r="B364" s="8" t="s">
        <v>769</v>
      </c>
      <c r="C364" s="8" t="s">
        <v>75</v>
      </c>
      <c r="D364" s="8" t="str">
        <f t="shared" si="76"/>
        <v>Male</v>
      </c>
      <c r="E364" s="8">
        <v>25</v>
      </c>
      <c r="F364" s="8">
        <f t="shared" si="77"/>
        <v>25</v>
      </c>
      <c r="G364" s="8" t="s">
        <v>50</v>
      </c>
      <c r="H364" s="8" t="s">
        <v>51</v>
      </c>
      <c r="I364" s="8" t="s">
        <v>4</v>
      </c>
      <c r="J364" s="8">
        <v>5</v>
      </c>
      <c r="K364" s="8">
        <f t="shared" si="78"/>
        <v>5</v>
      </c>
      <c r="L364" s="8">
        <v>30</v>
      </c>
      <c r="M364" s="9">
        <f t="shared" si="79"/>
        <v>30</v>
      </c>
      <c r="N364" s="8">
        <v>2.2999999999999998</v>
      </c>
      <c r="O364" s="10">
        <f t="shared" si="80"/>
        <v>2.2999999999999998</v>
      </c>
      <c r="P364" s="8" t="s">
        <v>2050</v>
      </c>
      <c r="Q364" s="14">
        <v>0.91</v>
      </c>
      <c r="R364" s="12">
        <f t="shared" si="87"/>
        <v>0.91</v>
      </c>
      <c r="S364" s="12">
        <f t="shared" si="82"/>
        <v>0.91</v>
      </c>
    </row>
    <row r="365" spans="1:19" x14ac:dyDescent="0.35">
      <c r="A365" s="8" t="s">
        <v>770</v>
      </c>
      <c r="B365" s="8" t="s">
        <v>771</v>
      </c>
      <c r="C365" s="8" t="s">
        <v>7</v>
      </c>
      <c r="D365" s="8" t="str">
        <f t="shared" si="76"/>
        <v>Female</v>
      </c>
      <c r="E365" s="8">
        <v>44</v>
      </c>
      <c r="F365" s="8">
        <f t="shared" si="77"/>
        <v>44</v>
      </c>
      <c r="G365" s="8" t="s">
        <v>103</v>
      </c>
      <c r="H365" s="8" t="s">
        <v>9</v>
      </c>
      <c r="I365" s="8" t="s">
        <v>56</v>
      </c>
      <c r="J365" s="8">
        <v>6</v>
      </c>
      <c r="K365" s="8">
        <f t="shared" si="78"/>
        <v>6</v>
      </c>
      <c r="L365" s="8">
        <v>75</v>
      </c>
      <c r="M365" s="9">
        <f t="shared" si="79"/>
        <v>75</v>
      </c>
      <c r="N365" s="8">
        <v>4.5999999999999996</v>
      </c>
      <c r="O365" s="10">
        <f t="shared" si="80"/>
        <v>4.5999999999999996</v>
      </c>
      <c r="P365" s="8" t="s">
        <v>2051</v>
      </c>
      <c r="Q365" s="8">
        <v>72</v>
      </c>
      <c r="R365" s="12">
        <v>0.72</v>
      </c>
      <c r="S365" s="12">
        <f t="shared" si="82"/>
        <v>0.72</v>
      </c>
    </row>
    <row r="366" spans="1:19" x14ac:dyDescent="0.35">
      <c r="A366" s="8" t="s">
        <v>772</v>
      </c>
      <c r="B366" s="8" t="s">
        <v>773</v>
      </c>
      <c r="C366" s="8" t="s">
        <v>22</v>
      </c>
      <c r="D366" s="8" t="str">
        <f t="shared" si="76"/>
        <v>Female</v>
      </c>
      <c r="E366" s="8">
        <v>46</v>
      </c>
      <c r="F366" s="8">
        <f t="shared" si="77"/>
        <v>46</v>
      </c>
      <c r="G366" s="8" t="s">
        <v>8</v>
      </c>
      <c r="H366" s="8" t="s">
        <v>9</v>
      </c>
      <c r="I366" s="8" t="s">
        <v>20</v>
      </c>
      <c r="J366" s="8">
        <v>26</v>
      </c>
      <c r="K366" s="8">
        <f t="shared" si="78"/>
        <v>26</v>
      </c>
      <c r="L366" s="8">
        <v>100</v>
      </c>
      <c r="M366" s="9">
        <f t="shared" si="79"/>
        <v>100</v>
      </c>
      <c r="N366" s="8">
        <v>2.1</v>
      </c>
      <c r="O366" s="10">
        <f t="shared" si="80"/>
        <v>2.1</v>
      </c>
      <c r="P366" s="13" t="s">
        <v>2050</v>
      </c>
      <c r="Q366" s="13"/>
      <c r="S366" s="12">
        <f t="shared" si="82"/>
        <v>0.79269417475728277</v>
      </c>
    </row>
    <row r="367" spans="1:19" x14ac:dyDescent="0.35">
      <c r="A367" s="8" t="s">
        <v>774</v>
      </c>
      <c r="B367" s="8" t="s">
        <v>775</v>
      </c>
      <c r="C367" s="8" t="s">
        <v>22</v>
      </c>
      <c r="D367" s="8" t="str">
        <f t="shared" si="76"/>
        <v>Female</v>
      </c>
      <c r="E367" s="8">
        <v>40</v>
      </c>
      <c r="F367" s="8">
        <f t="shared" si="77"/>
        <v>40</v>
      </c>
      <c r="G367" s="8" t="s">
        <v>88</v>
      </c>
      <c r="H367" s="8" t="s">
        <v>89</v>
      </c>
      <c r="I367" s="8" t="s">
        <v>4</v>
      </c>
      <c r="J367" s="13"/>
      <c r="K367" s="8">
        <f t="shared" si="78"/>
        <v>9</v>
      </c>
      <c r="L367" s="8">
        <v>40</v>
      </c>
      <c r="M367" s="9">
        <f t="shared" si="79"/>
        <v>40</v>
      </c>
      <c r="N367" s="8">
        <v>1.5</v>
      </c>
      <c r="O367" s="10">
        <f t="shared" si="80"/>
        <v>1.5</v>
      </c>
      <c r="P367" s="8" t="s">
        <v>2050</v>
      </c>
      <c r="Q367" s="14">
        <v>0.96</v>
      </c>
      <c r="R367" s="12">
        <f>Q367</f>
        <v>0.96</v>
      </c>
      <c r="S367" s="12">
        <f t="shared" si="82"/>
        <v>0.96</v>
      </c>
    </row>
    <row r="368" spans="1:19" x14ac:dyDescent="0.35">
      <c r="A368" s="8" t="s">
        <v>776</v>
      </c>
      <c r="B368" s="8" t="s">
        <v>777</v>
      </c>
      <c r="C368" s="8" t="s">
        <v>13</v>
      </c>
      <c r="D368" s="8" t="str">
        <f t="shared" si="76"/>
        <v>Male</v>
      </c>
      <c r="E368" s="13"/>
      <c r="F368" s="8">
        <f t="shared" si="77"/>
        <v>41</v>
      </c>
      <c r="G368" s="8" t="s">
        <v>147</v>
      </c>
      <c r="H368" s="8" t="s">
        <v>148</v>
      </c>
      <c r="I368" s="8" t="s">
        <v>27</v>
      </c>
      <c r="J368" s="8">
        <v>9</v>
      </c>
      <c r="K368" s="8">
        <f t="shared" si="78"/>
        <v>9</v>
      </c>
      <c r="L368" s="8">
        <v>40</v>
      </c>
      <c r="M368" s="9">
        <f t="shared" si="79"/>
        <v>40</v>
      </c>
      <c r="N368" s="8">
        <v>1.7</v>
      </c>
      <c r="O368" s="10">
        <f t="shared" si="80"/>
        <v>1.7</v>
      </c>
      <c r="P368" s="8" t="s">
        <v>2051</v>
      </c>
      <c r="Q368" s="8">
        <v>72</v>
      </c>
      <c r="R368" s="12">
        <v>0.72</v>
      </c>
      <c r="S368" s="12">
        <f t="shared" si="82"/>
        <v>0.72</v>
      </c>
    </row>
    <row r="369" spans="1:19" x14ac:dyDescent="0.35">
      <c r="A369" s="8" t="s">
        <v>778</v>
      </c>
      <c r="B369" s="8" t="s">
        <v>779</v>
      </c>
      <c r="C369" s="8" t="s">
        <v>70</v>
      </c>
      <c r="D369" s="8" t="str">
        <f t="shared" si="76"/>
        <v>Male</v>
      </c>
      <c r="E369" s="8">
        <v>31</v>
      </c>
      <c r="F369" s="8">
        <f t="shared" si="77"/>
        <v>31</v>
      </c>
      <c r="G369" s="8" t="s">
        <v>63</v>
      </c>
      <c r="H369" s="8" t="s">
        <v>64</v>
      </c>
      <c r="I369" s="8" t="s">
        <v>33</v>
      </c>
      <c r="J369" s="8">
        <v>11</v>
      </c>
      <c r="K369" s="8">
        <f t="shared" si="78"/>
        <v>11</v>
      </c>
      <c r="L369" s="13"/>
      <c r="M369" s="9">
        <f t="shared" si="79"/>
        <v>40</v>
      </c>
      <c r="N369" s="8">
        <v>3.3</v>
      </c>
      <c r="O369" s="10">
        <f t="shared" si="80"/>
        <v>3.3</v>
      </c>
      <c r="P369" s="8" t="s">
        <v>2050</v>
      </c>
      <c r="Q369" s="13"/>
      <c r="S369" s="12">
        <f t="shared" si="82"/>
        <v>0.79269417475728277</v>
      </c>
    </row>
    <row r="370" spans="1:19" x14ac:dyDescent="0.35">
      <c r="A370" s="8" t="s">
        <v>780</v>
      </c>
      <c r="B370" s="8" t="s">
        <v>781</v>
      </c>
      <c r="C370" s="8" t="s">
        <v>30</v>
      </c>
      <c r="D370" s="8" t="str">
        <f t="shared" si="76"/>
        <v>Male</v>
      </c>
      <c r="E370" s="8">
        <v>33</v>
      </c>
      <c r="F370" s="8">
        <f t="shared" si="77"/>
        <v>33</v>
      </c>
      <c r="G370" s="8" t="s">
        <v>88</v>
      </c>
      <c r="H370" s="8" t="s">
        <v>89</v>
      </c>
      <c r="I370" s="8" t="s">
        <v>90</v>
      </c>
      <c r="J370" s="13"/>
      <c r="K370" s="8">
        <f t="shared" si="78"/>
        <v>9</v>
      </c>
      <c r="L370" s="8">
        <v>40</v>
      </c>
      <c r="M370" s="9">
        <f t="shared" si="79"/>
        <v>40</v>
      </c>
      <c r="N370" s="8">
        <v>4.3</v>
      </c>
      <c r="O370" s="10">
        <f t="shared" si="80"/>
        <v>4.3</v>
      </c>
      <c r="P370" s="8" t="s">
        <v>2051</v>
      </c>
      <c r="Q370" s="14">
        <v>0.63</v>
      </c>
      <c r="R370" s="12">
        <f>Q370</f>
        <v>0.63</v>
      </c>
      <c r="S370" s="12">
        <f t="shared" si="82"/>
        <v>0.63</v>
      </c>
    </row>
    <row r="371" spans="1:19" x14ac:dyDescent="0.35">
      <c r="A371" s="8" t="s">
        <v>782</v>
      </c>
      <c r="B371" s="8" t="s">
        <v>783</v>
      </c>
      <c r="C371" s="8" t="s">
        <v>7</v>
      </c>
      <c r="D371" s="8" t="str">
        <f t="shared" si="76"/>
        <v>Female</v>
      </c>
      <c r="E371" s="8">
        <v>31</v>
      </c>
      <c r="F371" s="8">
        <f t="shared" si="77"/>
        <v>31</v>
      </c>
      <c r="G371" s="8" t="s">
        <v>84</v>
      </c>
      <c r="H371" s="8" t="s">
        <v>85</v>
      </c>
      <c r="I371" s="8" t="s">
        <v>90</v>
      </c>
      <c r="J371" s="8">
        <v>3</v>
      </c>
      <c r="K371" s="8">
        <f t="shared" si="78"/>
        <v>3</v>
      </c>
      <c r="L371" s="8">
        <v>20</v>
      </c>
      <c r="M371" s="9">
        <f t="shared" si="79"/>
        <v>20</v>
      </c>
      <c r="O371" s="10">
        <f t="shared" si="80"/>
        <v>2.5125695216907653</v>
      </c>
      <c r="P371" s="8" t="s">
        <v>2050</v>
      </c>
      <c r="Q371" s="13"/>
      <c r="S371" s="12">
        <f t="shared" si="82"/>
        <v>0.79269417475728277</v>
      </c>
    </row>
    <row r="372" spans="1:19" x14ac:dyDescent="0.35">
      <c r="A372" s="8" t="s">
        <v>784</v>
      </c>
      <c r="B372" s="8" t="s">
        <v>785</v>
      </c>
      <c r="C372" s="8" t="s">
        <v>19</v>
      </c>
      <c r="D372" s="8" t="str">
        <f t="shared" si="76"/>
        <v>Female</v>
      </c>
      <c r="E372" s="8">
        <v>49</v>
      </c>
      <c r="F372" s="8">
        <f t="shared" si="77"/>
        <v>49</v>
      </c>
      <c r="G372" s="8" t="s">
        <v>2</v>
      </c>
      <c r="H372" s="8" t="s">
        <v>3</v>
      </c>
      <c r="I372" s="8" t="s">
        <v>33</v>
      </c>
      <c r="J372" s="8">
        <v>15</v>
      </c>
      <c r="K372" s="8">
        <f t="shared" si="78"/>
        <v>15</v>
      </c>
      <c r="L372" s="8">
        <v>75</v>
      </c>
      <c r="M372" s="9">
        <f t="shared" si="79"/>
        <v>75</v>
      </c>
      <c r="N372" s="8">
        <v>2.6</v>
      </c>
      <c r="O372" s="10">
        <f t="shared" si="80"/>
        <v>2.6</v>
      </c>
      <c r="P372" s="8" t="s">
        <v>2050</v>
      </c>
      <c r="Q372" s="14">
        <v>0.83</v>
      </c>
      <c r="R372" s="12">
        <f t="shared" ref="R372:R374" si="88">Q372</f>
        <v>0.83</v>
      </c>
      <c r="S372" s="12">
        <f t="shared" si="82"/>
        <v>0.83</v>
      </c>
    </row>
    <row r="373" spans="1:19" x14ac:dyDescent="0.35">
      <c r="A373" s="8" t="s">
        <v>786</v>
      </c>
      <c r="B373" s="8" t="s">
        <v>787</v>
      </c>
      <c r="C373" s="8" t="s">
        <v>13</v>
      </c>
      <c r="D373" s="8" t="str">
        <f t="shared" si="76"/>
        <v>Male</v>
      </c>
      <c r="E373" s="8">
        <v>35</v>
      </c>
      <c r="F373" s="8">
        <f t="shared" si="77"/>
        <v>35</v>
      </c>
      <c r="G373" s="8" t="s">
        <v>151</v>
      </c>
      <c r="H373" s="8" t="s">
        <v>51</v>
      </c>
      <c r="I373" s="8" t="s">
        <v>16</v>
      </c>
      <c r="J373" s="8">
        <v>12</v>
      </c>
      <c r="K373" s="8">
        <f t="shared" si="78"/>
        <v>12</v>
      </c>
      <c r="L373" s="8">
        <v>20</v>
      </c>
      <c r="M373" s="9">
        <f t="shared" si="79"/>
        <v>20</v>
      </c>
      <c r="N373" s="8">
        <v>4.0999999999999996</v>
      </c>
      <c r="O373" s="10">
        <f t="shared" si="80"/>
        <v>4.0999999999999996</v>
      </c>
      <c r="P373" s="13" t="s">
        <v>2050</v>
      </c>
      <c r="Q373" s="14">
        <v>0.94</v>
      </c>
      <c r="R373" s="12">
        <f t="shared" si="88"/>
        <v>0.94</v>
      </c>
      <c r="S373" s="12">
        <f t="shared" si="82"/>
        <v>0.94</v>
      </c>
    </row>
    <row r="374" spans="1:19" x14ac:dyDescent="0.35">
      <c r="A374" s="8" t="s">
        <v>788</v>
      </c>
      <c r="B374" s="8" t="s">
        <v>789</v>
      </c>
      <c r="C374" s="8" t="s">
        <v>70</v>
      </c>
      <c r="D374" s="8" t="str">
        <f t="shared" si="76"/>
        <v>Male</v>
      </c>
      <c r="E374" s="8">
        <v>45</v>
      </c>
      <c r="F374" s="8">
        <f t="shared" si="77"/>
        <v>45</v>
      </c>
      <c r="G374" s="8" t="s">
        <v>71</v>
      </c>
      <c r="H374" s="8" t="s">
        <v>72</v>
      </c>
      <c r="I374" s="8" t="s">
        <v>33</v>
      </c>
      <c r="J374" s="8">
        <v>19</v>
      </c>
      <c r="K374" s="8">
        <f t="shared" si="78"/>
        <v>19</v>
      </c>
      <c r="L374" s="8">
        <v>40</v>
      </c>
      <c r="M374" s="9">
        <f t="shared" si="79"/>
        <v>40</v>
      </c>
      <c r="N374" s="8">
        <v>2.2000000000000002</v>
      </c>
      <c r="O374" s="10">
        <f t="shared" si="80"/>
        <v>2.2000000000000002</v>
      </c>
      <c r="P374" s="8" t="s">
        <v>2051</v>
      </c>
      <c r="Q374" s="14">
        <v>0.78</v>
      </c>
      <c r="R374" s="12">
        <f t="shared" si="88"/>
        <v>0.78</v>
      </c>
      <c r="S374" s="12">
        <f t="shared" si="82"/>
        <v>0.78</v>
      </c>
    </row>
    <row r="375" spans="1:19" x14ac:dyDescent="0.35">
      <c r="A375" s="8" t="s">
        <v>790</v>
      </c>
      <c r="B375" s="8" t="s">
        <v>791</v>
      </c>
      <c r="C375" s="8" t="s">
        <v>22</v>
      </c>
      <c r="D375" s="8" t="str">
        <f t="shared" si="76"/>
        <v>Female</v>
      </c>
      <c r="E375" s="8">
        <v>39</v>
      </c>
      <c r="F375" s="8">
        <f t="shared" si="77"/>
        <v>39</v>
      </c>
      <c r="G375" s="8" t="s">
        <v>25</v>
      </c>
      <c r="H375" s="8" t="s">
        <v>26</v>
      </c>
      <c r="I375" s="8" t="s">
        <v>33</v>
      </c>
      <c r="J375" s="8">
        <v>13</v>
      </c>
      <c r="K375" s="8">
        <f t="shared" si="78"/>
        <v>13</v>
      </c>
      <c r="L375" s="8">
        <v>30</v>
      </c>
      <c r="M375" s="9">
        <f t="shared" si="79"/>
        <v>30</v>
      </c>
      <c r="N375" s="8">
        <v>1.1000000000000001</v>
      </c>
      <c r="O375" s="10">
        <f t="shared" si="80"/>
        <v>1.1000000000000001</v>
      </c>
      <c r="P375" s="8" t="s">
        <v>2051</v>
      </c>
      <c r="Q375" s="13"/>
      <c r="S375" s="12">
        <f t="shared" si="82"/>
        <v>0.79269417475728277</v>
      </c>
    </row>
    <row r="376" spans="1:19" x14ac:dyDescent="0.35">
      <c r="A376" s="8" t="s">
        <v>792</v>
      </c>
      <c r="B376" s="8" t="s">
        <v>793</v>
      </c>
      <c r="C376" s="8" t="s">
        <v>41</v>
      </c>
      <c r="D376" s="8" t="str">
        <f t="shared" si="76"/>
        <v>Male</v>
      </c>
      <c r="E376" s="13"/>
      <c r="F376" s="8">
        <f t="shared" si="77"/>
        <v>41</v>
      </c>
      <c r="G376" s="8" t="s">
        <v>50</v>
      </c>
      <c r="H376" s="8" t="s">
        <v>51</v>
      </c>
      <c r="I376" s="8" t="s">
        <v>4</v>
      </c>
      <c r="J376" s="13"/>
      <c r="K376" s="8">
        <f t="shared" si="78"/>
        <v>9</v>
      </c>
      <c r="L376" s="8">
        <v>50</v>
      </c>
      <c r="M376" s="9">
        <f t="shared" si="79"/>
        <v>50</v>
      </c>
      <c r="N376" s="8">
        <v>2.1</v>
      </c>
      <c r="O376" s="10">
        <f t="shared" si="80"/>
        <v>2.1</v>
      </c>
      <c r="P376" s="8" t="s">
        <v>2051</v>
      </c>
      <c r="Q376" s="14">
        <v>0.82</v>
      </c>
      <c r="R376" s="12">
        <f t="shared" ref="R376:R377" si="89">Q376</f>
        <v>0.82</v>
      </c>
      <c r="S376" s="12">
        <f t="shared" si="82"/>
        <v>0.82</v>
      </c>
    </row>
    <row r="377" spans="1:19" x14ac:dyDescent="0.35">
      <c r="A377" s="8" t="s">
        <v>794</v>
      </c>
      <c r="B377" s="8" t="s">
        <v>795</v>
      </c>
      <c r="C377" s="8" t="s">
        <v>13</v>
      </c>
      <c r="D377" s="8" t="str">
        <f t="shared" si="76"/>
        <v>Male</v>
      </c>
      <c r="E377" s="8">
        <v>24</v>
      </c>
      <c r="F377" s="8">
        <f t="shared" si="77"/>
        <v>24</v>
      </c>
      <c r="G377" s="8" t="s">
        <v>14</v>
      </c>
      <c r="H377" s="8" t="s">
        <v>15</v>
      </c>
      <c r="I377" s="8" t="s">
        <v>56</v>
      </c>
      <c r="J377" s="8">
        <v>3</v>
      </c>
      <c r="K377" s="8">
        <f t="shared" si="78"/>
        <v>3</v>
      </c>
      <c r="L377" s="8">
        <v>30</v>
      </c>
      <c r="M377" s="9">
        <f t="shared" si="79"/>
        <v>30</v>
      </c>
      <c r="N377" s="8">
        <v>2.2999999999999998</v>
      </c>
      <c r="O377" s="10">
        <f t="shared" si="80"/>
        <v>2.2999999999999998</v>
      </c>
      <c r="P377" s="8" t="s">
        <v>2050</v>
      </c>
      <c r="Q377" s="14">
        <v>0.66</v>
      </c>
      <c r="R377" s="12">
        <f t="shared" si="89"/>
        <v>0.66</v>
      </c>
      <c r="S377" s="12">
        <f t="shared" si="82"/>
        <v>0.66</v>
      </c>
    </row>
    <row r="378" spans="1:19" x14ac:dyDescent="0.35">
      <c r="A378" s="8" t="s">
        <v>796</v>
      </c>
      <c r="B378" s="8" t="s">
        <v>797</v>
      </c>
      <c r="C378" s="8" t="s">
        <v>75</v>
      </c>
      <c r="D378" s="8" t="str">
        <f t="shared" si="76"/>
        <v>Male</v>
      </c>
      <c r="E378" s="8">
        <v>50</v>
      </c>
      <c r="F378" s="8">
        <f t="shared" si="77"/>
        <v>50</v>
      </c>
      <c r="G378" s="8" t="s">
        <v>8</v>
      </c>
      <c r="H378" s="8" t="s">
        <v>9</v>
      </c>
      <c r="I378" s="8" t="s">
        <v>16</v>
      </c>
      <c r="J378" s="8">
        <v>26</v>
      </c>
      <c r="K378" s="8">
        <f t="shared" si="78"/>
        <v>26</v>
      </c>
      <c r="L378" s="13"/>
      <c r="M378" s="9">
        <f t="shared" si="79"/>
        <v>40</v>
      </c>
      <c r="N378" s="8">
        <v>3.6</v>
      </c>
      <c r="O378" s="10">
        <f t="shared" si="80"/>
        <v>3.6</v>
      </c>
      <c r="P378" s="8" t="s">
        <v>2051</v>
      </c>
      <c r="Q378" s="8">
        <v>82</v>
      </c>
      <c r="R378" s="12">
        <v>0.82</v>
      </c>
      <c r="S378" s="12">
        <f t="shared" si="82"/>
        <v>0.82</v>
      </c>
    </row>
    <row r="379" spans="1:19" x14ac:dyDescent="0.35">
      <c r="A379" s="8" t="s">
        <v>798</v>
      </c>
      <c r="B379" s="8" t="s">
        <v>799</v>
      </c>
      <c r="C379" s="8" t="s">
        <v>22</v>
      </c>
      <c r="D379" s="8" t="str">
        <f t="shared" si="76"/>
        <v>Female</v>
      </c>
      <c r="E379" s="8">
        <v>23</v>
      </c>
      <c r="F379" s="8">
        <f t="shared" si="77"/>
        <v>23</v>
      </c>
      <c r="G379" s="8" t="s">
        <v>14</v>
      </c>
      <c r="H379" s="8" t="s">
        <v>15</v>
      </c>
      <c r="I379" s="8" t="s">
        <v>90</v>
      </c>
      <c r="J379" s="8">
        <v>4</v>
      </c>
      <c r="K379" s="8">
        <f t="shared" si="78"/>
        <v>4</v>
      </c>
      <c r="L379" s="8">
        <v>20</v>
      </c>
      <c r="M379" s="9">
        <f t="shared" si="79"/>
        <v>20</v>
      </c>
      <c r="N379" s="8">
        <v>4.7</v>
      </c>
      <c r="O379" s="10">
        <f t="shared" si="80"/>
        <v>4.7</v>
      </c>
      <c r="P379" s="8" t="s">
        <v>2051</v>
      </c>
      <c r="Q379" s="14">
        <v>0.84</v>
      </c>
      <c r="R379" s="12">
        <f t="shared" ref="R379:R380" si="90">Q379</f>
        <v>0.84</v>
      </c>
      <c r="S379" s="12">
        <f t="shared" si="82"/>
        <v>0.84</v>
      </c>
    </row>
    <row r="380" spans="1:19" x14ac:dyDescent="0.35">
      <c r="A380" s="8" t="s">
        <v>800</v>
      </c>
      <c r="B380" s="8" t="s">
        <v>801</v>
      </c>
      <c r="C380" s="8" t="s">
        <v>41</v>
      </c>
      <c r="D380" s="8" t="str">
        <f t="shared" si="76"/>
        <v>Male</v>
      </c>
      <c r="E380" s="8">
        <v>27</v>
      </c>
      <c r="F380" s="8">
        <f t="shared" si="77"/>
        <v>27</v>
      </c>
      <c r="G380" s="8" t="s">
        <v>103</v>
      </c>
      <c r="H380" s="8" t="s">
        <v>9</v>
      </c>
      <c r="I380" s="8" t="s">
        <v>56</v>
      </c>
      <c r="J380" s="8">
        <v>8</v>
      </c>
      <c r="K380" s="8">
        <f t="shared" si="78"/>
        <v>8</v>
      </c>
      <c r="L380" s="8">
        <v>20</v>
      </c>
      <c r="M380" s="9">
        <f t="shared" si="79"/>
        <v>20</v>
      </c>
      <c r="N380" s="8">
        <v>4.8</v>
      </c>
      <c r="O380" s="10">
        <f t="shared" si="80"/>
        <v>4.8</v>
      </c>
      <c r="P380" s="8" t="s">
        <v>2050</v>
      </c>
      <c r="Q380" s="14">
        <v>0.81</v>
      </c>
      <c r="R380" s="12">
        <f t="shared" si="90"/>
        <v>0.81</v>
      </c>
      <c r="S380" s="12">
        <f t="shared" si="82"/>
        <v>0.81</v>
      </c>
    </row>
    <row r="381" spans="1:19" x14ac:dyDescent="0.35">
      <c r="A381" s="8" t="s">
        <v>802</v>
      </c>
      <c r="B381" s="8" t="s">
        <v>803</v>
      </c>
      <c r="C381" s="8" t="s">
        <v>75</v>
      </c>
      <c r="D381" s="8" t="str">
        <f t="shared" si="76"/>
        <v>Male</v>
      </c>
      <c r="E381" s="8">
        <v>58</v>
      </c>
      <c r="F381" s="8">
        <f t="shared" si="77"/>
        <v>58</v>
      </c>
      <c r="G381" s="8" t="s">
        <v>128</v>
      </c>
      <c r="H381" s="8" t="s">
        <v>129</v>
      </c>
      <c r="I381" s="8" t="s">
        <v>27</v>
      </c>
      <c r="J381" s="8">
        <v>10</v>
      </c>
      <c r="K381" s="8">
        <f t="shared" si="78"/>
        <v>10</v>
      </c>
      <c r="L381" s="8">
        <v>75</v>
      </c>
      <c r="M381" s="9">
        <f t="shared" si="79"/>
        <v>75</v>
      </c>
      <c r="N381" s="8">
        <v>4.2</v>
      </c>
      <c r="O381" s="10">
        <f t="shared" si="80"/>
        <v>4.2</v>
      </c>
      <c r="P381" s="8" t="s">
        <v>2050</v>
      </c>
      <c r="Q381" s="8">
        <v>71</v>
      </c>
      <c r="R381" s="12">
        <v>0.71</v>
      </c>
      <c r="S381" s="12">
        <f t="shared" si="82"/>
        <v>0.71</v>
      </c>
    </row>
    <row r="382" spans="1:19" x14ac:dyDescent="0.35">
      <c r="A382" s="8" t="s">
        <v>804</v>
      </c>
      <c r="B382" s="8" t="s">
        <v>805</v>
      </c>
      <c r="C382" s="8" t="s">
        <v>30</v>
      </c>
      <c r="D382" s="8" t="str">
        <f t="shared" si="76"/>
        <v>Male</v>
      </c>
      <c r="E382" s="8">
        <v>37</v>
      </c>
      <c r="F382" s="8">
        <f t="shared" si="77"/>
        <v>37</v>
      </c>
      <c r="G382" s="8" t="s">
        <v>2</v>
      </c>
      <c r="H382" s="8" t="s">
        <v>3</v>
      </c>
      <c r="I382" s="8" t="s">
        <v>90</v>
      </c>
      <c r="J382" s="8">
        <v>5</v>
      </c>
      <c r="K382" s="8">
        <f t="shared" si="78"/>
        <v>5</v>
      </c>
      <c r="L382" s="13"/>
      <c r="M382" s="9">
        <f t="shared" si="79"/>
        <v>40</v>
      </c>
      <c r="N382" s="8">
        <v>4.8</v>
      </c>
      <c r="O382" s="10">
        <f t="shared" si="80"/>
        <v>4.8</v>
      </c>
      <c r="P382" s="8" t="s">
        <v>2051</v>
      </c>
      <c r="Q382" s="14">
        <v>0.61</v>
      </c>
      <c r="R382" s="12">
        <f t="shared" ref="R382:R388" si="91">Q382</f>
        <v>0.61</v>
      </c>
      <c r="S382" s="12">
        <f t="shared" si="82"/>
        <v>0.61</v>
      </c>
    </row>
    <row r="383" spans="1:19" x14ac:dyDescent="0.35">
      <c r="A383" s="8" t="s">
        <v>806</v>
      </c>
      <c r="B383" s="8" t="s">
        <v>807</v>
      </c>
      <c r="C383" s="8" t="s">
        <v>41</v>
      </c>
      <c r="D383" s="8" t="str">
        <f t="shared" si="76"/>
        <v>Male</v>
      </c>
      <c r="E383" s="8">
        <v>39</v>
      </c>
      <c r="F383" s="8">
        <f t="shared" si="77"/>
        <v>39</v>
      </c>
      <c r="G383" s="8" t="s">
        <v>162</v>
      </c>
      <c r="H383" s="8" t="s">
        <v>51</v>
      </c>
      <c r="I383" s="8" t="s">
        <v>4</v>
      </c>
      <c r="J383" s="8">
        <v>18</v>
      </c>
      <c r="K383" s="8">
        <f t="shared" si="78"/>
        <v>18</v>
      </c>
      <c r="L383" s="8">
        <v>75</v>
      </c>
      <c r="M383" s="9">
        <f t="shared" si="79"/>
        <v>75</v>
      </c>
      <c r="N383" s="8">
        <v>4</v>
      </c>
      <c r="O383" s="10">
        <f t="shared" si="80"/>
        <v>4</v>
      </c>
      <c r="P383" s="8" t="s">
        <v>2051</v>
      </c>
      <c r="Q383" s="14">
        <v>0.66</v>
      </c>
      <c r="R383" s="12">
        <f t="shared" si="91"/>
        <v>0.66</v>
      </c>
      <c r="S383" s="12">
        <f t="shared" si="82"/>
        <v>0.66</v>
      </c>
    </row>
    <row r="384" spans="1:19" x14ac:dyDescent="0.35">
      <c r="A384" s="8" t="s">
        <v>808</v>
      </c>
      <c r="B384" s="8" t="s">
        <v>809</v>
      </c>
      <c r="C384" s="8" t="s">
        <v>7</v>
      </c>
      <c r="D384" s="8" t="str">
        <f t="shared" si="76"/>
        <v>Female</v>
      </c>
      <c r="E384" s="8">
        <v>46</v>
      </c>
      <c r="F384" s="8">
        <f t="shared" si="77"/>
        <v>46</v>
      </c>
      <c r="G384" s="8" t="s">
        <v>114</v>
      </c>
      <c r="H384" s="8" t="s">
        <v>115</v>
      </c>
      <c r="I384" s="8" t="s">
        <v>33</v>
      </c>
      <c r="J384" s="8">
        <v>10</v>
      </c>
      <c r="K384" s="8">
        <f t="shared" si="78"/>
        <v>10</v>
      </c>
      <c r="L384" s="8">
        <v>20</v>
      </c>
      <c r="M384" s="9">
        <f t="shared" si="79"/>
        <v>20</v>
      </c>
      <c r="N384" s="8">
        <v>2.5</v>
      </c>
      <c r="O384" s="10">
        <f t="shared" si="80"/>
        <v>2.5</v>
      </c>
      <c r="P384" s="8" t="s">
        <v>2051</v>
      </c>
      <c r="Q384" s="14">
        <v>0.97</v>
      </c>
      <c r="R384" s="12">
        <f t="shared" si="91"/>
        <v>0.97</v>
      </c>
      <c r="S384" s="12">
        <f t="shared" si="82"/>
        <v>0.97</v>
      </c>
    </row>
    <row r="385" spans="1:19" x14ac:dyDescent="0.35">
      <c r="A385" s="8" t="s">
        <v>810</v>
      </c>
      <c r="B385" s="8" t="s">
        <v>811</v>
      </c>
      <c r="C385" s="8" t="s">
        <v>55</v>
      </c>
      <c r="D385" s="8" t="str">
        <f t="shared" si="76"/>
        <v>Female</v>
      </c>
      <c r="E385" s="13"/>
      <c r="F385" s="8">
        <f t="shared" si="77"/>
        <v>41</v>
      </c>
      <c r="G385" s="8" t="s">
        <v>46</v>
      </c>
      <c r="H385" s="8" t="s">
        <v>9</v>
      </c>
      <c r="I385" s="8" t="s">
        <v>52</v>
      </c>
      <c r="J385" s="8">
        <v>0</v>
      </c>
      <c r="K385" s="8">
        <f t="shared" si="78"/>
        <v>0</v>
      </c>
      <c r="L385" s="8">
        <v>20</v>
      </c>
      <c r="M385" s="9">
        <f t="shared" si="79"/>
        <v>20</v>
      </c>
      <c r="N385" s="8">
        <v>4.8</v>
      </c>
      <c r="O385" s="10">
        <f t="shared" si="80"/>
        <v>4.8</v>
      </c>
      <c r="P385" s="8" t="s">
        <v>2050</v>
      </c>
      <c r="Q385" s="14">
        <v>0.74</v>
      </c>
      <c r="R385" s="12">
        <f t="shared" si="91"/>
        <v>0.74</v>
      </c>
      <c r="S385" s="12">
        <f t="shared" si="82"/>
        <v>0.74</v>
      </c>
    </row>
    <row r="386" spans="1:19" x14ac:dyDescent="0.35">
      <c r="A386" s="8" t="s">
        <v>812</v>
      </c>
      <c r="B386" s="8" t="s">
        <v>813</v>
      </c>
      <c r="C386" s="8" t="s">
        <v>1</v>
      </c>
      <c r="D386" s="8" t="str">
        <f t="shared" si="76"/>
        <v>Female</v>
      </c>
      <c r="E386" s="8">
        <v>39</v>
      </c>
      <c r="F386" s="8">
        <f t="shared" si="77"/>
        <v>39</v>
      </c>
      <c r="G386" s="8" t="s">
        <v>151</v>
      </c>
      <c r="H386" s="8" t="s">
        <v>51</v>
      </c>
      <c r="I386" s="8" t="s">
        <v>4</v>
      </c>
      <c r="J386" s="8">
        <v>21</v>
      </c>
      <c r="K386" s="8">
        <f t="shared" si="78"/>
        <v>21</v>
      </c>
      <c r="L386" s="8">
        <v>30</v>
      </c>
      <c r="M386" s="9">
        <f t="shared" si="79"/>
        <v>30</v>
      </c>
      <c r="N386" s="8">
        <v>4.7</v>
      </c>
      <c r="O386" s="10">
        <f t="shared" si="80"/>
        <v>4.7</v>
      </c>
      <c r="P386" s="8" t="s">
        <v>2050</v>
      </c>
      <c r="Q386" s="14">
        <v>0.61</v>
      </c>
      <c r="R386" s="12">
        <f t="shared" si="91"/>
        <v>0.61</v>
      </c>
      <c r="S386" s="12">
        <f t="shared" si="82"/>
        <v>0.61</v>
      </c>
    </row>
    <row r="387" spans="1:19" x14ac:dyDescent="0.35">
      <c r="A387" s="8" t="s">
        <v>814</v>
      </c>
      <c r="B387" s="8" t="s">
        <v>815</v>
      </c>
      <c r="C387" s="8" t="s">
        <v>70</v>
      </c>
      <c r="D387" s="8" t="str">
        <f t="shared" ref="D387:D450" si="92">IF(LEFT(C387,1)="f","Female","Male")</f>
        <v>Male</v>
      </c>
      <c r="E387" s="8">
        <v>59</v>
      </c>
      <c r="F387" s="8">
        <f t="shared" ref="F387:F450" si="93">IF(ISBLANK(E387),MEDIAN($E$2:$E$1001),E387)</f>
        <v>59</v>
      </c>
      <c r="G387" s="8" t="s">
        <v>114</v>
      </c>
      <c r="H387" s="8" t="s">
        <v>115</v>
      </c>
      <c r="I387" s="8" t="s">
        <v>4</v>
      </c>
      <c r="J387" s="8">
        <v>25</v>
      </c>
      <c r="K387" s="8">
        <f t="shared" ref="K387:K450" si="94">IF(ISBLANK(J387),MEDIAN($J$2:$J$1001),J387)</f>
        <v>25</v>
      </c>
      <c r="L387" s="8">
        <v>20</v>
      </c>
      <c r="M387" s="9">
        <f t="shared" ref="M387:M450" si="95">IF(ISBLANK(L387),MEDIAN($L$2:$L$1001),L387)</f>
        <v>20</v>
      </c>
      <c r="N387" s="8">
        <v>4</v>
      </c>
      <c r="O387" s="10">
        <f t="shared" ref="O387:O450" si="96">IF(ISBLANK(N387),AVERAGE($N$2:$N$1001),N387)</f>
        <v>4</v>
      </c>
      <c r="P387" s="8" t="s">
        <v>2050</v>
      </c>
      <c r="Q387" s="14">
        <v>0.9</v>
      </c>
      <c r="R387" s="12">
        <f t="shared" si="91"/>
        <v>0.9</v>
      </c>
      <c r="S387" s="12">
        <f t="shared" si="82"/>
        <v>0.9</v>
      </c>
    </row>
    <row r="388" spans="1:19" x14ac:dyDescent="0.35">
      <c r="A388" s="8" t="s">
        <v>816</v>
      </c>
      <c r="B388" s="8" t="s">
        <v>817</v>
      </c>
      <c r="C388" s="8" t="s">
        <v>30</v>
      </c>
      <c r="D388" s="8" t="str">
        <f t="shared" si="92"/>
        <v>Male</v>
      </c>
      <c r="E388" s="8">
        <v>21</v>
      </c>
      <c r="F388" s="8">
        <f t="shared" si="93"/>
        <v>21</v>
      </c>
      <c r="G388" s="8" t="s">
        <v>25</v>
      </c>
      <c r="H388" s="8" t="s">
        <v>26</v>
      </c>
      <c r="I388" s="8" t="s">
        <v>67</v>
      </c>
      <c r="J388" s="8">
        <v>0</v>
      </c>
      <c r="K388" s="8">
        <f t="shared" si="94"/>
        <v>0</v>
      </c>
      <c r="L388" s="8">
        <v>40</v>
      </c>
      <c r="M388" s="9">
        <f t="shared" si="95"/>
        <v>40</v>
      </c>
      <c r="N388" s="8">
        <v>4.0999999999999996</v>
      </c>
      <c r="O388" s="10">
        <f t="shared" si="96"/>
        <v>4.0999999999999996</v>
      </c>
      <c r="P388" s="8" t="s">
        <v>2051</v>
      </c>
      <c r="Q388" s="14">
        <v>0.97</v>
      </c>
      <c r="R388" s="12">
        <f t="shared" si="91"/>
        <v>0.97</v>
      </c>
      <c r="S388" s="12">
        <f t="shared" ref="S388:S451" si="97">IF(ISBLANK(R388),AVERAGE($R$2:$R$1001),R388)</f>
        <v>0.97</v>
      </c>
    </row>
    <row r="389" spans="1:19" x14ac:dyDescent="0.35">
      <c r="A389" s="8" t="s">
        <v>818</v>
      </c>
      <c r="B389" s="8" t="s">
        <v>819</v>
      </c>
      <c r="C389" s="8" t="s">
        <v>7</v>
      </c>
      <c r="D389" s="8" t="str">
        <f t="shared" si="92"/>
        <v>Female</v>
      </c>
      <c r="E389" s="8">
        <v>23</v>
      </c>
      <c r="F389" s="8">
        <f t="shared" si="93"/>
        <v>23</v>
      </c>
      <c r="G389" s="8" t="s">
        <v>103</v>
      </c>
      <c r="H389" s="8" t="s">
        <v>9</v>
      </c>
      <c r="I389" s="8" t="s">
        <v>67</v>
      </c>
      <c r="J389" s="8">
        <v>5</v>
      </c>
      <c r="K389" s="8">
        <f t="shared" si="94"/>
        <v>5</v>
      </c>
      <c r="L389" s="8">
        <v>100</v>
      </c>
      <c r="M389" s="9">
        <f t="shared" si="95"/>
        <v>100</v>
      </c>
      <c r="N389" s="8">
        <v>3.2</v>
      </c>
      <c r="O389" s="10">
        <f t="shared" si="96"/>
        <v>3.2</v>
      </c>
      <c r="P389" s="8" t="s">
        <v>2051</v>
      </c>
      <c r="Q389" s="13"/>
      <c r="S389" s="12">
        <f t="shared" si="97"/>
        <v>0.79269417475728277</v>
      </c>
    </row>
    <row r="390" spans="1:19" x14ac:dyDescent="0.35">
      <c r="A390" s="8" t="s">
        <v>820</v>
      </c>
      <c r="B390" s="8" t="s">
        <v>821</v>
      </c>
      <c r="C390" s="8" t="s">
        <v>30</v>
      </c>
      <c r="D390" s="8" t="str">
        <f t="shared" si="92"/>
        <v>Male</v>
      </c>
      <c r="E390" s="8">
        <v>27</v>
      </c>
      <c r="F390" s="8">
        <f t="shared" si="93"/>
        <v>27</v>
      </c>
      <c r="G390" s="8" t="s">
        <v>114</v>
      </c>
      <c r="H390" s="8" t="s">
        <v>115</v>
      </c>
      <c r="I390" s="8" t="s">
        <v>20</v>
      </c>
      <c r="J390" s="8">
        <v>1</v>
      </c>
      <c r="K390" s="8">
        <f t="shared" si="94"/>
        <v>1</v>
      </c>
      <c r="L390" s="8">
        <v>20</v>
      </c>
      <c r="M390" s="9">
        <f t="shared" si="95"/>
        <v>20</v>
      </c>
      <c r="N390" s="8">
        <v>4.3</v>
      </c>
      <c r="O390" s="10">
        <f t="shared" si="96"/>
        <v>4.3</v>
      </c>
      <c r="P390" s="8" t="s">
        <v>2050</v>
      </c>
      <c r="Q390" s="14">
        <v>0.76</v>
      </c>
      <c r="R390" s="12">
        <f t="shared" ref="R390:R391" si="98">Q390</f>
        <v>0.76</v>
      </c>
      <c r="S390" s="12">
        <f t="shared" si="97"/>
        <v>0.76</v>
      </c>
    </row>
    <row r="391" spans="1:19" x14ac:dyDescent="0.35">
      <c r="A391" s="8" t="s">
        <v>822</v>
      </c>
      <c r="B391" s="8" t="s">
        <v>823</v>
      </c>
      <c r="C391" s="8" t="s">
        <v>30</v>
      </c>
      <c r="D391" s="8" t="str">
        <f t="shared" si="92"/>
        <v>Male</v>
      </c>
      <c r="E391" s="8">
        <v>27</v>
      </c>
      <c r="F391" s="8">
        <f t="shared" si="93"/>
        <v>27</v>
      </c>
      <c r="G391" s="8" t="s">
        <v>147</v>
      </c>
      <c r="H391" s="8" t="s">
        <v>148</v>
      </c>
      <c r="I391" s="8" t="s">
        <v>56</v>
      </c>
      <c r="J391" s="8">
        <v>4</v>
      </c>
      <c r="K391" s="8">
        <f t="shared" si="94"/>
        <v>4</v>
      </c>
      <c r="L391" s="8">
        <v>40</v>
      </c>
      <c r="M391" s="9">
        <f t="shared" si="95"/>
        <v>40</v>
      </c>
      <c r="N391" s="8">
        <v>4.4000000000000004</v>
      </c>
      <c r="O391" s="10">
        <f t="shared" si="96"/>
        <v>4.4000000000000004</v>
      </c>
      <c r="P391" s="8" t="s">
        <v>2050</v>
      </c>
      <c r="Q391" s="14">
        <v>0.92</v>
      </c>
      <c r="R391" s="12">
        <f t="shared" si="98"/>
        <v>0.92</v>
      </c>
      <c r="S391" s="12">
        <f t="shared" si="97"/>
        <v>0.92</v>
      </c>
    </row>
    <row r="392" spans="1:19" x14ac:dyDescent="0.35">
      <c r="A392" s="8" t="s">
        <v>824</v>
      </c>
      <c r="B392" s="8" t="s">
        <v>825</v>
      </c>
      <c r="C392" s="8" t="s">
        <v>19</v>
      </c>
      <c r="D392" s="8" t="str">
        <f t="shared" si="92"/>
        <v>Female</v>
      </c>
      <c r="E392" s="8">
        <v>48</v>
      </c>
      <c r="F392" s="8">
        <f t="shared" si="93"/>
        <v>48</v>
      </c>
      <c r="G392" s="8" t="s">
        <v>128</v>
      </c>
      <c r="H392" s="8" t="s">
        <v>129</v>
      </c>
      <c r="I392" s="8" t="s">
        <v>33</v>
      </c>
      <c r="J392" s="8">
        <v>21</v>
      </c>
      <c r="K392" s="8">
        <f t="shared" si="94"/>
        <v>21</v>
      </c>
      <c r="L392" s="8">
        <v>40</v>
      </c>
      <c r="M392" s="9">
        <f t="shared" si="95"/>
        <v>40</v>
      </c>
      <c r="N392" s="8">
        <v>2.2999999999999998</v>
      </c>
      <c r="O392" s="10">
        <f t="shared" si="96"/>
        <v>2.2999999999999998</v>
      </c>
      <c r="P392" s="8" t="s">
        <v>2050</v>
      </c>
      <c r="Q392" s="13"/>
      <c r="S392" s="12">
        <f t="shared" si="97"/>
        <v>0.79269417475728277</v>
      </c>
    </row>
    <row r="393" spans="1:19" x14ac:dyDescent="0.35">
      <c r="A393" s="8" t="s">
        <v>826</v>
      </c>
      <c r="B393" s="8" t="s">
        <v>827</v>
      </c>
      <c r="C393" s="8" t="s">
        <v>41</v>
      </c>
      <c r="D393" s="8" t="str">
        <f t="shared" si="92"/>
        <v>Male</v>
      </c>
      <c r="E393" s="8">
        <v>21</v>
      </c>
      <c r="F393" s="8">
        <f t="shared" si="93"/>
        <v>21</v>
      </c>
      <c r="G393" s="8" t="s">
        <v>128</v>
      </c>
      <c r="H393" s="8" t="s">
        <v>129</v>
      </c>
      <c r="I393" s="8" t="s">
        <v>27</v>
      </c>
      <c r="J393" s="8">
        <v>1</v>
      </c>
      <c r="K393" s="8">
        <f t="shared" si="94"/>
        <v>1</v>
      </c>
      <c r="L393" s="8">
        <v>20</v>
      </c>
      <c r="M393" s="9">
        <f t="shared" si="95"/>
        <v>20</v>
      </c>
      <c r="N393" s="8">
        <v>2.4</v>
      </c>
      <c r="O393" s="10">
        <f t="shared" si="96"/>
        <v>2.4</v>
      </c>
      <c r="P393" s="8" t="s">
        <v>2051</v>
      </c>
      <c r="Q393" s="14">
        <v>0.66</v>
      </c>
      <c r="R393" s="12">
        <f t="shared" ref="R393:R394" si="99">Q393</f>
        <v>0.66</v>
      </c>
      <c r="S393" s="12">
        <f t="shared" si="97"/>
        <v>0.66</v>
      </c>
    </row>
    <row r="394" spans="1:19" x14ac:dyDescent="0.35">
      <c r="A394" s="8" t="s">
        <v>828</v>
      </c>
      <c r="B394" s="8" t="s">
        <v>829</v>
      </c>
      <c r="C394" s="8" t="s">
        <v>30</v>
      </c>
      <c r="D394" s="8" t="str">
        <f t="shared" si="92"/>
        <v>Male</v>
      </c>
      <c r="E394" s="8">
        <v>37</v>
      </c>
      <c r="F394" s="8">
        <f t="shared" si="93"/>
        <v>37</v>
      </c>
      <c r="G394" s="8" t="s">
        <v>2</v>
      </c>
      <c r="H394" s="8" t="s">
        <v>3</v>
      </c>
      <c r="I394" s="8" t="s">
        <v>67</v>
      </c>
      <c r="J394" s="13"/>
      <c r="K394" s="8">
        <f t="shared" si="94"/>
        <v>9</v>
      </c>
      <c r="L394" s="8">
        <v>50</v>
      </c>
      <c r="M394" s="9">
        <f t="shared" si="95"/>
        <v>50</v>
      </c>
      <c r="N394" s="8">
        <v>4.5999999999999996</v>
      </c>
      <c r="O394" s="10">
        <f t="shared" si="96"/>
        <v>4.5999999999999996</v>
      </c>
      <c r="P394" s="8" t="s">
        <v>2050</v>
      </c>
      <c r="Q394" s="14">
        <v>0.83</v>
      </c>
      <c r="R394" s="12">
        <f t="shared" si="99"/>
        <v>0.83</v>
      </c>
      <c r="S394" s="12">
        <f t="shared" si="97"/>
        <v>0.83</v>
      </c>
    </row>
    <row r="395" spans="1:19" x14ac:dyDescent="0.35">
      <c r="A395" s="8" t="s">
        <v>830</v>
      </c>
      <c r="B395" s="8" t="s">
        <v>831</v>
      </c>
      <c r="C395" s="8" t="s">
        <v>19</v>
      </c>
      <c r="D395" s="8" t="str">
        <f t="shared" si="92"/>
        <v>Female</v>
      </c>
      <c r="E395" s="8">
        <v>31</v>
      </c>
      <c r="F395" s="8">
        <f t="shared" si="93"/>
        <v>31</v>
      </c>
      <c r="G395" s="8" t="s">
        <v>14</v>
      </c>
      <c r="H395" s="8" t="s">
        <v>15</v>
      </c>
      <c r="I395" s="8" t="s">
        <v>52</v>
      </c>
      <c r="J395" s="8">
        <v>10</v>
      </c>
      <c r="K395" s="8">
        <f t="shared" si="94"/>
        <v>10</v>
      </c>
      <c r="L395" s="8">
        <v>50</v>
      </c>
      <c r="M395" s="9">
        <f t="shared" si="95"/>
        <v>50</v>
      </c>
      <c r="N395" s="8">
        <v>0</v>
      </c>
      <c r="O395" s="11">
        <f t="shared" si="96"/>
        <v>0</v>
      </c>
      <c r="P395" s="8" t="s">
        <v>2050</v>
      </c>
      <c r="Q395" s="13"/>
      <c r="S395" s="12">
        <f t="shared" si="97"/>
        <v>0.79269417475728277</v>
      </c>
    </row>
    <row r="396" spans="1:19" x14ac:dyDescent="0.35">
      <c r="A396" s="8" t="s">
        <v>832</v>
      </c>
      <c r="B396" s="8" t="s">
        <v>833</v>
      </c>
      <c r="C396" s="8" t="s">
        <v>1</v>
      </c>
      <c r="D396" s="8" t="str">
        <f t="shared" si="92"/>
        <v>Female</v>
      </c>
      <c r="E396" s="8">
        <v>41</v>
      </c>
      <c r="F396" s="8">
        <f t="shared" si="93"/>
        <v>41</v>
      </c>
      <c r="G396" s="8" t="s">
        <v>114</v>
      </c>
      <c r="H396" s="8" t="s">
        <v>115</v>
      </c>
      <c r="I396" s="8" t="s">
        <v>4</v>
      </c>
      <c r="J396" s="8">
        <v>21</v>
      </c>
      <c r="K396" s="8">
        <f t="shared" si="94"/>
        <v>21</v>
      </c>
      <c r="L396" s="13"/>
      <c r="M396" s="9">
        <f t="shared" si="95"/>
        <v>40</v>
      </c>
      <c r="N396" s="8">
        <v>0</v>
      </c>
      <c r="O396" s="11">
        <f t="shared" si="96"/>
        <v>0</v>
      </c>
      <c r="P396" s="8" t="s">
        <v>2051</v>
      </c>
      <c r="Q396" s="13"/>
      <c r="S396" s="12">
        <f t="shared" si="97"/>
        <v>0.79269417475728277</v>
      </c>
    </row>
    <row r="397" spans="1:19" x14ac:dyDescent="0.35">
      <c r="A397" s="8" t="s">
        <v>834</v>
      </c>
      <c r="B397" s="8" t="s">
        <v>2023</v>
      </c>
      <c r="C397" s="8" t="s">
        <v>13</v>
      </c>
      <c r="D397" s="8" t="str">
        <f t="shared" si="92"/>
        <v>Male</v>
      </c>
      <c r="E397" s="8">
        <v>31</v>
      </c>
      <c r="F397" s="8">
        <f t="shared" si="93"/>
        <v>31</v>
      </c>
      <c r="G397" s="8" t="s">
        <v>99</v>
      </c>
      <c r="H397" s="8" t="s">
        <v>100</v>
      </c>
      <c r="I397" s="8" t="s">
        <v>56</v>
      </c>
      <c r="J397" s="8">
        <v>0</v>
      </c>
      <c r="K397" s="8">
        <f t="shared" si="94"/>
        <v>0</v>
      </c>
      <c r="L397" s="8">
        <v>20</v>
      </c>
      <c r="M397" s="9">
        <f t="shared" si="95"/>
        <v>20</v>
      </c>
      <c r="N397" s="8">
        <v>4.2</v>
      </c>
      <c r="O397" s="10">
        <f t="shared" si="96"/>
        <v>4.2</v>
      </c>
      <c r="P397" s="8" t="s">
        <v>2051</v>
      </c>
      <c r="Q397" s="8">
        <v>82</v>
      </c>
      <c r="R397" s="12">
        <v>0.82</v>
      </c>
      <c r="S397" s="12">
        <f t="shared" si="97"/>
        <v>0.82</v>
      </c>
    </row>
    <row r="398" spans="1:19" x14ac:dyDescent="0.35">
      <c r="A398" s="8" t="s">
        <v>835</v>
      </c>
      <c r="B398" s="8" t="s">
        <v>836</v>
      </c>
      <c r="C398" s="8" t="s">
        <v>7</v>
      </c>
      <c r="D398" s="8" t="str">
        <f t="shared" si="92"/>
        <v>Female</v>
      </c>
      <c r="E398" s="8">
        <v>58</v>
      </c>
      <c r="F398" s="8">
        <f t="shared" si="93"/>
        <v>58</v>
      </c>
      <c r="G398" s="8" t="s">
        <v>50</v>
      </c>
      <c r="H398" s="8" t="s">
        <v>51</v>
      </c>
      <c r="I398" s="8" t="s">
        <v>33</v>
      </c>
      <c r="J398" s="8">
        <v>0</v>
      </c>
      <c r="K398" s="8">
        <f t="shared" si="94"/>
        <v>0</v>
      </c>
      <c r="L398" s="8">
        <v>50</v>
      </c>
      <c r="M398" s="9">
        <f t="shared" si="95"/>
        <v>50</v>
      </c>
      <c r="N398" s="8">
        <v>2.2999999999999998</v>
      </c>
      <c r="O398" s="10">
        <f t="shared" si="96"/>
        <v>2.2999999999999998</v>
      </c>
      <c r="P398" s="8" t="s">
        <v>2050</v>
      </c>
      <c r="Q398" s="14">
        <v>0.77</v>
      </c>
      <c r="R398" s="12">
        <f t="shared" ref="R398:R405" si="100">Q398</f>
        <v>0.77</v>
      </c>
      <c r="S398" s="12">
        <f t="shared" si="97"/>
        <v>0.77</v>
      </c>
    </row>
    <row r="399" spans="1:19" x14ac:dyDescent="0.35">
      <c r="A399" s="8" t="s">
        <v>837</v>
      </c>
      <c r="B399" s="8" t="s">
        <v>2013</v>
      </c>
      <c r="C399" s="8" t="s">
        <v>1</v>
      </c>
      <c r="D399" s="8" t="str">
        <f t="shared" si="92"/>
        <v>Female</v>
      </c>
      <c r="E399" s="8">
        <v>45</v>
      </c>
      <c r="F399" s="8">
        <f t="shared" si="93"/>
        <v>45</v>
      </c>
      <c r="G399" s="8" t="s">
        <v>25</v>
      </c>
      <c r="H399" s="8" t="s">
        <v>26</v>
      </c>
      <c r="I399" s="8" t="s">
        <v>33</v>
      </c>
      <c r="J399" s="8">
        <v>17</v>
      </c>
      <c r="K399" s="8">
        <f t="shared" si="94"/>
        <v>17</v>
      </c>
      <c r="L399" s="8">
        <v>50</v>
      </c>
      <c r="M399" s="9">
        <f t="shared" si="95"/>
        <v>50</v>
      </c>
      <c r="N399" s="8">
        <v>4.7</v>
      </c>
      <c r="O399" s="10">
        <f t="shared" si="96"/>
        <v>4.7</v>
      </c>
      <c r="P399" s="8" t="s">
        <v>2051</v>
      </c>
      <c r="Q399" s="14">
        <v>0.73</v>
      </c>
      <c r="R399" s="12">
        <f t="shared" si="100"/>
        <v>0.73</v>
      </c>
      <c r="S399" s="12">
        <f t="shared" si="97"/>
        <v>0.73</v>
      </c>
    </row>
    <row r="400" spans="1:19" x14ac:dyDescent="0.35">
      <c r="A400" s="8" t="s">
        <v>838</v>
      </c>
      <c r="B400" s="8" t="s">
        <v>839</v>
      </c>
      <c r="C400" s="8" t="s">
        <v>30</v>
      </c>
      <c r="D400" s="8" t="str">
        <f t="shared" si="92"/>
        <v>Male</v>
      </c>
      <c r="E400" s="8">
        <v>51</v>
      </c>
      <c r="F400" s="8">
        <f t="shared" si="93"/>
        <v>51</v>
      </c>
      <c r="G400" s="8" t="s">
        <v>88</v>
      </c>
      <c r="H400" s="8" t="s">
        <v>89</v>
      </c>
      <c r="I400" s="8" t="s">
        <v>56</v>
      </c>
      <c r="J400" s="8">
        <v>5</v>
      </c>
      <c r="K400" s="8">
        <f t="shared" si="94"/>
        <v>5</v>
      </c>
      <c r="L400" s="13"/>
      <c r="M400" s="9">
        <f t="shared" si="95"/>
        <v>40</v>
      </c>
      <c r="N400" s="8">
        <v>3</v>
      </c>
      <c r="O400" s="10">
        <f t="shared" si="96"/>
        <v>3</v>
      </c>
      <c r="P400" s="8" t="s">
        <v>2051</v>
      </c>
      <c r="Q400" s="14">
        <v>0.88</v>
      </c>
      <c r="R400" s="12">
        <f t="shared" si="100"/>
        <v>0.88</v>
      </c>
      <c r="S400" s="12">
        <f t="shared" si="97"/>
        <v>0.88</v>
      </c>
    </row>
    <row r="401" spans="1:19" x14ac:dyDescent="0.35">
      <c r="A401" s="8" t="s">
        <v>840</v>
      </c>
      <c r="B401" s="8" t="s">
        <v>2015</v>
      </c>
      <c r="C401" s="8" t="s">
        <v>41</v>
      </c>
      <c r="D401" s="8" t="str">
        <f t="shared" si="92"/>
        <v>Male</v>
      </c>
      <c r="E401" s="8">
        <v>54</v>
      </c>
      <c r="F401" s="8">
        <f t="shared" si="93"/>
        <v>54</v>
      </c>
      <c r="G401" s="8" t="s">
        <v>38</v>
      </c>
      <c r="H401" s="8" t="s">
        <v>9</v>
      </c>
      <c r="I401" s="8" t="s">
        <v>52</v>
      </c>
      <c r="J401" s="8">
        <v>3</v>
      </c>
      <c r="K401" s="8">
        <f t="shared" si="94"/>
        <v>3</v>
      </c>
      <c r="L401" s="8">
        <v>30</v>
      </c>
      <c r="M401" s="9">
        <f t="shared" si="95"/>
        <v>30</v>
      </c>
      <c r="N401" s="8">
        <v>2.4</v>
      </c>
      <c r="O401" s="10">
        <f t="shared" si="96"/>
        <v>2.4</v>
      </c>
      <c r="P401" s="8" t="s">
        <v>2050</v>
      </c>
      <c r="Q401" s="14">
        <v>0.81</v>
      </c>
      <c r="R401" s="12">
        <f t="shared" si="100"/>
        <v>0.81</v>
      </c>
      <c r="S401" s="12">
        <f t="shared" si="97"/>
        <v>0.81</v>
      </c>
    </row>
    <row r="402" spans="1:19" x14ac:dyDescent="0.35">
      <c r="A402" s="8" t="s">
        <v>841</v>
      </c>
      <c r="B402" s="8" t="s">
        <v>842</v>
      </c>
      <c r="C402" s="8" t="s">
        <v>70</v>
      </c>
      <c r="D402" s="8" t="str">
        <f t="shared" si="92"/>
        <v>Male</v>
      </c>
      <c r="E402" s="8">
        <v>22</v>
      </c>
      <c r="F402" s="8">
        <f t="shared" si="93"/>
        <v>22</v>
      </c>
      <c r="G402" s="8" t="s">
        <v>99</v>
      </c>
      <c r="H402" s="8" t="s">
        <v>100</v>
      </c>
      <c r="I402" s="8" t="s">
        <v>33</v>
      </c>
      <c r="J402" s="8">
        <v>1</v>
      </c>
      <c r="K402" s="8">
        <f t="shared" si="94"/>
        <v>1</v>
      </c>
      <c r="L402" s="8">
        <v>20</v>
      </c>
      <c r="M402" s="9">
        <f t="shared" si="95"/>
        <v>20</v>
      </c>
      <c r="N402" s="8">
        <v>1.7</v>
      </c>
      <c r="O402" s="10">
        <f t="shared" si="96"/>
        <v>1.7</v>
      </c>
      <c r="P402" s="8" t="s">
        <v>2050</v>
      </c>
      <c r="Q402" s="14">
        <v>0.78</v>
      </c>
      <c r="R402" s="12">
        <f t="shared" si="100"/>
        <v>0.78</v>
      </c>
      <c r="S402" s="12">
        <f t="shared" si="97"/>
        <v>0.78</v>
      </c>
    </row>
    <row r="403" spans="1:19" x14ac:dyDescent="0.35">
      <c r="A403" s="8" t="s">
        <v>843</v>
      </c>
      <c r="B403" s="8" t="s">
        <v>844</v>
      </c>
      <c r="C403" s="8" t="s">
        <v>70</v>
      </c>
      <c r="D403" s="8" t="str">
        <f t="shared" si="92"/>
        <v>Male</v>
      </c>
      <c r="E403" s="8">
        <v>36</v>
      </c>
      <c r="F403" s="8">
        <f t="shared" si="93"/>
        <v>36</v>
      </c>
      <c r="G403" s="8" t="s">
        <v>42</v>
      </c>
      <c r="H403" s="8" t="s">
        <v>43</v>
      </c>
      <c r="I403" s="8" t="s">
        <v>56</v>
      </c>
      <c r="J403" s="8">
        <v>2</v>
      </c>
      <c r="K403" s="8">
        <f t="shared" si="94"/>
        <v>2</v>
      </c>
      <c r="L403" s="8">
        <v>75</v>
      </c>
      <c r="M403" s="9">
        <f t="shared" si="95"/>
        <v>75</v>
      </c>
      <c r="N403" s="8">
        <v>0</v>
      </c>
      <c r="O403" s="11">
        <f t="shared" si="96"/>
        <v>0</v>
      </c>
      <c r="P403" s="8" t="s">
        <v>2050</v>
      </c>
      <c r="Q403" s="14">
        <v>0.92</v>
      </c>
      <c r="R403" s="12">
        <f t="shared" si="100"/>
        <v>0.92</v>
      </c>
      <c r="S403" s="12">
        <f t="shared" si="97"/>
        <v>0.92</v>
      </c>
    </row>
    <row r="404" spans="1:19" x14ac:dyDescent="0.35">
      <c r="A404" s="8" t="s">
        <v>845</v>
      </c>
      <c r="B404" s="8" t="s">
        <v>846</v>
      </c>
      <c r="C404" s="8" t="s">
        <v>41</v>
      </c>
      <c r="D404" s="8" t="str">
        <f t="shared" si="92"/>
        <v>Male</v>
      </c>
      <c r="E404" s="8">
        <v>50</v>
      </c>
      <c r="F404" s="8">
        <f t="shared" si="93"/>
        <v>50</v>
      </c>
      <c r="G404" s="8" t="s">
        <v>14</v>
      </c>
      <c r="H404" s="8" t="s">
        <v>15</v>
      </c>
      <c r="I404" s="8" t="s">
        <v>67</v>
      </c>
      <c r="J404" s="8">
        <v>32</v>
      </c>
      <c r="K404" s="8">
        <f t="shared" si="94"/>
        <v>32</v>
      </c>
      <c r="L404" s="8">
        <v>30</v>
      </c>
      <c r="M404" s="9">
        <f t="shared" si="95"/>
        <v>30</v>
      </c>
      <c r="O404" s="10">
        <f t="shared" si="96"/>
        <v>2.5125695216907653</v>
      </c>
      <c r="P404" s="8" t="s">
        <v>2050</v>
      </c>
      <c r="Q404" s="14">
        <v>0.64</v>
      </c>
      <c r="R404" s="12">
        <f t="shared" si="100"/>
        <v>0.64</v>
      </c>
      <c r="S404" s="12">
        <f t="shared" si="97"/>
        <v>0.64</v>
      </c>
    </row>
    <row r="405" spans="1:19" x14ac:dyDescent="0.35">
      <c r="A405" s="8" t="s">
        <v>847</v>
      </c>
      <c r="B405" s="8" t="s">
        <v>848</v>
      </c>
      <c r="C405" s="8" t="s">
        <v>55</v>
      </c>
      <c r="D405" s="8" t="str">
        <f t="shared" si="92"/>
        <v>Female</v>
      </c>
      <c r="E405" s="8">
        <v>41</v>
      </c>
      <c r="F405" s="8">
        <f t="shared" si="93"/>
        <v>41</v>
      </c>
      <c r="G405" s="8" t="s">
        <v>8</v>
      </c>
      <c r="H405" s="8" t="s">
        <v>9</v>
      </c>
      <c r="I405" s="8" t="s">
        <v>4</v>
      </c>
      <c r="J405" s="8">
        <v>14</v>
      </c>
      <c r="K405" s="8">
        <f t="shared" si="94"/>
        <v>14</v>
      </c>
      <c r="L405" s="8">
        <v>30</v>
      </c>
      <c r="M405" s="9">
        <f t="shared" si="95"/>
        <v>30</v>
      </c>
      <c r="N405" s="8">
        <v>0</v>
      </c>
      <c r="O405" s="11">
        <f t="shared" si="96"/>
        <v>0</v>
      </c>
      <c r="P405" s="8" t="s">
        <v>2051</v>
      </c>
      <c r="Q405" s="14">
        <v>0.78</v>
      </c>
      <c r="R405" s="12">
        <f t="shared" si="100"/>
        <v>0.78</v>
      </c>
      <c r="S405" s="12">
        <f t="shared" si="97"/>
        <v>0.78</v>
      </c>
    </row>
    <row r="406" spans="1:19" x14ac:dyDescent="0.35">
      <c r="A406" s="8" t="s">
        <v>849</v>
      </c>
      <c r="B406" s="8" t="s">
        <v>850</v>
      </c>
      <c r="C406" s="8" t="s">
        <v>70</v>
      </c>
      <c r="D406" s="8" t="str">
        <f t="shared" si="92"/>
        <v>Male</v>
      </c>
      <c r="E406" s="13"/>
      <c r="F406" s="8">
        <f t="shared" si="93"/>
        <v>41</v>
      </c>
      <c r="G406" s="8" t="s">
        <v>128</v>
      </c>
      <c r="H406" s="8" t="s">
        <v>129</v>
      </c>
      <c r="I406" s="8" t="s">
        <v>20</v>
      </c>
      <c r="J406" s="8">
        <v>10</v>
      </c>
      <c r="K406" s="8">
        <f t="shared" si="94"/>
        <v>10</v>
      </c>
      <c r="L406" s="8">
        <v>20</v>
      </c>
      <c r="M406" s="9">
        <f t="shared" si="95"/>
        <v>20</v>
      </c>
      <c r="N406" s="8">
        <v>1.8</v>
      </c>
      <c r="O406" s="10">
        <f t="shared" si="96"/>
        <v>1.8</v>
      </c>
      <c r="P406" s="8" t="s">
        <v>2051</v>
      </c>
      <c r="Q406" s="8">
        <v>85</v>
      </c>
      <c r="R406" s="12">
        <v>0.85</v>
      </c>
      <c r="S406" s="12">
        <f t="shared" si="97"/>
        <v>0.85</v>
      </c>
    </row>
    <row r="407" spans="1:19" x14ac:dyDescent="0.35">
      <c r="A407" s="8" t="s">
        <v>851</v>
      </c>
      <c r="B407" s="8" t="s">
        <v>852</v>
      </c>
      <c r="C407" s="8" t="s">
        <v>7</v>
      </c>
      <c r="D407" s="8" t="str">
        <f t="shared" si="92"/>
        <v>Female</v>
      </c>
      <c r="E407" s="8">
        <v>51</v>
      </c>
      <c r="F407" s="8">
        <f t="shared" si="93"/>
        <v>51</v>
      </c>
      <c r="G407" s="8" t="s">
        <v>25</v>
      </c>
      <c r="H407" s="8" t="s">
        <v>26</v>
      </c>
      <c r="I407" s="8" t="s">
        <v>56</v>
      </c>
      <c r="J407" s="8">
        <v>27</v>
      </c>
      <c r="K407" s="8">
        <f t="shared" si="94"/>
        <v>27</v>
      </c>
      <c r="L407" s="8">
        <v>50</v>
      </c>
      <c r="M407" s="9">
        <f t="shared" si="95"/>
        <v>50</v>
      </c>
      <c r="N407" s="8">
        <v>0</v>
      </c>
      <c r="O407" s="11">
        <f t="shared" si="96"/>
        <v>0</v>
      </c>
      <c r="P407" s="8" t="s">
        <v>2050</v>
      </c>
      <c r="Q407" s="14">
        <v>0.78</v>
      </c>
      <c r="R407" s="12">
        <f t="shared" ref="R407:R413" si="101">Q407</f>
        <v>0.78</v>
      </c>
      <c r="S407" s="12">
        <f t="shared" si="97"/>
        <v>0.78</v>
      </c>
    </row>
    <row r="408" spans="1:19" x14ac:dyDescent="0.35">
      <c r="A408" s="8" t="s">
        <v>853</v>
      </c>
      <c r="B408" s="8" t="s">
        <v>854</v>
      </c>
      <c r="C408" s="8" t="s">
        <v>13</v>
      </c>
      <c r="D408" s="8" t="str">
        <f t="shared" si="92"/>
        <v>Male</v>
      </c>
      <c r="E408" s="8">
        <v>21</v>
      </c>
      <c r="F408" s="8">
        <f t="shared" si="93"/>
        <v>21</v>
      </c>
      <c r="G408" s="8" t="s">
        <v>110</v>
      </c>
      <c r="H408" s="8" t="s">
        <v>111</v>
      </c>
      <c r="I408" s="8" t="s">
        <v>27</v>
      </c>
      <c r="J408" s="8">
        <v>2</v>
      </c>
      <c r="K408" s="8">
        <f t="shared" si="94"/>
        <v>2</v>
      </c>
      <c r="L408" s="8">
        <v>30</v>
      </c>
      <c r="M408" s="9">
        <f t="shared" si="95"/>
        <v>30</v>
      </c>
      <c r="N408" s="8">
        <v>3.8</v>
      </c>
      <c r="O408" s="10">
        <f t="shared" si="96"/>
        <v>3.8</v>
      </c>
      <c r="P408" s="8" t="s">
        <v>2051</v>
      </c>
      <c r="Q408" s="14">
        <v>0.98</v>
      </c>
      <c r="R408" s="12">
        <f t="shared" si="101"/>
        <v>0.98</v>
      </c>
      <c r="S408" s="12">
        <f t="shared" si="97"/>
        <v>0.98</v>
      </c>
    </row>
    <row r="409" spans="1:19" x14ac:dyDescent="0.35">
      <c r="A409" s="8" t="s">
        <v>855</v>
      </c>
      <c r="B409" s="8" t="s">
        <v>856</v>
      </c>
      <c r="C409" s="8" t="s">
        <v>41</v>
      </c>
      <c r="D409" s="8" t="str">
        <f t="shared" si="92"/>
        <v>Male</v>
      </c>
      <c r="E409" s="8">
        <v>51</v>
      </c>
      <c r="F409" s="8">
        <f t="shared" si="93"/>
        <v>51</v>
      </c>
      <c r="G409" s="8" t="s">
        <v>63</v>
      </c>
      <c r="H409" s="8" t="s">
        <v>64</v>
      </c>
      <c r="I409" s="8" t="s">
        <v>27</v>
      </c>
      <c r="J409" s="8">
        <v>33</v>
      </c>
      <c r="K409" s="8">
        <f t="shared" si="94"/>
        <v>33</v>
      </c>
      <c r="L409" s="8">
        <v>40</v>
      </c>
      <c r="M409" s="9">
        <f t="shared" si="95"/>
        <v>40</v>
      </c>
      <c r="N409" s="8">
        <v>0</v>
      </c>
      <c r="O409" s="11">
        <f t="shared" si="96"/>
        <v>0</v>
      </c>
      <c r="P409" s="8" t="s">
        <v>2051</v>
      </c>
      <c r="Q409" s="14">
        <v>0.63</v>
      </c>
      <c r="R409" s="12">
        <f t="shared" si="101"/>
        <v>0.63</v>
      </c>
      <c r="S409" s="12">
        <f t="shared" si="97"/>
        <v>0.63</v>
      </c>
    </row>
    <row r="410" spans="1:19" x14ac:dyDescent="0.35">
      <c r="A410" s="8" t="s">
        <v>857</v>
      </c>
      <c r="B410" s="8" t="s">
        <v>858</v>
      </c>
      <c r="C410" s="8" t="s">
        <v>22</v>
      </c>
      <c r="D410" s="8" t="str">
        <f t="shared" si="92"/>
        <v>Female</v>
      </c>
      <c r="E410" s="8">
        <v>37</v>
      </c>
      <c r="F410" s="8">
        <f t="shared" si="93"/>
        <v>37</v>
      </c>
      <c r="G410" s="8" t="s">
        <v>31</v>
      </c>
      <c r="H410" s="8" t="s">
        <v>32</v>
      </c>
      <c r="I410" s="8" t="s">
        <v>16</v>
      </c>
      <c r="J410" s="8">
        <v>11</v>
      </c>
      <c r="K410" s="8">
        <f t="shared" si="94"/>
        <v>11</v>
      </c>
      <c r="L410" s="8">
        <v>40</v>
      </c>
      <c r="M410" s="9">
        <f t="shared" si="95"/>
        <v>40</v>
      </c>
      <c r="N410" s="8">
        <v>3.6</v>
      </c>
      <c r="O410" s="10">
        <f t="shared" si="96"/>
        <v>3.6</v>
      </c>
      <c r="P410" s="8" t="s">
        <v>2050</v>
      </c>
      <c r="Q410" s="14">
        <v>0.73</v>
      </c>
      <c r="R410" s="12">
        <f t="shared" si="101"/>
        <v>0.73</v>
      </c>
      <c r="S410" s="12">
        <f t="shared" si="97"/>
        <v>0.73</v>
      </c>
    </row>
    <row r="411" spans="1:19" x14ac:dyDescent="0.35">
      <c r="A411" s="8" t="s">
        <v>859</v>
      </c>
      <c r="B411" s="8" t="s">
        <v>860</v>
      </c>
      <c r="C411" s="8" t="s">
        <v>1</v>
      </c>
      <c r="D411" s="8" t="str">
        <f t="shared" si="92"/>
        <v>Female</v>
      </c>
      <c r="E411" s="8">
        <v>20</v>
      </c>
      <c r="F411" s="8">
        <f t="shared" si="93"/>
        <v>20</v>
      </c>
      <c r="G411" s="8" t="s">
        <v>162</v>
      </c>
      <c r="H411" s="8" t="s">
        <v>51</v>
      </c>
      <c r="I411" s="8" t="s">
        <v>16</v>
      </c>
      <c r="J411" s="8">
        <v>2</v>
      </c>
      <c r="K411" s="8">
        <f t="shared" si="94"/>
        <v>2</v>
      </c>
      <c r="L411" s="8">
        <v>30</v>
      </c>
      <c r="M411" s="9">
        <f t="shared" si="95"/>
        <v>30</v>
      </c>
      <c r="N411" s="8">
        <v>0</v>
      </c>
      <c r="O411" s="11">
        <f t="shared" si="96"/>
        <v>0</v>
      </c>
      <c r="P411" s="8" t="s">
        <v>2050</v>
      </c>
      <c r="Q411" s="14">
        <v>0.94</v>
      </c>
      <c r="R411" s="12">
        <f t="shared" si="101"/>
        <v>0.94</v>
      </c>
      <c r="S411" s="12">
        <f t="shared" si="97"/>
        <v>0.94</v>
      </c>
    </row>
    <row r="412" spans="1:19" x14ac:dyDescent="0.35">
      <c r="A412" s="8" t="s">
        <v>861</v>
      </c>
      <c r="B412" s="8" t="s">
        <v>862</v>
      </c>
      <c r="C412" s="8" t="s">
        <v>55</v>
      </c>
      <c r="D412" s="8" t="str">
        <f t="shared" si="92"/>
        <v>Female</v>
      </c>
      <c r="E412" s="8">
        <v>50</v>
      </c>
      <c r="F412" s="8">
        <f t="shared" si="93"/>
        <v>50</v>
      </c>
      <c r="G412" s="8" t="s">
        <v>8</v>
      </c>
      <c r="H412" s="8" t="s">
        <v>9</v>
      </c>
      <c r="I412" s="8" t="s">
        <v>20</v>
      </c>
      <c r="J412" s="8">
        <v>31</v>
      </c>
      <c r="K412" s="8">
        <f t="shared" si="94"/>
        <v>31</v>
      </c>
      <c r="L412" s="8">
        <v>50</v>
      </c>
      <c r="M412" s="9">
        <f t="shared" si="95"/>
        <v>50</v>
      </c>
      <c r="N412" s="8">
        <v>4.0999999999999996</v>
      </c>
      <c r="O412" s="10">
        <f t="shared" si="96"/>
        <v>4.0999999999999996</v>
      </c>
      <c r="P412" s="13" t="s">
        <v>2050</v>
      </c>
      <c r="Q412" s="14">
        <v>0.81</v>
      </c>
      <c r="R412" s="12">
        <f t="shared" si="101"/>
        <v>0.81</v>
      </c>
      <c r="S412" s="12">
        <f t="shared" si="97"/>
        <v>0.81</v>
      </c>
    </row>
    <row r="413" spans="1:19" x14ac:dyDescent="0.35">
      <c r="A413" s="8" t="s">
        <v>863</v>
      </c>
      <c r="B413" s="8" t="s">
        <v>864</v>
      </c>
      <c r="C413" s="8" t="s">
        <v>7</v>
      </c>
      <c r="D413" s="8" t="str">
        <f t="shared" si="92"/>
        <v>Female</v>
      </c>
      <c r="E413" s="8">
        <v>58</v>
      </c>
      <c r="F413" s="8">
        <f t="shared" si="93"/>
        <v>58</v>
      </c>
      <c r="G413" s="8" t="s">
        <v>42</v>
      </c>
      <c r="H413" s="8" t="s">
        <v>43</v>
      </c>
      <c r="I413" s="8" t="s">
        <v>16</v>
      </c>
      <c r="J413" s="8">
        <v>17</v>
      </c>
      <c r="K413" s="8">
        <f t="shared" si="94"/>
        <v>17</v>
      </c>
      <c r="L413" s="8">
        <v>50</v>
      </c>
      <c r="M413" s="9">
        <f t="shared" si="95"/>
        <v>50</v>
      </c>
      <c r="N413" s="8">
        <v>2.6</v>
      </c>
      <c r="O413" s="10">
        <f t="shared" si="96"/>
        <v>2.6</v>
      </c>
      <c r="P413" s="8" t="s">
        <v>2051</v>
      </c>
      <c r="Q413" s="14">
        <v>0.61</v>
      </c>
      <c r="R413" s="12">
        <f t="shared" si="101"/>
        <v>0.61</v>
      </c>
      <c r="S413" s="12">
        <f t="shared" si="97"/>
        <v>0.61</v>
      </c>
    </row>
    <row r="414" spans="1:19" x14ac:dyDescent="0.35">
      <c r="A414" s="8" t="s">
        <v>865</v>
      </c>
      <c r="B414" s="8" t="s">
        <v>866</v>
      </c>
      <c r="C414" s="8" t="s">
        <v>7</v>
      </c>
      <c r="D414" s="8" t="str">
        <f t="shared" si="92"/>
        <v>Female</v>
      </c>
      <c r="E414" s="8">
        <v>40</v>
      </c>
      <c r="F414" s="8">
        <f t="shared" si="93"/>
        <v>40</v>
      </c>
      <c r="G414" s="8" t="s">
        <v>84</v>
      </c>
      <c r="H414" s="8" t="s">
        <v>85</v>
      </c>
      <c r="I414" s="8" t="s">
        <v>52</v>
      </c>
      <c r="J414" s="8">
        <v>2</v>
      </c>
      <c r="K414" s="8">
        <f t="shared" si="94"/>
        <v>2</v>
      </c>
      <c r="L414" s="8">
        <v>100</v>
      </c>
      <c r="M414" s="9">
        <f t="shared" si="95"/>
        <v>100</v>
      </c>
      <c r="N414" s="8">
        <v>0</v>
      </c>
      <c r="O414" s="11">
        <f t="shared" si="96"/>
        <v>0</v>
      </c>
      <c r="P414" s="8" t="s">
        <v>2050</v>
      </c>
      <c r="Q414" s="13"/>
      <c r="S414" s="12">
        <f t="shared" si="97"/>
        <v>0.79269417475728277</v>
      </c>
    </row>
    <row r="415" spans="1:19" x14ac:dyDescent="0.35">
      <c r="A415" s="8" t="s">
        <v>867</v>
      </c>
      <c r="B415" s="8" t="s">
        <v>868</v>
      </c>
      <c r="C415" s="8" t="s">
        <v>19</v>
      </c>
      <c r="D415" s="8" t="str">
        <f t="shared" si="92"/>
        <v>Female</v>
      </c>
      <c r="E415" s="8">
        <v>26</v>
      </c>
      <c r="F415" s="8">
        <f t="shared" si="93"/>
        <v>26</v>
      </c>
      <c r="G415" s="8" t="s">
        <v>114</v>
      </c>
      <c r="H415" s="8" t="s">
        <v>115</v>
      </c>
      <c r="I415" s="8" t="s">
        <v>20</v>
      </c>
      <c r="J415" s="8">
        <v>2</v>
      </c>
      <c r="K415" s="8">
        <f t="shared" si="94"/>
        <v>2</v>
      </c>
      <c r="L415" s="8">
        <v>20</v>
      </c>
      <c r="M415" s="9">
        <f t="shared" si="95"/>
        <v>20</v>
      </c>
      <c r="N415" s="8">
        <v>1.3</v>
      </c>
      <c r="O415" s="10">
        <f t="shared" si="96"/>
        <v>1.3</v>
      </c>
      <c r="P415" s="8" t="s">
        <v>2050</v>
      </c>
      <c r="Q415" s="14">
        <v>0.83</v>
      </c>
      <c r="R415" s="12">
        <f>Q415</f>
        <v>0.83</v>
      </c>
      <c r="S415" s="12">
        <f t="shared" si="97"/>
        <v>0.83</v>
      </c>
    </row>
    <row r="416" spans="1:19" x14ac:dyDescent="0.35">
      <c r="A416" s="8" t="s">
        <v>869</v>
      </c>
      <c r="B416" s="8" t="s">
        <v>870</v>
      </c>
      <c r="C416" s="8" t="s">
        <v>7</v>
      </c>
      <c r="D416" s="8" t="str">
        <f t="shared" si="92"/>
        <v>Female</v>
      </c>
      <c r="E416" s="8">
        <v>44</v>
      </c>
      <c r="F416" s="8">
        <f t="shared" si="93"/>
        <v>44</v>
      </c>
      <c r="G416" s="8" t="s">
        <v>88</v>
      </c>
      <c r="H416" s="8" t="s">
        <v>89</v>
      </c>
      <c r="I416" s="8" t="s">
        <v>56</v>
      </c>
      <c r="J416" s="8">
        <v>22</v>
      </c>
      <c r="K416" s="8">
        <f t="shared" si="94"/>
        <v>22</v>
      </c>
      <c r="L416" s="8">
        <v>30</v>
      </c>
      <c r="M416" s="9">
        <f t="shared" si="95"/>
        <v>30</v>
      </c>
      <c r="N416" s="8">
        <v>4.0999999999999996</v>
      </c>
      <c r="O416" s="10">
        <f t="shared" si="96"/>
        <v>4.0999999999999996</v>
      </c>
      <c r="P416" s="8" t="s">
        <v>2051</v>
      </c>
      <c r="Q416" s="13"/>
      <c r="S416" s="12">
        <f t="shared" si="97"/>
        <v>0.79269417475728277</v>
      </c>
    </row>
    <row r="417" spans="1:19" x14ac:dyDescent="0.35">
      <c r="A417" s="8" t="s">
        <v>871</v>
      </c>
      <c r="B417" s="8" t="s">
        <v>872</v>
      </c>
      <c r="C417" s="8" t="s">
        <v>13</v>
      </c>
      <c r="D417" s="8" t="str">
        <f t="shared" si="92"/>
        <v>Male</v>
      </c>
      <c r="E417" s="8">
        <v>42</v>
      </c>
      <c r="F417" s="8">
        <f t="shared" si="93"/>
        <v>42</v>
      </c>
      <c r="G417" s="8" t="s">
        <v>151</v>
      </c>
      <c r="H417" s="8" t="s">
        <v>51</v>
      </c>
      <c r="I417" s="8" t="s">
        <v>90</v>
      </c>
      <c r="J417" s="8">
        <v>8</v>
      </c>
      <c r="K417" s="8">
        <f t="shared" si="94"/>
        <v>8</v>
      </c>
      <c r="L417" s="8">
        <v>50</v>
      </c>
      <c r="M417" s="9">
        <f t="shared" si="95"/>
        <v>50</v>
      </c>
      <c r="N417" s="8">
        <v>2.4</v>
      </c>
      <c r="O417" s="10">
        <f t="shared" si="96"/>
        <v>2.4</v>
      </c>
      <c r="P417" s="8" t="s">
        <v>2050</v>
      </c>
      <c r="Q417" s="14">
        <v>0.68</v>
      </c>
      <c r="R417" s="12">
        <f t="shared" ref="R417:R418" si="102">Q417</f>
        <v>0.68</v>
      </c>
      <c r="S417" s="12">
        <f t="shared" si="97"/>
        <v>0.68</v>
      </c>
    </row>
    <row r="418" spans="1:19" x14ac:dyDescent="0.35">
      <c r="A418" s="8" t="s">
        <v>873</v>
      </c>
      <c r="B418" s="8" t="s">
        <v>305</v>
      </c>
      <c r="C418" s="8" t="s">
        <v>70</v>
      </c>
      <c r="D418" s="8" t="str">
        <f t="shared" si="92"/>
        <v>Male</v>
      </c>
      <c r="E418" s="8">
        <v>38</v>
      </c>
      <c r="F418" s="8">
        <f t="shared" si="93"/>
        <v>38</v>
      </c>
      <c r="G418" s="8" t="s">
        <v>151</v>
      </c>
      <c r="H418" s="8" t="s">
        <v>51</v>
      </c>
      <c r="I418" s="8" t="s">
        <v>33</v>
      </c>
      <c r="J418" s="8">
        <v>9</v>
      </c>
      <c r="K418" s="8">
        <f t="shared" si="94"/>
        <v>9</v>
      </c>
      <c r="L418" s="8">
        <v>50</v>
      </c>
      <c r="M418" s="9">
        <f t="shared" si="95"/>
        <v>50</v>
      </c>
      <c r="N418" s="8">
        <v>0</v>
      </c>
      <c r="O418" s="11">
        <f t="shared" si="96"/>
        <v>0</v>
      </c>
      <c r="P418" s="8" t="s">
        <v>2050</v>
      </c>
      <c r="Q418" s="14">
        <v>0.74</v>
      </c>
      <c r="R418" s="12">
        <f t="shared" si="102"/>
        <v>0.74</v>
      </c>
      <c r="S418" s="12">
        <f t="shared" si="97"/>
        <v>0.74</v>
      </c>
    </row>
    <row r="419" spans="1:19" x14ac:dyDescent="0.35">
      <c r="A419" s="8" t="s">
        <v>874</v>
      </c>
      <c r="B419" s="8" t="s">
        <v>875</v>
      </c>
      <c r="C419" s="8" t="s">
        <v>13</v>
      </c>
      <c r="D419" s="8" t="str">
        <f t="shared" si="92"/>
        <v>Male</v>
      </c>
      <c r="E419" s="8">
        <v>51</v>
      </c>
      <c r="F419" s="8">
        <f t="shared" si="93"/>
        <v>51</v>
      </c>
      <c r="G419" s="8" t="s">
        <v>114</v>
      </c>
      <c r="H419" s="8" t="s">
        <v>115</v>
      </c>
      <c r="I419" s="8" t="s">
        <v>20</v>
      </c>
      <c r="J419" s="8">
        <v>32</v>
      </c>
      <c r="K419" s="8">
        <f t="shared" si="94"/>
        <v>32</v>
      </c>
      <c r="L419" s="8">
        <v>100</v>
      </c>
      <c r="M419" s="9">
        <f t="shared" si="95"/>
        <v>100</v>
      </c>
      <c r="N419" s="8">
        <v>4.4000000000000004</v>
      </c>
      <c r="O419" s="10">
        <f t="shared" si="96"/>
        <v>4.4000000000000004</v>
      </c>
      <c r="P419" s="8" t="s">
        <v>2050</v>
      </c>
      <c r="Q419" s="8">
        <v>91</v>
      </c>
      <c r="R419" s="12">
        <v>0.91</v>
      </c>
      <c r="S419" s="12">
        <f t="shared" si="97"/>
        <v>0.91</v>
      </c>
    </row>
    <row r="420" spans="1:19" x14ac:dyDescent="0.35">
      <c r="A420" s="8" t="s">
        <v>876</v>
      </c>
      <c r="B420" s="8" t="s">
        <v>877</v>
      </c>
      <c r="C420" s="8" t="s">
        <v>22</v>
      </c>
      <c r="D420" s="8" t="str">
        <f t="shared" si="92"/>
        <v>Female</v>
      </c>
      <c r="E420" s="8">
        <v>36</v>
      </c>
      <c r="F420" s="8">
        <f t="shared" si="93"/>
        <v>36</v>
      </c>
      <c r="G420" s="8" t="s">
        <v>110</v>
      </c>
      <c r="H420" s="8" t="s">
        <v>111</v>
      </c>
      <c r="I420" s="8" t="s">
        <v>27</v>
      </c>
      <c r="J420" s="8">
        <v>8</v>
      </c>
      <c r="K420" s="8">
        <f t="shared" si="94"/>
        <v>8</v>
      </c>
      <c r="L420" s="8">
        <v>100</v>
      </c>
      <c r="M420" s="9">
        <f t="shared" si="95"/>
        <v>100</v>
      </c>
      <c r="N420" s="8">
        <v>2.2000000000000002</v>
      </c>
      <c r="O420" s="10">
        <f t="shared" si="96"/>
        <v>2.2000000000000002</v>
      </c>
      <c r="P420" s="8" t="s">
        <v>2051</v>
      </c>
      <c r="Q420" s="14">
        <v>0.97</v>
      </c>
      <c r="R420" s="12">
        <f t="shared" ref="R420:R424" si="103">Q420</f>
        <v>0.97</v>
      </c>
      <c r="S420" s="12">
        <f t="shared" si="97"/>
        <v>0.97</v>
      </c>
    </row>
    <row r="421" spans="1:19" x14ac:dyDescent="0.35">
      <c r="A421" s="8" t="s">
        <v>878</v>
      </c>
      <c r="B421" s="8" t="s">
        <v>2024</v>
      </c>
      <c r="C421" s="8" t="s">
        <v>7</v>
      </c>
      <c r="D421" s="8" t="str">
        <f t="shared" si="92"/>
        <v>Female</v>
      </c>
      <c r="E421" s="8">
        <v>37</v>
      </c>
      <c r="F421" s="8">
        <f t="shared" si="93"/>
        <v>37</v>
      </c>
      <c r="G421" s="8" t="s">
        <v>8</v>
      </c>
      <c r="H421" s="8" t="s">
        <v>9</v>
      </c>
      <c r="I421" s="8" t="s">
        <v>10</v>
      </c>
      <c r="J421" s="8">
        <v>10</v>
      </c>
      <c r="K421" s="8">
        <f t="shared" si="94"/>
        <v>10</v>
      </c>
      <c r="L421" s="8">
        <v>30</v>
      </c>
      <c r="M421" s="9">
        <f t="shared" si="95"/>
        <v>30</v>
      </c>
      <c r="N421" s="8">
        <v>0</v>
      </c>
      <c r="O421" s="11">
        <f t="shared" si="96"/>
        <v>0</v>
      </c>
      <c r="P421" s="8" t="s">
        <v>2050</v>
      </c>
      <c r="Q421" s="14">
        <v>0.96</v>
      </c>
      <c r="R421" s="12">
        <f t="shared" si="103"/>
        <v>0.96</v>
      </c>
      <c r="S421" s="12">
        <f t="shared" si="97"/>
        <v>0.96</v>
      </c>
    </row>
    <row r="422" spans="1:19" x14ac:dyDescent="0.35">
      <c r="A422" s="8" t="s">
        <v>879</v>
      </c>
      <c r="B422" s="8" t="s">
        <v>880</v>
      </c>
      <c r="C422" s="8" t="s">
        <v>13</v>
      </c>
      <c r="D422" s="8" t="str">
        <f t="shared" si="92"/>
        <v>Male</v>
      </c>
      <c r="E422" s="8">
        <v>31</v>
      </c>
      <c r="F422" s="8">
        <f t="shared" si="93"/>
        <v>31</v>
      </c>
      <c r="G422" s="8" t="s">
        <v>128</v>
      </c>
      <c r="H422" s="8" t="s">
        <v>129</v>
      </c>
      <c r="I422" s="8" t="s">
        <v>67</v>
      </c>
      <c r="J422" s="8">
        <v>0</v>
      </c>
      <c r="K422" s="8">
        <f t="shared" si="94"/>
        <v>0</v>
      </c>
      <c r="L422" s="8">
        <v>50</v>
      </c>
      <c r="M422" s="9">
        <f t="shared" si="95"/>
        <v>50</v>
      </c>
      <c r="N422" s="8">
        <v>1.1000000000000001</v>
      </c>
      <c r="O422" s="10">
        <f t="shared" si="96"/>
        <v>1.1000000000000001</v>
      </c>
      <c r="P422" s="8" t="s">
        <v>2051</v>
      </c>
      <c r="Q422" s="14">
        <v>0.73</v>
      </c>
      <c r="R422" s="12">
        <f t="shared" si="103"/>
        <v>0.73</v>
      </c>
      <c r="S422" s="12">
        <f t="shared" si="97"/>
        <v>0.73</v>
      </c>
    </row>
    <row r="423" spans="1:19" x14ac:dyDescent="0.35">
      <c r="A423" s="8" t="s">
        <v>881</v>
      </c>
      <c r="B423" s="8" t="s">
        <v>882</v>
      </c>
      <c r="C423" s="8" t="s">
        <v>1</v>
      </c>
      <c r="D423" s="8" t="str">
        <f t="shared" si="92"/>
        <v>Female</v>
      </c>
      <c r="E423" s="8">
        <v>47</v>
      </c>
      <c r="F423" s="8">
        <f t="shared" si="93"/>
        <v>47</v>
      </c>
      <c r="G423" s="8" t="s">
        <v>71</v>
      </c>
      <c r="H423" s="8" t="s">
        <v>72</v>
      </c>
      <c r="I423" s="8" t="s">
        <v>56</v>
      </c>
      <c r="J423" s="8">
        <v>22</v>
      </c>
      <c r="K423" s="8">
        <f t="shared" si="94"/>
        <v>22</v>
      </c>
      <c r="L423" s="13"/>
      <c r="M423" s="9">
        <f t="shared" si="95"/>
        <v>40</v>
      </c>
      <c r="N423" s="8">
        <v>1.4</v>
      </c>
      <c r="O423" s="10">
        <f t="shared" si="96"/>
        <v>1.4</v>
      </c>
      <c r="P423" s="8" t="s">
        <v>2051</v>
      </c>
      <c r="Q423" s="14">
        <v>0.72</v>
      </c>
      <c r="R423" s="12">
        <f t="shared" si="103"/>
        <v>0.72</v>
      </c>
      <c r="S423" s="12">
        <f t="shared" si="97"/>
        <v>0.72</v>
      </c>
    </row>
    <row r="424" spans="1:19" x14ac:dyDescent="0.35">
      <c r="A424" s="8" t="s">
        <v>883</v>
      </c>
      <c r="B424" s="8" t="s">
        <v>884</v>
      </c>
      <c r="C424" s="8" t="s">
        <v>22</v>
      </c>
      <c r="D424" s="8" t="str">
        <f t="shared" si="92"/>
        <v>Female</v>
      </c>
      <c r="E424" s="8">
        <v>60</v>
      </c>
      <c r="F424" s="8">
        <f t="shared" si="93"/>
        <v>60</v>
      </c>
      <c r="G424" s="8" t="s">
        <v>151</v>
      </c>
      <c r="H424" s="8" t="s">
        <v>51</v>
      </c>
      <c r="I424" s="8" t="s">
        <v>52</v>
      </c>
      <c r="J424" s="8">
        <v>34</v>
      </c>
      <c r="K424" s="8">
        <f t="shared" si="94"/>
        <v>34</v>
      </c>
      <c r="L424" s="8">
        <v>100</v>
      </c>
      <c r="M424" s="9">
        <f t="shared" si="95"/>
        <v>100</v>
      </c>
      <c r="N424" s="8">
        <v>0</v>
      </c>
      <c r="O424" s="11">
        <f t="shared" si="96"/>
        <v>0</v>
      </c>
      <c r="P424" s="8" t="s">
        <v>2051</v>
      </c>
      <c r="Q424" s="14">
        <v>0.74</v>
      </c>
      <c r="R424" s="12">
        <f t="shared" si="103"/>
        <v>0.74</v>
      </c>
      <c r="S424" s="12">
        <f t="shared" si="97"/>
        <v>0.74</v>
      </c>
    </row>
    <row r="425" spans="1:19" x14ac:dyDescent="0.35">
      <c r="A425" s="8" t="s">
        <v>885</v>
      </c>
      <c r="B425" s="8" t="s">
        <v>886</v>
      </c>
      <c r="C425" s="8" t="s">
        <v>7</v>
      </c>
      <c r="D425" s="8" t="str">
        <f t="shared" si="92"/>
        <v>Female</v>
      </c>
      <c r="E425" s="8">
        <v>48</v>
      </c>
      <c r="F425" s="8">
        <f t="shared" si="93"/>
        <v>48</v>
      </c>
      <c r="G425" s="8" t="s">
        <v>50</v>
      </c>
      <c r="H425" s="8" t="s">
        <v>51</v>
      </c>
      <c r="I425" s="8" t="s">
        <v>10</v>
      </c>
      <c r="J425" s="8">
        <v>5</v>
      </c>
      <c r="K425" s="8">
        <f t="shared" si="94"/>
        <v>5</v>
      </c>
      <c r="L425" s="8">
        <v>30</v>
      </c>
      <c r="M425" s="9">
        <f t="shared" si="95"/>
        <v>30</v>
      </c>
      <c r="N425" s="8">
        <v>1.5</v>
      </c>
      <c r="O425" s="10">
        <f t="shared" si="96"/>
        <v>1.5</v>
      </c>
      <c r="P425" s="8" t="s">
        <v>2050</v>
      </c>
      <c r="Q425" s="13"/>
      <c r="S425" s="12">
        <f t="shared" si="97"/>
        <v>0.79269417475728277</v>
      </c>
    </row>
    <row r="426" spans="1:19" x14ac:dyDescent="0.35">
      <c r="A426" s="8" t="s">
        <v>887</v>
      </c>
      <c r="B426" s="8" t="s">
        <v>888</v>
      </c>
      <c r="C426" s="8" t="s">
        <v>19</v>
      </c>
      <c r="D426" s="8" t="str">
        <f t="shared" si="92"/>
        <v>Female</v>
      </c>
      <c r="E426" s="8">
        <v>24</v>
      </c>
      <c r="F426" s="8">
        <f t="shared" si="93"/>
        <v>24</v>
      </c>
      <c r="G426" s="8" t="s">
        <v>71</v>
      </c>
      <c r="H426" s="8" t="s">
        <v>72</v>
      </c>
      <c r="I426" s="8" t="s">
        <v>27</v>
      </c>
      <c r="J426" s="8">
        <v>3</v>
      </c>
      <c r="K426" s="8">
        <f t="shared" si="94"/>
        <v>3</v>
      </c>
      <c r="L426" s="8">
        <v>20</v>
      </c>
      <c r="M426" s="9">
        <f t="shared" si="95"/>
        <v>20</v>
      </c>
      <c r="N426" s="8">
        <v>0</v>
      </c>
      <c r="O426" s="11">
        <f t="shared" si="96"/>
        <v>0</v>
      </c>
      <c r="P426" s="8" t="s">
        <v>2051</v>
      </c>
      <c r="Q426" s="13"/>
      <c r="S426" s="12">
        <f t="shared" si="97"/>
        <v>0.79269417475728277</v>
      </c>
    </row>
    <row r="427" spans="1:19" x14ac:dyDescent="0.35">
      <c r="A427" s="8" t="s">
        <v>889</v>
      </c>
      <c r="B427" s="8" t="s">
        <v>890</v>
      </c>
      <c r="C427" s="8" t="s">
        <v>7</v>
      </c>
      <c r="D427" s="8" t="str">
        <f t="shared" si="92"/>
        <v>Female</v>
      </c>
      <c r="E427" s="8">
        <v>35</v>
      </c>
      <c r="F427" s="8">
        <f t="shared" si="93"/>
        <v>35</v>
      </c>
      <c r="G427" s="8" t="s">
        <v>25</v>
      </c>
      <c r="H427" s="8" t="s">
        <v>26</v>
      </c>
      <c r="I427" s="8" t="s">
        <v>90</v>
      </c>
      <c r="J427" s="8">
        <v>10</v>
      </c>
      <c r="K427" s="8">
        <f t="shared" si="94"/>
        <v>10</v>
      </c>
      <c r="L427" s="8">
        <v>75</v>
      </c>
      <c r="M427" s="9">
        <f t="shared" si="95"/>
        <v>75</v>
      </c>
      <c r="N427" s="8">
        <v>0</v>
      </c>
      <c r="O427" s="11">
        <f t="shared" si="96"/>
        <v>0</v>
      </c>
      <c r="P427" s="13" t="s">
        <v>2050</v>
      </c>
      <c r="Q427" s="14">
        <v>0.74</v>
      </c>
      <c r="R427" s="12">
        <f t="shared" ref="R427:R432" si="104">Q427</f>
        <v>0.74</v>
      </c>
      <c r="S427" s="12">
        <f t="shared" si="97"/>
        <v>0.74</v>
      </c>
    </row>
    <row r="428" spans="1:19" x14ac:dyDescent="0.35">
      <c r="A428" s="8" t="s">
        <v>891</v>
      </c>
      <c r="B428" s="8" t="s">
        <v>892</v>
      </c>
      <c r="C428" s="8" t="s">
        <v>41</v>
      </c>
      <c r="D428" s="8" t="str">
        <f t="shared" si="92"/>
        <v>Male</v>
      </c>
      <c r="E428" s="8">
        <v>35</v>
      </c>
      <c r="F428" s="8">
        <f t="shared" si="93"/>
        <v>35</v>
      </c>
      <c r="G428" s="8" t="s">
        <v>38</v>
      </c>
      <c r="H428" s="8" t="s">
        <v>9</v>
      </c>
      <c r="I428" s="8" t="s">
        <v>67</v>
      </c>
      <c r="J428" s="13"/>
      <c r="K428" s="8">
        <f t="shared" si="94"/>
        <v>9</v>
      </c>
      <c r="L428" s="8">
        <v>100</v>
      </c>
      <c r="M428" s="9">
        <f t="shared" si="95"/>
        <v>100</v>
      </c>
      <c r="N428" s="8">
        <v>3.5</v>
      </c>
      <c r="O428" s="10">
        <f t="shared" si="96"/>
        <v>3.5</v>
      </c>
      <c r="P428" s="8" t="s">
        <v>2051</v>
      </c>
      <c r="Q428" s="14">
        <v>0.71</v>
      </c>
      <c r="R428" s="12">
        <f t="shared" si="104"/>
        <v>0.71</v>
      </c>
      <c r="S428" s="12">
        <f t="shared" si="97"/>
        <v>0.71</v>
      </c>
    </row>
    <row r="429" spans="1:19" x14ac:dyDescent="0.35">
      <c r="A429" s="8" t="s">
        <v>893</v>
      </c>
      <c r="B429" s="8" t="s">
        <v>894</v>
      </c>
      <c r="C429" s="8" t="s">
        <v>55</v>
      </c>
      <c r="D429" s="8" t="str">
        <f t="shared" si="92"/>
        <v>Female</v>
      </c>
      <c r="E429" s="8">
        <v>29</v>
      </c>
      <c r="F429" s="8">
        <f t="shared" si="93"/>
        <v>29</v>
      </c>
      <c r="G429" s="8" t="s">
        <v>25</v>
      </c>
      <c r="H429" s="8" t="s">
        <v>26</v>
      </c>
      <c r="I429" s="8" t="s">
        <v>52</v>
      </c>
      <c r="J429" s="8">
        <v>6</v>
      </c>
      <c r="K429" s="8">
        <f t="shared" si="94"/>
        <v>6</v>
      </c>
      <c r="L429" s="13"/>
      <c r="M429" s="9">
        <f t="shared" si="95"/>
        <v>40</v>
      </c>
      <c r="N429" s="8">
        <v>4.8</v>
      </c>
      <c r="O429" s="10">
        <f t="shared" si="96"/>
        <v>4.8</v>
      </c>
      <c r="P429" s="8" t="s">
        <v>2050</v>
      </c>
      <c r="Q429" s="14">
        <v>0.83</v>
      </c>
      <c r="R429" s="12">
        <f t="shared" si="104"/>
        <v>0.83</v>
      </c>
      <c r="S429" s="12">
        <f t="shared" si="97"/>
        <v>0.83</v>
      </c>
    </row>
    <row r="430" spans="1:19" x14ac:dyDescent="0.35">
      <c r="A430" s="8" t="s">
        <v>895</v>
      </c>
      <c r="B430" s="8" t="s">
        <v>896</v>
      </c>
      <c r="C430" s="8" t="s">
        <v>55</v>
      </c>
      <c r="D430" s="8" t="str">
        <f t="shared" si="92"/>
        <v>Female</v>
      </c>
      <c r="E430" s="8">
        <v>36</v>
      </c>
      <c r="F430" s="8">
        <f t="shared" si="93"/>
        <v>36</v>
      </c>
      <c r="G430" s="8" t="s">
        <v>2</v>
      </c>
      <c r="H430" s="8" t="s">
        <v>3</v>
      </c>
      <c r="I430" s="8" t="s">
        <v>90</v>
      </c>
      <c r="J430" s="8">
        <v>1</v>
      </c>
      <c r="K430" s="8">
        <f t="shared" si="94"/>
        <v>1</v>
      </c>
      <c r="L430" s="8">
        <v>75</v>
      </c>
      <c r="M430" s="9">
        <f t="shared" si="95"/>
        <v>75</v>
      </c>
      <c r="O430" s="10">
        <f t="shared" si="96"/>
        <v>2.5125695216907653</v>
      </c>
      <c r="P430" s="13" t="s">
        <v>2050</v>
      </c>
      <c r="Q430" s="14">
        <v>0.63</v>
      </c>
      <c r="R430" s="12">
        <f t="shared" si="104"/>
        <v>0.63</v>
      </c>
      <c r="S430" s="12">
        <f t="shared" si="97"/>
        <v>0.63</v>
      </c>
    </row>
    <row r="431" spans="1:19" x14ac:dyDescent="0.35">
      <c r="A431" s="8" t="s">
        <v>897</v>
      </c>
      <c r="B431" s="8" t="s">
        <v>898</v>
      </c>
      <c r="C431" s="8" t="s">
        <v>7</v>
      </c>
      <c r="D431" s="8" t="str">
        <f t="shared" si="92"/>
        <v>Female</v>
      </c>
      <c r="E431" s="8">
        <v>44</v>
      </c>
      <c r="F431" s="8">
        <f t="shared" si="93"/>
        <v>44</v>
      </c>
      <c r="G431" s="8" t="s">
        <v>103</v>
      </c>
      <c r="H431" s="8" t="s">
        <v>9</v>
      </c>
      <c r="I431" s="8" t="s">
        <v>27</v>
      </c>
      <c r="J431" s="8">
        <v>0</v>
      </c>
      <c r="K431" s="8">
        <f t="shared" si="94"/>
        <v>0</v>
      </c>
      <c r="L431" s="13"/>
      <c r="M431" s="9">
        <f t="shared" si="95"/>
        <v>40</v>
      </c>
      <c r="N431" s="8">
        <v>4.8</v>
      </c>
      <c r="O431" s="10">
        <f t="shared" si="96"/>
        <v>4.8</v>
      </c>
      <c r="P431" s="13" t="s">
        <v>2050</v>
      </c>
      <c r="Q431" s="14">
        <v>0.84</v>
      </c>
      <c r="R431" s="12">
        <f t="shared" si="104"/>
        <v>0.84</v>
      </c>
      <c r="S431" s="12">
        <f t="shared" si="97"/>
        <v>0.84</v>
      </c>
    </row>
    <row r="432" spans="1:19" x14ac:dyDescent="0.35">
      <c r="A432" s="8" t="s">
        <v>899</v>
      </c>
      <c r="B432" s="8" t="s">
        <v>900</v>
      </c>
      <c r="C432" s="8" t="s">
        <v>41</v>
      </c>
      <c r="D432" s="8" t="str">
        <f t="shared" si="92"/>
        <v>Male</v>
      </c>
      <c r="E432" s="8">
        <v>44</v>
      </c>
      <c r="F432" s="8">
        <f t="shared" si="93"/>
        <v>44</v>
      </c>
      <c r="G432" s="8" t="s">
        <v>128</v>
      </c>
      <c r="H432" s="8" t="s">
        <v>129</v>
      </c>
      <c r="I432" s="8" t="s">
        <v>20</v>
      </c>
      <c r="J432" s="13"/>
      <c r="K432" s="8">
        <f t="shared" si="94"/>
        <v>9</v>
      </c>
      <c r="L432" s="13"/>
      <c r="M432" s="9">
        <f t="shared" si="95"/>
        <v>40</v>
      </c>
      <c r="N432" s="8">
        <v>1.4</v>
      </c>
      <c r="O432" s="10">
        <f t="shared" si="96"/>
        <v>1.4</v>
      </c>
      <c r="P432" s="8" t="s">
        <v>2050</v>
      </c>
      <c r="Q432" s="14">
        <v>0.93</v>
      </c>
      <c r="R432" s="12">
        <f t="shared" si="104"/>
        <v>0.93</v>
      </c>
      <c r="S432" s="12">
        <f t="shared" si="97"/>
        <v>0.93</v>
      </c>
    </row>
    <row r="433" spans="1:19" x14ac:dyDescent="0.35">
      <c r="A433" s="8" t="s">
        <v>901</v>
      </c>
      <c r="B433" s="8" t="s">
        <v>2018</v>
      </c>
      <c r="C433" s="8" t="s">
        <v>30</v>
      </c>
      <c r="D433" s="8" t="str">
        <f t="shared" si="92"/>
        <v>Male</v>
      </c>
      <c r="E433" s="8">
        <v>40</v>
      </c>
      <c r="F433" s="8">
        <f t="shared" si="93"/>
        <v>40</v>
      </c>
      <c r="G433" s="8" t="s">
        <v>71</v>
      </c>
      <c r="H433" s="8" t="s">
        <v>72</v>
      </c>
      <c r="I433" s="8" t="s">
        <v>27</v>
      </c>
      <c r="J433" s="8">
        <v>13</v>
      </c>
      <c r="K433" s="8">
        <f t="shared" si="94"/>
        <v>13</v>
      </c>
      <c r="L433" s="8">
        <v>100</v>
      </c>
      <c r="M433" s="9">
        <f t="shared" si="95"/>
        <v>100</v>
      </c>
      <c r="N433" s="8">
        <v>1.1000000000000001</v>
      </c>
      <c r="O433" s="10">
        <f t="shared" si="96"/>
        <v>1.1000000000000001</v>
      </c>
      <c r="P433" s="8" t="s">
        <v>2051</v>
      </c>
      <c r="Q433" s="13"/>
      <c r="S433" s="12">
        <f t="shared" si="97"/>
        <v>0.79269417475728277</v>
      </c>
    </row>
    <row r="434" spans="1:19" x14ac:dyDescent="0.35">
      <c r="A434" s="8" t="s">
        <v>902</v>
      </c>
      <c r="B434" s="8" t="s">
        <v>903</v>
      </c>
      <c r="C434" s="8" t="s">
        <v>19</v>
      </c>
      <c r="D434" s="8" t="str">
        <f t="shared" si="92"/>
        <v>Female</v>
      </c>
      <c r="E434" s="8">
        <v>53</v>
      </c>
      <c r="F434" s="8">
        <f t="shared" si="93"/>
        <v>53</v>
      </c>
      <c r="G434" s="8" t="s">
        <v>25</v>
      </c>
      <c r="H434" s="8" t="s">
        <v>26</v>
      </c>
      <c r="I434" s="8" t="s">
        <v>90</v>
      </c>
      <c r="J434" s="8">
        <v>13</v>
      </c>
      <c r="K434" s="8">
        <f t="shared" si="94"/>
        <v>13</v>
      </c>
      <c r="L434" s="8">
        <v>50</v>
      </c>
      <c r="M434" s="9">
        <f t="shared" si="95"/>
        <v>50</v>
      </c>
      <c r="N434" s="8">
        <v>3.3</v>
      </c>
      <c r="O434" s="10">
        <f t="shared" si="96"/>
        <v>3.3</v>
      </c>
      <c r="P434" s="8" t="s">
        <v>2051</v>
      </c>
      <c r="Q434" s="14">
        <v>0.93</v>
      </c>
      <c r="R434" s="12">
        <f t="shared" ref="R434:R443" si="105">Q434</f>
        <v>0.93</v>
      </c>
      <c r="S434" s="12">
        <f t="shared" si="97"/>
        <v>0.93</v>
      </c>
    </row>
    <row r="435" spans="1:19" x14ac:dyDescent="0.35">
      <c r="A435" s="8" t="s">
        <v>904</v>
      </c>
      <c r="B435" s="8" t="s">
        <v>905</v>
      </c>
      <c r="C435" s="8" t="s">
        <v>1</v>
      </c>
      <c r="D435" s="8" t="str">
        <f t="shared" si="92"/>
        <v>Female</v>
      </c>
      <c r="E435" s="8">
        <v>35</v>
      </c>
      <c r="F435" s="8">
        <f t="shared" si="93"/>
        <v>35</v>
      </c>
      <c r="G435" s="8" t="s">
        <v>14</v>
      </c>
      <c r="H435" s="8" t="s">
        <v>15</v>
      </c>
      <c r="I435" s="8" t="s">
        <v>4</v>
      </c>
      <c r="J435" s="8">
        <v>0</v>
      </c>
      <c r="K435" s="8">
        <f t="shared" si="94"/>
        <v>0</v>
      </c>
      <c r="L435" s="8">
        <v>30</v>
      </c>
      <c r="M435" s="9">
        <f t="shared" si="95"/>
        <v>30</v>
      </c>
      <c r="N435" s="8">
        <v>4.5999999999999996</v>
      </c>
      <c r="O435" s="10">
        <f t="shared" si="96"/>
        <v>4.5999999999999996</v>
      </c>
      <c r="P435" s="13" t="s">
        <v>2050</v>
      </c>
      <c r="Q435" s="14">
        <v>0.97</v>
      </c>
      <c r="R435" s="12">
        <f t="shared" si="105"/>
        <v>0.97</v>
      </c>
      <c r="S435" s="12">
        <f t="shared" si="97"/>
        <v>0.97</v>
      </c>
    </row>
    <row r="436" spans="1:19" x14ac:dyDescent="0.35">
      <c r="A436" s="8" t="s">
        <v>906</v>
      </c>
      <c r="B436" s="8" t="s">
        <v>907</v>
      </c>
      <c r="C436" s="8" t="s">
        <v>7</v>
      </c>
      <c r="D436" s="8" t="str">
        <f t="shared" si="92"/>
        <v>Female</v>
      </c>
      <c r="E436" s="8">
        <v>27</v>
      </c>
      <c r="F436" s="8">
        <f t="shared" si="93"/>
        <v>27</v>
      </c>
      <c r="G436" s="8" t="s">
        <v>50</v>
      </c>
      <c r="H436" s="8" t="s">
        <v>51</v>
      </c>
      <c r="I436" s="8" t="s">
        <v>90</v>
      </c>
      <c r="J436" s="8">
        <v>7</v>
      </c>
      <c r="K436" s="8">
        <f t="shared" si="94"/>
        <v>7</v>
      </c>
      <c r="L436" s="8">
        <v>75</v>
      </c>
      <c r="M436" s="9">
        <f t="shared" si="95"/>
        <v>75</v>
      </c>
      <c r="N436" s="8">
        <v>2.8</v>
      </c>
      <c r="O436" s="10">
        <f t="shared" si="96"/>
        <v>2.8</v>
      </c>
      <c r="P436" s="8" t="s">
        <v>2051</v>
      </c>
      <c r="Q436" s="14">
        <v>0.92</v>
      </c>
      <c r="R436" s="12">
        <f t="shared" si="105"/>
        <v>0.92</v>
      </c>
      <c r="S436" s="12">
        <f t="shared" si="97"/>
        <v>0.92</v>
      </c>
    </row>
    <row r="437" spans="1:19" x14ac:dyDescent="0.35">
      <c r="A437" s="8" t="s">
        <v>908</v>
      </c>
      <c r="B437" s="8" t="s">
        <v>909</v>
      </c>
      <c r="C437" s="8" t="s">
        <v>41</v>
      </c>
      <c r="D437" s="8" t="str">
        <f t="shared" si="92"/>
        <v>Male</v>
      </c>
      <c r="E437" s="8">
        <v>34</v>
      </c>
      <c r="F437" s="8">
        <f t="shared" si="93"/>
        <v>34</v>
      </c>
      <c r="G437" s="8" t="s">
        <v>8</v>
      </c>
      <c r="H437" s="8" t="s">
        <v>9</v>
      </c>
      <c r="I437" s="8" t="s">
        <v>67</v>
      </c>
      <c r="J437" s="8">
        <v>6</v>
      </c>
      <c r="K437" s="8">
        <f t="shared" si="94"/>
        <v>6</v>
      </c>
      <c r="L437" s="8">
        <v>50</v>
      </c>
      <c r="M437" s="9">
        <f t="shared" si="95"/>
        <v>50</v>
      </c>
      <c r="N437" s="8">
        <v>5</v>
      </c>
      <c r="O437" s="10">
        <f t="shared" si="96"/>
        <v>5</v>
      </c>
      <c r="P437" s="8" t="s">
        <v>2051</v>
      </c>
      <c r="Q437" s="14">
        <v>0.92</v>
      </c>
      <c r="R437" s="12">
        <f t="shared" si="105"/>
        <v>0.92</v>
      </c>
      <c r="S437" s="12">
        <f t="shared" si="97"/>
        <v>0.92</v>
      </c>
    </row>
    <row r="438" spans="1:19" x14ac:dyDescent="0.35">
      <c r="A438" s="8" t="s">
        <v>910</v>
      </c>
      <c r="B438" s="8" t="s">
        <v>911</v>
      </c>
      <c r="C438" s="8" t="s">
        <v>13</v>
      </c>
      <c r="D438" s="8" t="str">
        <f t="shared" si="92"/>
        <v>Male</v>
      </c>
      <c r="E438" s="8">
        <v>24</v>
      </c>
      <c r="F438" s="8">
        <f t="shared" si="93"/>
        <v>24</v>
      </c>
      <c r="G438" s="8" t="s">
        <v>71</v>
      </c>
      <c r="H438" s="8" t="s">
        <v>72</v>
      </c>
      <c r="I438" s="8" t="s">
        <v>56</v>
      </c>
      <c r="J438" s="8">
        <v>2</v>
      </c>
      <c r="K438" s="8">
        <f t="shared" si="94"/>
        <v>2</v>
      </c>
      <c r="L438" s="8">
        <v>75</v>
      </c>
      <c r="M438" s="9">
        <f t="shared" si="95"/>
        <v>75</v>
      </c>
      <c r="N438" s="8">
        <v>4.7</v>
      </c>
      <c r="O438" s="10">
        <f t="shared" si="96"/>
        <v>4.7</v>
      </c>
      <c r="P438" s="8" t="s">
        <v>2050</v>
      </c>
      <c r="Q438" s="14">
        <v>0.68</v>
      </c>
      <c r="R438" s="12">
        <f t="shared" si="105"/>
        <v>0.68</v>
      </c>
      <c r="S438" s="12">
        <f t="shared" si="97"/>
        <v>0.68</v>
      </c>
    </row>
    <row r="439" spans="1:19" x14ac:dyDescent="0.35">
      <c r="A439" s="8" t="s">
        <v>912</v>
      </c>
      <c r="B439" s="8" t="s">
        <v>913</v>
      </c>
      <c r="C439" s="8" t="s">
        <v>13</v>
      </c>
      <c r="D439" s="8" t="str">
        <f t="shared" si="92"/>
        <v>Male</v>
      </c>
      <c r="E439" s="8">
        <v>57</v>
      </c>
      <c r="F439" s="8">
        <f t="shared" si="93"/>
        <v>57</v>
      </c>
      <c r="G439" s="8" t="s">
        <v>38</v>
      </c>
      <c r="H439" s="8" t="s">
        <v>9</v>
      </c>
      <c r="I439" s="8" t="s">
        <v>52</v>
      </c>
      <c r="J439" s="8">
        <v>13</v>
      </c>
      <c r="K439" s="8">
        <f t="shared" si="94"/>
        <v>13</v>
      </c>
      <c r="L439" s="8">
        <v>100</v>
      </c>
      <c r="M439" s="9">
        <f t="shared" si="95"/>
        <v>100</v>
      </c>
      <c r="N439" s="8">
        <v>3.5</v>
      </c>
      <c r="O439" s="10">
        <f t="shared" si="96"/>
        <v>3.5</v>
      </c>
      <c r="P439" s="8" t="s">
        <v>2050</v>
      </c>
      <c r="Q439" s="14">
        <v>0.95</v>
      </c>
      <c r="R439" s="12">
        <f t="shared" si="105"/>
        <v>0.95</v>
      </c>
      <c r="S439" s="12">
        <f t="shared" si="97"/>
        <v>0.95</v>
      </c>
    </row>
    <row r="440" spans="1:19" x14ac:dyDescent="0.35">
      <c r="A440" s="8" t="s">
        <v>914</v>
      </c>
      <c r="B440" s="8" t="s">
        <v>915</v>
      </c>
      <c r="C440" s="8" t="s">
        <v>30</v>
      </c>
      <c r="D440" s="8" t="str">
        <f t="shared" si="92"/>
        <v>Male</v>
      </c>
      <c r="E440" s="8">
        <v>28</v>
      </c>
      <c r="F440" s="8">
        <f t="shared" si="93"/>
        <v>28</v>
      </c>
      <c r="G440" s="8" t="s">
        <v>88</v>
      </c>
      <c r="H440" s="8" t="s">
        <v>89</v>
      </c>
      <c r="I440" s="8" t="s">
        <v>52</v>
      </c>
      <c r="J440" s="8">
        <v>7</v>
      </c>
      <c r="K440" s="8">
        <f t="shared" si="94"/>
        <v>7</v>
      </c>
      <c r="L440" s="8">
        <v>100</v>
      </c>
      <c r="M440" s="9">
        <f t="shared" si="95"/>
        <v>100</v>
      </c>
      <c r="N440" s="8">
        <v>4.3</v>
      </c>
      <c r="O440" s="10">
        <f t="shared" si="96"/>
        <v>4.3</v>
      </c>
      <c r="P440" s="8" t="s">
        <v>2050</v>
      </c>
      <c r="Q440" s="14">
        <v>0.76</v>
      </c>
      <c r="R440" s="12">
        <f t="shared" si="105"/>
        <v>0.76</v>
      </c>
      <c r="S440" s="12">
        <f t="shared" si="97"/>
        <v>0.76</v>
      </c>
    </row>
    <row r="441" spans="1:19" x14ac:dyDescent="0.35">
      <c r="A441" s="8" t="s">
        <v>916</v>
      </c>
      <c r="B441" s="8" t="s">
        <v>917</v>
      </c>
      <c r="C441" s="8" t="s">
        <v>19</v>
      </c>
      <c r="D441" s="8" t="str">
        <f t="shared" si="92"/>
        <v>Female</v>
      </c>
      <c r="E441" s="8">
        <v>26</v>
      </c>
      <c r="F441" s="8">
        <f t="shared" si="93"/>
        <v>26</v>
      </c>
      <c r="G441" s="8" t="s">
        <v>2</v>
      </c>
      <c r="H441" s="8" t="s">
        <v>3</v>
      </c>
      <c r="I441" s="8" t="s">
        <v>67</v>
      </c>
      <c r="J441" s="8">
        <v>7</v>
      </c>
      <c r="K441" s="8">
        <f t="shared" si="94"/>
        <v>7</v>
      </c>
      <c r="L441" s="8">
        <v>100</v>
      </c>
      <c r="M441" s="9">
        <f t="shared" si="95"/>
        <v>100</v>
      </c>
      <c r="N441" s="8">
        <v>3.3</v>
      </c>
      <c r="O441" s="10">
        <f t="shared" si="96"/>
        <v>3.3</v>
      </c>
      <c r="P441" s="8" t="s">
        <v>2051</v>
      </c>
      <c r="Q441" s="14">
        <v>0.66</v>
      </c>
      <c r="R441" s="12">
        <f t="shared" si="105"/>
        <v>0.66</v>
      </c>
      <c r="S441" s="12">
        <f t="shared" si="97"/>
        <v>0.66</v>
      </c>
    </row>
    <row r="442" spans="1:19" x14ac:dyDescent="0.35">
      <c r="A442" s="8" t="s">
        <v>918</v>
      </c>
      <c r="B442" s="8" t="s">
        <v>919</v>
      </c>
      <c r="C442" s="8" t="s">
        <v>75</v>
      </c>
      <c r="D442" s="8" t="str">
        <f t="shared" si="92"/>
        <v>Male</v>
      </c>
      <c r="E442" s="8">
        <v>34</v>
      </c>
      <c r="F442" s="8">
        <f t="shared" si="93"/>
        <v>34</v>
      </c>
      <c r="G442" s="8" t="s">
        <v>50</v>
      </c>
      <c r="H442" s="8" t="s">
        <v>51</v>
      </c>
      <c r="I442" s="8" t="s">
        <v>10</v>
      </c>
      <c r="J442" s="8">
        <v>15</v>
      </c>
      <c r="K442" s="8">
        <f t="shared" si="94"/>
        <v>15</v>
      </c>
      <c r="L442" s="8">
        <v>75</v>
      </c>
      <c r="M442" s="9">
        <f t="shared" si="95"/>
        <v>75</v>
      </c>
      <c r="O442" s="10">
        <f t="shared" si="96"/>
        <v>2.5125695216907653</v>
      </c>
      <c r="P442" s="8" t="s">
        <v>2050</v>
      </c>
      <c r="Q442" s="14">
        <v>0.73</v>
      </c>
      <c r="R442" s="12">
        <f t="shared" si="105"/>
        <v>0.73</v>
      </c>
      <c r="S442" s="12">
        <f t="shared" si="97"/>
        <v>0.73</v>
      </c>
    </row>
    <row r="443" spans="1:19" x14ac:dyDescent="0.35">
      <c r="A443" s="8" t="s">
        <v>920</v>
      </c>
      <c r="B443" s="8" t="s">
        <v>921</v>
      </c>
      <c r="C443" s="8" t="s">
        <v>75</v>
      </c>
      <c r="D443" s="8" t="str">
        <f t="shared" si="92"/>
        <v>Male</v>
      </c>
      <c r="E443" s="8">
        <v>43</v>
      </c>
      <c r="F443" s="8">
        <f t="shared" si="93"/>
        <v>43</v>
      </c>
      <c r="G443" s="8" t="s">
        <v>63</v>
      </c>
      <c r="H443" s="8" t="s">
        <v>64</v>
      </c>
      <c r="I443" s="8" t="s">
        <v>27</v>
      </c>
      <c r="J443" s="13"/>
      <c r="K443" s="8">
        <f t="shared" si="94"/>
        <v>9</v>
      </c>
      <c r="L443" s="8">
        <v>20</v>
      </c>
      <c r="M443" s="9">
        <f t="shared" si="95"/>
        <v>20</v>
      </c>
      <c r="N443" s="8">
        <v>2.8</v>
      </c>
      <c r="O443" s="10">
        <f t="shared" si="96"/>
        <v>2.8</v>
      </c>
      <c r="P443" s="13" t="s">
        <v>2050</v>
      </c>
      <c r="Q443" s="14">
        <v>0.99</v>
      </c>
      <c r="R443" s="12">
        <f t="shared" si="105"/>
        <v>0.99</v>
      </c>
      <c r="S443" s="12">
        <f t="shared" si="97"/>
        <v>0.99</v>
      </c>
    </row>
    <row r="444" spans="1:19" x14ac:dyDescent="0.35">
      <c r="A444" s="8" t="s">
        <v>922</v>
      </c>
      <c r="B444" s="8" t="s">
        <v>923</v>
      </c>
      <c r="C444" s="8" t="s">
        <v>70</v>
      </c>
      <c r="D444" s="8" t="str">
        <f t="shared" si="92"/>
        <v>Male</v>
      </c>
      <c r="E444" s="8">
        <v>31</v>
      </c>
      <c r="F444" s="8">
        <f t="shared" si="93"/>
        <v>31</v>
      </c>
      <c r="G444" s="8" t="s">
        <v>147</v>
      </c>
      <c r="H444" s="8" t="s">
        <v>148</v>
      </c>
      <c r="I444" s="8" t="s">
        <v>16</v>
      </c>
      <c r="J444" s="8">
        <v>5</v>
      </c>
      <c r="K444" s="8">
        <f t="shared" si="94"/>
        <v>5</v>
      </c>
      <c r="L444" s="13"/>
      <c r="M444" s="9">
        <f t="shared" si="95"/>
        <v>40</v>
      </c>
      <c r="N444" s="8">
        <v>2.7</v>
      </c>
      <c r="O444" s="10">
        <f t="shared" si="96"/>
        <v>2.7</v>
      </c>
      <c r="P444" s="8" t="s">
        <v>2051</v>
      </c>
      <c r="Q444" s="8">
        <v>94</v>
      </c>
      <c r="R444" s="12">
        <v>0.94</v>
      </c>
      <c r="S444" s="12">
        <f t="shared" si="97"/>
        <v>0.94</v>
      </c>
    </row>
    <row r="445" spans="1:19" x14ac:dyDescent="0.35">
      <c r="A445" s="8" t="s">
        <v>924</v>
      </c>
      <c r="B445" s="8" t="s">
        <v>925</v>
      </c>
      <c r="C445" s="8" t="s">
        <v>7</v>
      </c>
      <c r="D445" s="8" t="str">
        <f t="shared" si="92"/>
        <v>Female</v>
      </c>
      <c r="E445" s="8">
        <v>34</v>
      </c>
      <c r="F445" s="8">
        <f t="shared" si="93"/>
        <v>34</v>
      </c>
      <c r="G445" s="8" t="s">
        <v>147</v>
      </c>
      <c r="H445" s="8" t="s">
        <v>148</v>
      </c>
      <c r="I445" s="8" t="s">
        <v>4</v>
      </c>
      <c r="J445" s="13"/>
      <c r="K445" s="8">
        <f t="shared" si="94"/>
        <v>9</v>
      </c>
      <c r="L445" s="8">
        <v>50</v>
      </c>
      <c r="M445" s="9">
        <f t="shared" si="95"/>
        <v>50</v>
      </c>
      <c r="N445" s="8">
        <v>0</v>
      </c>
      <c r="O445" s="11">
        <f t="shared" si="96"/>
        <v>0</v>
      </c>
      <c r="P445" s="8" t="s">
        <v>2050</v>
      </c>
      <c r="Q445" s="8">
        <v>84</v>
      </c>
      <c r="R445" s="12">
        <v>0.84</v>
      </c>
      <c r="S445" s="12">
        <f t="shared" si="97"/>
        <v>0.84</v>
      </c>
    </row>
    <row r="446" spans="1:19" x14ac:dyDescent="0.35">
      <c r="A446" s="8" t="s">
        <v>926</v>
      </c>
      <c r="B446" s="8" t="s">
        <v>927</v>
      </c>
      <c r="C446" s="8" t="s">
        <v>19</v>
      </c>
      <c r="D446" s="8" t="str">
        <f t="shared" si="92"/>
        <v>Female</v>
      </c>
      <c r="E446" s="8">
        <v>32</v>
      </c>
      <c r="F446" s="8">
        <f t="shared" si="93"/>
        <v>32</v>
      </c>
      <c r="G446" s="8" t="s">
        <v>99</v>
      </c>
      <c r="H446" s="8" t="s">
        <v>100</v>
      </c>
      <c r="I446" s="8" t="s">
        <v>56</v>
      </c>
      <c r="J446" s="8">
        <v>10</v>
      </c>
      <c r="K446" s="8">
        <f t="shared" si="94"/>
        <v>10</v>
      </c>
      <c r="L446" s="8">
        <v>20</v>
      </c>
      <c r="M446" s="9">
        <f t="shared" si="95"/>
        <v>20</v>
      </c>
      <c r="O446" s="10">
        <f t="shared" si="96"/>
        <v>2.5125695216907653</v>
      </c>
      <c r="P446" s="8" t="s">
        <v>2051</v>
      </c>
      <c r="Q446" s="14">
        <v>0.92</v>
      </c>
      <c r="R446" s="12">
        <f>Q446</f>
        <v>0.92</v>
      </c>
      <c r="S446" s="12">
        <f t="shared" si="97"/>
        <v>0.92</v>
      </c>
    </row>
    <row r="447" spans="1:19" x14ac:dyDescent="0.35">
      <c r="A447" s="8" t="s">
        <v>928</v>
      </c>
      <c r="B447" s="8" t="s">
        <v>929</v>
      </c>
      <c r="C447" s="8" t="s">
        <v>30</v>
      </c>
      <c r="D447" s="8" t="str">
        <f t="shared" si="92"/>
        <v>Male</v>
      </c>
      <c r="E447" s="8">
        <v>24</v>
      </c>
      <c r="F447" s="8">
        <f t="shared" si="93"/>
        <v>24</v>
      </c>
      <c r="G447" s="8" t="s">
        <v>114</v>
      </c>
      <c r="H447" s="8" t="s">
        <v>115</v>
      </c>
      <c r="I447" s="8" t="s">
        <v>67</v>
      </c>
      <c r="J447" s="8">
        <v>6</v>
      </c>
      <c r="K447" s="8">
        <f t="shared" si="94"/>
        <v>6</v>
      </c>
      <c r="L447" s="8">
        <v>75</v>
      </c>
      <c r="M447" s="9">
        <f t="shared" si="95"/>
        <v>75</v>
      </c>
      <c r="N447" s="8">
        <v>4.3</v>
      </c>
      <c r="O447" s="10">
        <f t="shared" si="96"/>
        <v>4.3</v>
      </c>
      <c r="P447" s="8" t="s">
        <v>2051</v>
      </c>
      <c r="Q447" s="13"/>
      <c r="S447" s="12">
        <f t="shared" si="97"/>
        <v>0.79269417475728277</v>
      </c>
    </row>
    <row r="448" spans="1:19" x14ac:dyDescent="0.35">
      <c r="A448" s="8" t="s">
        <v>930</v>
      </c>
      <c r="B448" s="8" t="s">
        <v>931</v>
      </c>
      <c r="C448" s="8" t="s">
        <v>13</v>
      </c>
      <c r="D448" s="8" t="str">
        <f t="shared" si="92"/>
        <v>Male</v>
      </c>
      <c r="E448" s="8">
        <v>35</v>
      </c>
      <c r="F448" s="8">
        <f t="shared" si="93"/>
        <v>35</v>
      </c>
      <c r="G448" s="8" t="s">
        <v>46</v>
      </c>
      <c r="H448" s="8" t="s">
        <v>9</v>
      </c>
      <c r="I448" s="8" t="s">
        <v>27</v>
      </c>
      <c r="J448" s="8">
        <v>8</v>
      </c>
      <c r="K448" s="8">
        <f t="shared" si="94"/>
        <v>8</v>
      </c>
      <c r="L448" s="8">
        <v>50</v>
      </c>
      <c r="M448" s="9">
        <f t="shared" si="95"/>
        <v>50</v>
      </c>
      <c r="O448" s="10">
        <f t="shared" si="96"/>
        <v>2.5125695216907653</v>
      </c>
      <c r="P448" s="8" t="s">
        <v>2050</v>
      </c>
      <c r="Q448" s="8">
        <v>90</v>
      </c>
      <c r="R448" s="12">
        <v>0.9</v>
      </c>
      <c r="S448" s="12">
        <f t="shared" si="97"/>
        <v>0.9</v>
      </c>
    </row>
    <row r="449" spans="1:19" x14ac:dyDescent="0.35">
      <c r="A449" s="8" t="s">
        <v>932</v>
      </c>
      <c r="B449" s="8" t="s">
        <v>933</v>
      </c>
      <c r="C449" s="8" t="s">
        <v>7</v>
      </c>
      <c r="D449" s="8" t="str">
        <f t="shared" si="92"/>
        <v>Female</v>
      </c>
      <c r="E449" s="8">
        <v>22</v>
      </c>
      <c r="F449" s="8">
        <f t="shared" si="93"/>
        <v>22</v>
      </c>
      <c r="G449" s="8" t="s">
        <v>8</v>
      </c>
      <c r="H449" s="8" t="s">
        <v>9</v>
      </c>
      <c r="I449" s="8" t="s">
        <v>10</v>
      </c>
      <c r="J449" s="8">
        <v>4</v>
      </c>
      <c r="K449" s="8">
        <f t="shared" si="94"/>
        <v>4</v>
      </c>
      <c r="L449" s="8">
        <v>20</v>
      </c>
      <c r="M449" s="9">
        <f t="shared" si="95"/>
        <v>20</v>
      </c>
      <c r="O449" s="10">
        <f t="shared" si="96"/>
        <v>2.5125695216907653</v>
      </c>
      <c r="P449" s="8" t="s">
        <v>2050</v>
      </c>
      <c r="Q449" s="14">
        <v>0.73</v>
      </c>
      <c r="R449" s="12">
        <f t="shared" ref="R449:R453" si="106">Q449</f>
        <v>0.73</v>
      </c>
      <c r="S449" s="12">
        <f t="shared" si="97"/>
        <v>0.73</v>
      </c>
    </row>
    <row r="450" spans="1:19" x14ac:dyDescent="0.35">
      <c r="A450" s="8" t="s">
        <v>934</v>
      </c>
      <c r="B450" s="8" t="s">
        <v>935</v>
      </c>
      <c r="C450" s="8" t="s">
        <v>19</v>
      </c>
      <c r="D450" s="8" t="str">
        <f t="shared" si="92"/>
        <v>Female</v>
      </c>
      <c r="E450" s="8">
        <v>55</v>
      </c>
      <c r="F450" s="8">
        <f t="shared" si="93"/>
        <v>55</v>
      </c>
      <c r="G450" s="8" t="s">
        <v>114</v>
      </c>
      <c r="H450" s="8" t="s">
        <v>115</v>
      </c>
      <c r="I450" s="8" t="s">
        <v>27</v>
      </c>
      <c r="J450" s="8">
        <v>3</v>
      </c>
      <c r="K450" s="8">
        <f t="shared" si="94"/>
        <v>3</v>
      </c>
      <c r="L450" s="8">
        <v>100</v>
      </c>
      <c r="M450" s="9">
        <f t="shared" si="95"/>
        <v>100</v>
      </c>
      <c r="O450" s="10">
        <f t="shared" si="96"/>
        <v>2.5125695216907653</v>
      </c>
      <c r="P450" s="8" t="s">
        <v>2051</v>
      </c>
      <c r="Q450" s="14">
        <v>0.73</v>
      </c>
      <c r="R450" s="12">
        <f t="shared" si="106"/>
        <v>0.73</v>
      </c>
      <c r="S450" s="12">
        <f t="shared" si="97"/>
        <v>0.73</v>
      </c>
    </row>
    <row r="451" spans="1:19" x14ac:dyDescent="0.35">
      <c r="A451" s="8" t="s">
        <v>936</v>
      </c>
      <c r="B451" s="8" t="s">
        <v>937</v>
      </c>
      <c r="C451" s="8" t="s">
        <v>22</v>
      </c>
      <c r="D451" s="8" t="str">
        <f t="shared" ref="D451:D514" si="107">IF(LEFT(C451,1)="f","Female","Male")</f>
        <v>Female</v>
      </c>
      <c r="E451" s="8">
        <v>54</v>
      </c>
      <c r="F451" s="8">
        <f t="shared" ref="F451:F514" si="108">IF(ISBLANK(E451),MEDIAN($E$2:$E$1001),E451)</f>
        <v>54</v>
      </c>
      <c r="G451" s="8" t="s">
        <v>50</v>
      </c>
      <c r="H451" s="8" t="s">
        <v>51</v>
      </c>
      <c r="I451" s="8" t="s">
        <v>90</v>
      </c>
      <c r="J451" s="13"/>
      <c r="K451" s="8">
        <f t="shared" ref="K451:K514" si="109">IF(ISBLANK(J451),MEDIAN($J$2:$J$1001),J451)</f>
        <v>9</v>
      </c>
      <c r="L451" s="8">
        <v>30</v>
      </c>
      <c r="M451" s="9">
        <f t="shared" ref="M451:M514" si="110">IF(ISBLANK(L451),MEDIAN($L$2:$L$1001),L451)</f>
        <v>30</v>
      </c>
      <c r="N451" s="8">
        <v>2.9</v>
      </c>
      <c r="O451" s="10">
        <f t="shared" ref="O451:O514" si="111">IF(ISBLANK(N451),AVERAGE($N$2:$N$1001),N451)</f>
        <v>2.9</v>
      </c>
      <c r="P451" s="8" t="s">
        <v>2051</v>
      </c>
      <c r="Q451" s="14">
        <v>0.78</v>
      </c>
      <c r="R451" s="12">
        <f t="shared" si="106"/>
        <v>0.78</v>
      </c>
      <c r="S451" s="12">
        <f t="shared" si="97"/>
        <v>0.78</v>
      </c>
    </row>
    <row r="452" spans="1:19" x14ac:dyDescent="0.35">
      <c r="A452" s="8" t="s">
        <v>938</v>
      </c>
      <c r="B452" s="8" t="s">
        <v>939</v>
      </c>
      <c r="C452" s="8" t="s">
        <v>1</v>
      </c>
      <c r="D452" s="8" t="str">
        <f t="shared" si="107"/>
        <v>Female</v>
      </c>
      <c r="E452" s="8">
        <v>36</v>
      </c>
      <c r="F452" s="8">
        <f t="shared" si="108"/>
        <v>36</v>
      </c>
      <c r="G452" s="8" t="s">
        <v>25</v>
      </c>
      <c r="H452" s="8" t="s">
        <v>26</v>
      </c>
      <c r="I452" s="8" t="s">
        <v>56</v>
      </c>
      <c r="J452" s="8">
        <v>11</v>
      </c>
      <c r="K452" s="8">
        <f t="shared" si="109"/>
        <v>11</v>
      </c>
      <c r="L452" s="8">
        <v>30</v>
      </c>
      <c r="M452" s="9">
        <f t="shared" si="110"/>
        <v>30</v>
      </c>
      <c r="N452" s="8">
        <v>0</v>
      </c>
      <c r="O452" s="11">
        <f t="shared" si="111"/>
        <v>0</v>
      </c>
      <c r="P452" s="8" t="s">
        <v>2051</v>
      </c>
      <c r="Q452" s="14">
        <v>0.63</v>
      </c>
      <c r="R452" s="12">
        <f t="shared" si="106"/>
        <v>0.63</v>
      </c>
      <c r="S452" s="12">
        <f t="shared" ref="S452:S515" si="112">IF(ISBLANK(R452),AVERAGE($R$2:$R$1001),R452)</f>
        <v>0.63</v>
      </c>
    </row>
    <row r="453" spans="1:19" x14ac:dyDescent="0.35">
      <c r="A453" s="8" t="s">
        <v>940</v>
      </c>
      <c r="B453" s="8" t="s">
        <v>941</v>
      </c>
      <c r="C453" s="8" t="s">
        <v>22</v>
      </c>
      <c r="D453" s="8" t="str">
        <f t="shared" si="107"/>
        <v>Female</v>
      </c>
      <c r="E453" s="8">
        <v>36</v>
      </c>
      <c r="F453" s="8">
        <f t="shared" si="108"/>
        <v>36</v>
      </c>
      <c r="G453" s="8" t="s">
        <v>25</v>
      </c>
      <c r="H453" s="8" t="s">
        <v>26</v>
      </c>
      <c r="I453" s="8" t="s">
        <v>27</v>
      </c>
      <c r="J453" s="8">
        <v>17</v>
      </c>
      <c r="K453" s="8">
        <f t="shared" si="109"/>
        <v>17</v>
      </c>
      <c r="L453" s="8">
        <v>50</v>
      </c>
      <c r="M453" s="9">
        <f t="shared" si="110"/>
        <v>50</v>
      </c>
      <c r="N453" s="8">
        <v>1.3</v>
      </c>
      <c r="O453" s="10">
        <f t="shared" si="111"/>
        <v>1.3</v>
      </c>
      <c r="P453" s="13" t="s">
        <v>2050</v>
      </c>
      <c r="Q453" s="14">
        <v>0.64</v>
      </c>
      <c r="R453" s="12">
        <f t="shared" si="106"/>
        <v>0.64</v>
      </c>
      <c r="S453" s="12">
        <f t="shared" si="112"/>
        <v>0.64</v>
      </c>
    </row>
    <row r="454" spans="1:19" x14ac:dyDescent="0.35">
      <c r="A454" s="8" t="s">
        <v>942</v>
      </c>
      <c r="B454" s="8" t="s">
        <v>2019</v>
      </c>
      <c r="C454" s="8" t="s">
        <v>1</v>
      </c>
      <c r="D454" s="8" t="str">
        <f t="shared" si="107"/>
        <v>Female</v>
      </c>
      <c r="E454" s="8">
        <v>25</v>
      </c>
      <c r="F454" s="8">
        <f t="shared" si="108"/>
        <v>25</v>
      </c>
      <c r="G454" s="8" t="s">
        <v>50</v>
      </c>
      <c r="H454" s="8" t="s">
        <v>51</v>
      </c>
      <c r="I454" s="8" t="s">
        <v>20</v>
      </c>
      <c r="J454" s="8">
        <v>1</v>
      </c>
      <c r="K454" s="8">
        <f t="shared" si="109"/>
        <v>1</v>
      </c>
      <c r="L454" s="8">
        <v>75</v>
      </c>
      <c r="M454" s="9">
        <f t="shared" si="110"/>
        <v>75</v>
      </c>
      <c r="N454" s="8">
        <v>0</v>
      </c>
      <c r="O454" s="11">
        <f t="shared" si="111"/>
        <v>0</v>
      </c>
      <c r="P454" s="8" t="s">
        <v>2051</v>
      </c>
      <c r="Q454" s="13"/>
      <c r="S454" s="12">
        <f t="shared" si="112"/>
        <v>0.79269417475728277</v>
      </c>
    </row>
    <row r="455" spans="1:19" x14ac:dyDescent="0.35">
      <c r="A455" s="8" t="s">
        <v>943</v>
      </c>
      <c r="B455" s="8" t="s">
        <v>944</v>
      </c>
      <c r="C455" s="8" t="s">
        <v>75</v>
      </c>
      <c r="D455" s="8" t="str">
        <f t="shared" si="107"/>
        <v>Male</v>
      </c>
      <c r="E455" s="8">
        <v>46</v>
      </c>
      <c r="F455" s="8">
        <f t="shared" si="108"/>
        <v>46</v>
      </c>
      <c r="G455" s="8" t="s">
        <v>31</v>
      </c>
      <c r="H455" s="8" t="s">
        <v>32</v>
      </c>
      <c r="I455" s="8" t="s">
        <v>27</v>
      </c>
      <c r="J455" s="8">
        <v>16</v>
      </c>
      <c r="K455" s="8">
        <f t="shared" si="109"/>
        <v>16</v>
      </c>
      <c r="L455" s="8">
        <v>20</v>
      </c>
      <c r="M455" s="9">
        <f t="shared" si="110"/>
        <v>20</v>
      </c>
      <c r="N455" s="8">
        <v>4.8</v>
      </c>
      <c r="O455" s="10">
        <f t="shared" si="111"/>
        <v>4.8</v>
      </c>
      <c r="P455" s="8" t="s">
        <v>2051</v>
      </c>
      <c r="Q455" s="14">
        <v>0.86</v>
      </c>
      <c r="R455" s="12">
        <f>Q455</f>
        <v>0.86</v>
      </c>
      <c r="S455" s="12">
        <f t="shared" si="112"/>
        <v>0.86</v>
      </c>
    </row>
    <row r="456" spans="1:19" x14ac:dyDescent="0.35">
      <c r="A456" s="8" t="s">
        <v>945</v>
      </c>
      <c r="B456" s="8" t="s">
        <v>2047</v>
      </c>
      <c r="C456" s="8" t="s">
        <v>70</v>
      </c>
      <c r="D456" s="8" t="str">
        <f t="shared" si="107"/>
        <v>Male</v>
      </c>
      <c r="E456" s="8">
        <v>41</v>
      </c>
      <c r="F456" s="8">
        <f t="shared" si="108"/>
        <v>41</v>
      </c>
      <c r="G456" s="8" t="s">
        <v>50</v>
      </c>
      <c r="H456" s="8" t="s">
        <v>51</v>
      </c>
      <c r="I456" s="8" t="s">
        <v>90</v>
      </c>
      <c r="J456" s="8">
        <v>11</v>
      </c>
      <c r="K456" s="8">
        <f t="shared" si="109"/>
        <v>11</v>
      </c>
      <c r="L456" s="8">
        <v>40</v>
      </c>
      <c r="M456" s="9">
        <f t="shared" si="110"/>
        <v>40</v>
      </c>
      <c r="N456" s="8">
        <v>2.4</v>
      </c>
      <c r="O456" s="10">
        <f t="shared" si="111"/>
        <v>2.4</v>
      </c>
      <c r="P456" s="8" t="s">
        <v>2050</v>
      </c>
      <c r="Q456" s="13"/>
      <c r="S456" s="12">
        <f t="shared" si="112"/>
        <v>0.79269417475728277</v>
      </c>
    </row>
    <row r="457" spans="1:19" x14ac:dyDescent="0.35">
      <c r="A457" s="8" t="s">
        <v>946</v>
      </c>
      <c r="B457" s="8" t="s">
        <v>947</v>
      </c>
      <c r="C457" s="8" t="s">
        <v>7</v>
      </c>
      <c r="D457" s="8" t="str">
        <f t="shared" si="107"/>
        <v>Female</v>
      </c>
      <c r="E457" s="8">
        <v>21</v>
      </c>
      <c r="F457" s="8">
        <f t="shared" si="108"/>
        <v>21</v>
      </c>
      <c r="G457" s="8" t="s">
        <v>99</v>
      </c>
      <c r="H457" s="8" t="s">
        <v>100</v>
      </c>
      <c r="I457" s="8" t="s">
        <v>10</v>
      </c>
      <c r="J457" s="8">
        <v>3</v>
      </c>
      <c r="K457" s="8">
        <f t="shared" si="109"/>
        <v>3</v>
      </c>
      <c r="L457" s="8">
        <v>100</v>
      </c>
      <c r="M457" s="9">
        <f t="shared" si="110"/>
        <v>100</v>
      </c>
      <c r="N457" s="8">
        <v>4.7</v>
      </c>
      <c r="O457" s="10">
        <f t="shared" si="111"/>
        <v>4.7</v>
      </c>
      <c r="P457" s="8" t="s">
        <v>2050</v>
      </c>
      <c r="Q457" s="14">
        <v>0.96</v>
      </c>
      <c r="R457" s="12">
        <f>Q457</f>
        <v>0.96</v>
      </c>
      <c r="S457" s="12">
        <f t="shared" si="112"/>
        <v>0.96</v>
      </c>
    </row>
    <row r="458" spans="1:19" x14ac:dyDescent="0.35">
      <c r="A458" s="8" t="s">
        <v>948</v>
      </c>
      <c r="B458" s="8" t="s">
        <v>949</v>
      </c>
      <c r="C458" s="8" t="s">
        <v>75</v>
      </c>
      <c r="D458" s="8" t="str">
        <f t="shared" si="107"/>
        <v>Male</v>
      </c>
      <c r="E458" s="8">
        <v>29</v>
      </c>
      <c r="F458" s="8">
        <f t="shared" si="108"/>
        <v>29</v>
      </c>
      <c r="G458" s="8" t="s">
        <v>38</v>
      </c>
      <c r="H458" s="8" t="s">
        <v>9</v>
      </c>
      <c r="I458" s="8" t="s">
        <v>16</v>
      </c>
      <c r="J458" s="13"/>
      <c r="K458" s="8">
        <f t="shared" si="109"/>
        <v>9</v>
      </c>
      <c r="L458" s="8">
        <v>75</v>
      </c>
      <c r="M458" s="9">
        <f t="shared" si="110"/>
        <v>75</v>
      </c>
      <c r="N458" s="8">
        <v>2</v>
      </c>
      <c r="O458" s="10">
        <f t="shared" si="111"/>
        <v>2</v>
      </c>
      <c r="P458" s="8" t="s">
        <v>2050</v>
      </c>
      <c r="Q458" s="13"/>
      <c r="S458" s="12">
        <f t="shared" si="112"/>
        <v>0.79269417475728277</v>
      </c>
    </row>
    <row r="459" spans="1:19" x14ac:dyDescent="0.35">
      <c r="A459" s="8" t="s">
        <v>950</v>
      </c>
      <c r="B459" s="8" t="s">
        <v>951</v>
      </c>
      <c r="C459" s="8" t="s">
        <v>19</v>
      </c>
      <c r="D459" s="8" t="str">
        <f t="shared" si="107"/>
        <v>Female</v>
      </c>
      <c r="E459" s="8">
        <v>44</v>
      </c>
      <c r="F459" s="8">
        <f t="shared" si="108"/>
        <v>44</v>
      </c>
      <c r="G459" s="8" t="s">
        <v>38</v>
      </c>
      <c r="H459" s="8" t="s">
        <v>9</v>
      </c>
      <c r="I459" s="8" t="s">
        <v>10</v>
      </c>
      <c r="J459" s="8">
        <v>3</v>
      </c>
      <c r="K459" s="8">
        <f t="shared" si="109"/>
        <v>3</v>
      </c>
      <c r="L459" s="8">
        <v>50</v>
      </c>
      <c r="M459" s="9">
        <f t="shared" si="110"/>
        <v>50</v>
      </c>
      <c r="N459" s="8">
        <v>2.2000000000000002</v>
      </c>
      <c r="O459" s="10">
        <f t="shared" si="111"/>
        <v>2.2000000000000002</v>
      </c>
      <c r="P459" s="8" t="s">
        <v>2050</v>
      </c>
      <c r="Q459" s="14">
        <v>0.77</v>
      </c>
      <c r="R459" s="12">
        <f>Q459</f>
        <v>0.77</v>
      </c>
      <c r="S459" s="12">
        <f t="shared" si="112"/>
        <v>0.77</v>
      </c>
    </row>
    <row r="460" spans="1:19" x14ac:dyDescent="0.35">
      <c r="A460" s="8" t="s">
        <v>952</v>
      </c>
      <c r="B460" s="8" t="s">
        <v>953</v>
      </c>
      <c r="C460" s="8" t="s">
        <v>75</v>
      </c>
      <c r="D460" s="8" t="str">
        <f t="shared" si="107"/>
        <v>Male</v>
      </c>
      <c r="E460" s="8">
        <v>40</v>
      </c>
      <c r="F460" s="8">
        <f t="shared" si="108"/>
        <v>40</v>
      </c>
      <c r="G460" s="8" t="s">
        <v>103</v>
      </c>
      <c r="H460" s="8" t="s">
        <v>9</v>
      </c>
      <c r="I460" s="8" t="s">
        <v>90</v>
      </c>
      <c r="J460" s="8">
        <v>1</v>
      </c>
      <c r="K460" s="8">
        <f t="shared" si="109"/>
        <v>1</v>
      </c>
      <c r="L460" s="8">
        <v>100</v>
      </c>
      <c r="M460" s="9">
        <f t="shared" si="110"/>
        <v>100</v>
      </c>
      <c r="N460" s="8">
        <v>2.1</v>
      </c>
      <c r="O460" s="10">
        <f t="shared" si="111"/>
        <v>2.1</v>
      </c>
      <c r="P460" s="8" t="s">
        <v>2051</v>
      </c>
      <c r="Q460" s="13"/>
      <c r="S460" s="12">
        <f t="shared" si="112"/>
        <v>0.79269417475728277</v>
      </c>
    </row>
    <row r="461" spans="1:19" x14ac:dyDescent="0.35">
      <c r="A461" s="8" t="s">
        <v>954</v>
      </c>
      <c r="B461" s="8" t="s">
        <v>955</v>
      </c>
      <c r="C461" s="8" t="s">
        <v>22</v>
      </c>
      <c r="D461" s="8" t="str">
        <f t="shared" si="107"/>
        <v>Female</v>
      </c>
      <c r="E461" s="8">
        <v>27</v>
      </c>
      <c r="F461" s="8">
        <f t="shared" si="108"/>
        <v>27</v>
      </c>
      <c r="G461" s="8" t="s">
        <v>114</v>
      </c>
      <c r="H461" s="8" t="s">
        <v>115</v>
      </c>
      <c r="I461" s="8" t="s">
        <v>33</v>
      </c>
      <c r="J461" s="8">
        <v>1</v>
      </c>
      <c r="K461" s="8">
        <f t="shared" si="109"/>
        <v>1</v>
      </c>
      <c r="L461" s="8">
        <v>30</v>
      </c>
      <c r="M461" s="9">
        <f t="shared" si="110"/>
        <v>30</v>
      </c>
      <c r="N461" s="8">
        <v>1.7</v>
      </c>
      <c r="O461" s="10">
        <f t="shared" si="111"/>
        <v>1.7</v>
      </c>
      <c r="P461" s="8" t="s">
        <v>2050</v>
      </c>
      <c r="Q461" s="14">
        <v>0.65</v>
      </c>
      <c r="R461" s="12">
        <f t="shared" ref="R461:R465" si="113">Q461</f>
        <v>0.65</v>
      </c>
      <c r="S461" s="12">
        <f t="shared" si="112"/>
        <v>0.65</v>
      </c>
    </row>
    <row r="462" spans="1:19" x14ac:dyDescent="0.35">
      <c r="A462" s="8" t="s">
        <v>956</v>
      </c>
      <c r="B462" s="8" t="s">
        <v>957</v>
      </c>
      <c r="C462" s="8" t="s">
        <v>41</v>
      </c>
      <c r="D462" s="8" t="str">
        <f t="shared" si="107"/>
        <v>Male</v>
      </c>
      <c r="E462" s="8">
        <v>53</v>
      </c>
      <c r="F462" s="8">
        <f t="shared" si="108"/>
        <v>53</v>
      </c>
      <c r="G462" s="8" t="s">
        <v>110</v>
      </c>
      <c r="H462" s="8" t="s">
        <v>111</v>
      </c>
      <c r="I462" s="8" t="s">
        <v>10</v>
      </c>
      <c r="J462" s="8">
        <v>35</v>
      </c>
      <c r="K462" s="8">
        <f t="shared" si="109"/>
        <v>35</v>
      </c>
      <c r="L462" s="13"/>
      <c r="M462" s="9">
        <f t="shared" si="110"/>
        <v>40</v>
      </c>
      <c r="N462" s="8">
        <v>5</v>
      </c>
      <c r="O462" s="10">
        <f t="shared" si="111"/>
        <v>5</v>
      </c>
      <c r="P462" s="8" t="s">
        <v>2051</v>
      </c>
      <c r="Q462" s="14">
        <v>0.62</v>
      </c>
      <c r="R462" s="12">
        <f t="shared" si="113"/>
        <v>0.62</v>
      </c>
      <c r="S462" s="12">
        <f t="shared" si="112"/>
        <v>0.62</v>
      </c>
    </row>
    <row r="463" spans="1:19" x14ac:dyDescent="0.35">
      <c r="A463" s="8" t="s">
        <v>958</v>
      </c>
      <c r="B463" s="8" t="s">
        <v>2032</v>
      </c>
      <c r="C463" s="8" t="s">
        <v>13</v>
      </c>
      <c r="D463" s="8" t="str">
        <f t="shared" si="107"/>
        <v>Male</v>
      </c>
      <c r="E463" s="8">
        <v>20</v>
      </c>
      <c r="F463" s="8">
        <f t="shared" si="108"/>
        <v>20</v>
      </c>
      <c r="G463" s="8" t="s">
        <v>42</v>
      </c>
      <c r="H463" s="8" t="s">
        <v>43</v>
      </c>
      <c r="I463" s="8" t="s">
        <v>33</v>
      </c>
      <c r="J463" s="8">
        <v>1</v>
      </c>
      <c r="K463" s="8">
        <f t="shared" si="109"/>
        <v>1</v>
      </c>
      <c r="L463" s="8">
        <v>50</v>
      </c>
      <c r="M463" s="9">
        <f t="shared" si="110"/>
        <v>50</v>
      </c>
      <c r="N463" s="8">
        <v>2.9</v>
      </c>
      <c r="O463" s="10">
        <f t="shared" si="111"/>
        <v>2.9</v>
      </c>
      <c r="P463" s="8" t="s">
        <v>2050</v>
      </c>
      <c r="Q463" s="14">
        <v>0.81</v>
      </c>
      <c r="R463" s="12">
        <f t="shared" si="113"/>
        <v>0.81</v>
      </c>
      <c r="S463" s="12">
        <f t="shared" si="112"/>
        <v>0.81</v>
      </c>
    </row>
    <row r="464" spans="1:19" x14ac:dyDescent="0.35">
      <c r="A464" s="8" t="s">
        <v>959</v>
      </c>
      <c r="B464" s="8" t="s">
        <v>960</v>
      </c>
      <c r="C464" s="8" t="s">
        <v>22</v>
      </c>
      <c r="D464" s="8" t="str">
        <f t="shared" si="107"/>
        <v>Female</v>
      </c>
      <c r="E464" s="13"/>
      <c r="F464" s="8">
        <f t="shared" si="108"/>
        <v>41</v>
      </c>
      <c r="G464" s="8" t="s">
        <v>63</v>
      </c>
      <c r="H464" s="8" t="s">
        <v>64</v>
      </c>
      <c r="I464" s="8" t="s">
        <v>67</v>
      </c>
      <c r="J464" s="8">
        <v>12</v>
      </c>
      <c r="K464" s="8">
        <f t="shared" si="109"/>
        <v>12</v>
      </c>
      <c r="L464" s="8">
        <v>50</v>
      </c>
      <c r="M464" s="9">
        <f t="shared" si="110"/>
        <v>50</v>
      </c>
      <c r="N464" s="8">
        <v>4.0999999999999996</v>
      </c>
      <c r="O464" s="10">
        <f t="shared" si="111"/>
        <v>4.0999999999999996</v>
      </c>
      <c r="P464" s="8" t="s">
        <v>2051</v>
      </c>
      <c r="Q464" s="14">
        <v>0.62</v>
      </c>
      <c r="R464" s="12">
        <f t="shared" si="113"/>
        <v>0.62</v>
      </c>
      <c r="S464" s="12">
        <f t="shared" si="112"/>
        <v>0.62</v>
      </c>
    </row>
    <row r="465" spans="1:19" x14ac:dyDescent="0.35">
      <c r="A465" s="8" t="s">
        <v>961</v>
      </c>
      <c r="B465" s="8" t="s">
        <v>962</v>
      </c>
      <c r="C465" s="8" t="s">
        <v>13</v>
      </c>
      <c r="D465" s="8" t="str">
        <f t="shared" si="107"/>
        <v>Male</v>
      </c>
      <c r="E465" s="8">
        <v>26</v>
      </c>
      <c r="F465" s="8">
        <f t="shared" si="108"/>
        <v>26</v>
      </c>
      <c r="G465" s="8" t="s">
        <v>151</v>
      </c>
      <c r="H465" s="8" t="s">
        <v>51</v>
      </c>
      <c r="I465" s="8" t="s">
        <v>20</v>
      </c>
      <c r="J465" s="8">
        <v>8</v>
      </c>
      <c r="K465" s="8">
        <f t="shared" si="109"/>
        <v>8</v>
      </c>
      <c r="L465" s="8">
        <v>40</v>
      </c>
      <c r="M465" s="9">
        <f t="shared" si="110"/>
        <v>40</v>
      </c>
      <c r="N465" s="8">
        <v>4.9000000000000004</v>
      </c>
      <c r="O465" s="10">
        <f t="shared" si="111"/>
        <v>4.9000000000000004</v>
      </c>
      <c r="P465" s="8" t="s">
        <v>2050</v>
      </c>
      <c r="Q465" s="14">
        <v>0.87</v>
      </c>
      <c r="R465" s="12">
        <f t="shared" si="113"/>
        <v>0.87</v>
      </c>
      <c r="S465" s="12">
        <f t="shared" si="112"/>
        <v>0.87</v>
      </c>
    </row>
    <row r="466" spans="1:19" x14ac:dyDescent="0.35">
      <c r="A466" s="8" t="s">
        <v>963</v>
      </c>
      <c r="B466" s="8" t="s">
        <v>964</v>
      </c>
      <c r="C466" s="8" t="s">
        <v>22</v>
      </c>
      <c r="D466" s="8" t="str">
        <f t="shared" si="107"/>
        <v>Female</v>
      </c>
      <c r="E466" s="8">
        <v>49</v>
      </c>
      <c r="F466" s="8">
        <f t="shared" si="108"/>
        <v>49</v>
      </c>
      <c r="G466" s="8" t="s">
        <v>84</v>
      </c>
      <c r="H466" s="8" t="s">
        <v>85</v>
      </c>
      <c r="I466" s="8" t="s">
        <v>90</v>
      </c>
      <c r="J466" s="8">
        <v>13</v>
      </c>
      <c r="K466" s="8">
        <f t="shared" si="109"/>
        <v>13</v>
      </c>
      <c r="L466" s="8">
        <v>100</v>
      </c>
      <c r="M466" s="9">
        <f t="shared" si="110"/>
        <v>100</v>
      </c>
      <c r="N466" s="8">
        <v>2.5</v>
      </c>
      <c r="O466" s="10">
        <f t="shared" si="111"/>
        <v>2.5</v>
      </c>
      <c r="P466" s="8" t="s">
        <v>2050</v>
      </c>
      <c r="Q466" s="13"/>
      <c r="S466" s="12">
        <f t="shared" si="112"/>
        <v>0.79269417475728277</v>
      </c>
    </row>
    <row r="467" spans="1:19" x14ac:dyDescent="0.35">
      <c r="A467" s="8" t="s">
        <v>965</v>
      </c>
      <c r="B467" s="8" t="s">
        <v>966</v>
      </c>
      <c r="C467" s="8" t="s">
        <v>19</v>
      </c>
      <c r="D467" s="8" t="str">
        <f t="shared" si="107"/>
        <v>Female</v>
      </c>
      <c r="E467" s="8">
        <v>20</v>
      </c>
      <c r="F467" s="8">
        <f t="shared" si="108"/>
        <v>20</v>
      </c>
      <c r="G467" s="8" t="s">
        <v>114</v>
      </c>
      <c r="H467" s="8" t="s">
        <v>115</v>
      </c>
      <c r="I467" s="8" t="s">
        <v>33</v>
      </c>
      <c r="J467" s="8">
        <v>0</v>
      </c>
      <c r="K467" s="8">
        <f t="shared" si="109"/>
        <v>0</v>
      </c>
      <c r="L467" s="8">
        <v>30</v>
      </c>
      <c r="M467" s="9">
        <f t="shared" si="110"/>
        <v>30</v>
      </c>
      <c r="N467" s="8">
        <v>0</v>
      </c>
      <c r="O467" s="11">
        <f t="shared" si="111"/>
        <v>0</v>
      </c>
      <c r="P467" s="8" t="s">
        <v>2051</v>
      </c>
      <c r="Q467" s="8">
        <v>76</v>
      </c>
      <c r="R467" s="12">
        <v>0.76</v>
      </c>
      <c r="S467" s="12">
        <f t="shared" si="112"/>
        <v>0.76</v>
      </c>
    </row>
    <row r="468" spans="1:19" x14ac:dyDescent="0.35">
      <c r="A468" s="8" t="s">
        <v>967</v>
      </c>
      <c r="B468" s="8" t="s">
        <v>968</v>
      </c>
      <c r="C468" s="8" t="s">
        <v>22</v>
      </c>
      <c r="D468" s="8" t="str">
        <f t="shared" si="107"/>
        <v>Female</v>
      </c>
      <c r="E468" s="8">
        <v>39</v>
      </c>
      <c r="F468" s="8">
        <f t="shared" si="108"/>
        <v>39</v>
      </c>
      <c r="G468" s="8" t="s">
        <v>147</v>
      </c>
      <c r="H468" s="8" t="s">
        <v>148</v>
      </c>
      <c r="I468" s="8" t="s">
        <v>4</v>
      </c>
      <c r="J468" s="8">
        <v>11</v>
      </c>
      <c r="K468" s="8">
        <f t="shared" si="109"/>
        <v>11</v>
      </c>
      <c r="L468" s="8">
        <v>100</v>
      </c>
      <c r="M468" s="9">
        <f t="shared" si="110"/>
        <v>100</v>
      </c>
      <c r="N468" s="8">
        <v>2.8</v>
      </c>
      <c r="O468" s="10">
        <f t="shared" si="111"/>
        <v>2.8</v>
      </c>
      <c r="P468" s="13" t="s">
        <v>2050</v>
      </c>
      <c r="Q468" s="8">
        <v>70</v>
      </c>
      <c r="R468" s="12">
        <v>0.7</v>
      </c>
      <c r="S468" s="12">
        <f t="shared" si="112"/>
        <v>0.7</v>
      </c>
    </row>
    <row r="469" spans="1:19" x14ac:dyDescent="0.35">
      <c r="A469" s="8" t="s">
        <v>969</v>
      </c>
      <c r="B469" s="8" t="s">
        <v>970</v>
      </c>
      <c r="C469" s="8" t="s">
        <v>19</v>
      </c>
      <c r="D469" s="8" t="str">
        <f t="shared" si="107"/>
        <v>Female</v>
      </c>
      <c r="E469" s="8">
        <v>41</v>
      </c>
      <c r="F469" s="8">
        <f t="shared" si="108"/>
        <v>41</v>
      </c>
      <c r="G469" s="8" t="s">
        <v>147</v>
      </c>
      <c r="H469" s="8" t="s">
        <v>148</v>
      </c>
      <c r="I469" s="8" t="s">
        <v>90</v>
      </c>
      <c r="J469" s="8">
        <v>19</v>
      </c>
      <c r="K469" s="8">
        <f t="shared" si="109"/>
        <v>19</v>
      </c>
      <c r="L469" s="8">
        <v>100</v>
      </c>
      <c r="M469" s="9">
        <f t="shared" si="110"/>
        <v>100</v>
      </c>
      <c r="N469" s="8">
        <v>3.8</v>
      </c>
      <c r="O469" s="10">
        <f t="shared" si="111"/>
        <v>3.8</v>
      </c>
      <c r="P469" s="8" t="s">
        <v>2051</v>
      </c>
      <c r="Q469" s="14">
        <v>0.71</v>
      </c>
      <c r="R469" s="12">
        <f t="shared" ref="R469:R470" si="114">Q469</f>
        <v>0.71</v>
      </c>
      <c r="S469" s="12">
        <f t="shared" si="112"/>
        <v>0.71</v>
      </c>
    </row>
    <row r="470" spans="1:19" x14ac:dyDescent="0.35">
      <c r="A470" s="8" t="s">
        <v>971</v>
      </c>
      <c r="B470" s="8" t="s">
        <v>972</v>
      </c>
      <c r="C470" s="8" t="s">
        <v>75</v>
      </c>
      <c r="D470" s="8" t="str">
        <f t="shared" si="107"/>
        <v>Male</v>
      </c>
      <c r="E470" s="8">
        <v>59</v>
      </c>
      <c r="F470" s="8">
        <f t="shared" si="108"/>
        <v>59</v>
      </c>
      <c r="G470" s="8" t="s">
        <v>103</v>
      </c>
      <c r="H470" s="8" t="s">
        <v>9</v>
      </c>
      <c r="I470" s="8" t="s">
        <v>10</v>
      </c>
      <c r="J470" s="8">
        <v>30</v>
      </c>
      <c r="K470" s="8">
        <f t="shared" si="109"/>
        <v>30</v>
      </c>
      <c r="L470" s="8">
        <v>30</v>
      </c>
      <c r="M470" s="9">
        <f t="shared" si="110"/>
        <v>30</v>
      </c>
      <c r="N470" s="8">
        <v>4.3</v>
      </c>
      <c r="O470" s="10">
        <f t="shared" si="111"/>
        <v>4.3</v>
      </c>
      <c r="P470" s="8" t="s">
        <v>2051</v>
      </c>
      <c r="Q470" s="14">
        <v>0.83</v>
      </c>
      <c r="R470" s="12">
        <f t="shared" si="114"/>
        <v>0.83</v>
      </c>
      <c r="S470" s="12">
        <f t="shared" si="112"/>
        <v>0.83</v>
      </c>
    </row>
    <row r="471" spans="1:19" x14ac:dyDescent="0.35">
      <c r="A471" s="8" t="s">
        <v>973</v>
      </c>
      <c r="B471" s="8" t="s">
        <v>974</v>
      </c>
      <c r="C471" s="8" t="s">
        <v>55</v>
      </c>
      <c r="D471" s="8" t="str">
        <f t="shared" si="107"/>
        <v>Female</v>
      </c>
      <c r="E471" s="8">
        <v>45</v>
      </c>
      <c r="F471" s="8">
        <f t="shared" si="108"/>
        <v>45</v>
      </c>
      <c r="G471" s="8" t="s">
        <v>8</v>
      </c>
      <c r="H471" s="8" t="s">
        <v>9</v>
      </c>
      <c r="I471" s="8" t="s">
        <v>4</v>
      </c>
      <c r="J471" s="8">
        <v>8</v>
      </c>
      <c r="K471" s="8">
        <f t="shared" si="109"/>
        <v>8</v>
      </c>
      <c r="L471" s="8">
        <v>40</v>
      </c>
      <c r="M471" s="9">
        <f t="shared" si="110"/>
        <v>40</v>
      </c>
      <c r="N471" s="8">
        <v>0</v>
      </c>
      <c r="O471" s="11">
        <f t="shared" si="111"/>
        <v>0</v>
      </c>
      <c r="P471" s="8" t="s">
        <v>2050</v>
      </c>
      <c r="Q471" s="8">
        <v>78</v>
      </c>
      <c r="R471" s="12">
        <v>0.78</v>
      </c>
      <c r="S471" s="12">
        <f t="shared" si="112"/>
        <v>0.78</v>
      </c>
    </row>
    <row r="472" spans="1:19" x14ac:dyDescent="0.35">
      <c r="A472" s="8" t="s">
        <v>975</v>
      </c>
      <c r="B472" s="8" t="s">
        <v>976</v>
      </c>
      <c r="C472" s="8" t="s">
        <v>41</v>
      </c>
      <c r="D472" s="8" t="str">
        <f t="shared" si="107"/>
        <v>Male</v>
      </c>
      <c r="E472" s="8">
        <v>22</v>
      </c>
      <c r="F472" s="8">
        <f t="shared" si="108"/>
        <v>22</v>
      </c>
      <c r="G472" s="8" t="s">
        <v>31</v>
      </c>
      <c r="H472" s="8" t="s">
        <v>32</v>
      </c>
      <c r="I472" s="8" t="s">
        <v>56</v>
      </c>
      <c r="J472" s="8">
        <v>0</v>
      </c>
      <c r="K472" s="8">
        <f t="shared" si="109"/>
        <v>0</v>
      </c>
      <c r="L472" s="8">
        <v>40</v>
      </c>
      <c r="M472" s="9">
        <f t="shared" si="110"/>
        <v>40</v>
      </c>
      <c r="N472" s="8">
        <v>1.3</v>
      </c>
      <c r="O472" s="10">
        <f t="shared" si="111"/>
        <v>1.3</v>
      </c>
      <c r="P472" s="8" t="s">
        <v>2051</v>
      </c>
      <c r="Q472" s="14">
        <v>0.78</v>
      </c>
      <c r="R472" s="12">
        <f t="shared" ref="R472:R473" si="115">Q472</f>
        <v>0.78</v>
      </c>
      <c r="S472" s="12">
        <f t="shared" si="112"/>
        <v>0.78</v>
      </c>
    </row>
    <row r="473" spans="1:19" x14ac:dyDescent="0.35">
      <c r="A473" s="8" t="s">
        <v>977</v>
      </c>
      <c r="B473" s="8" t="s">
        <v>978</v>
      </c>
      <c r="C473" s="8" t="s">
        <v>1</v>
      </c>
      <c r="D473" s="8" t="str">
        <f t="shared" si="107"/>
        <v>Female</v>
      </c>
      <c r="E473" s="8">
        <v>48</v>
      </c>
      <c r="F473" s="8">
        <f t="shared" si="108"/>
        <v>48</v>
      </c>
      <c r="G473" s="8" t="s">
        <v>71</v>
      </c>
      <c r="H473" s="8" t="s">
        <v>72</v>
      </c>
      <c r="I473" s="8" t="s">
        <v>10</v>
      </c>
      <c r="J473" s="8">
        <v>7</v>
      </c>
      <c r="K473" s="8">
        <f t="shared" si="109"/>
        <v>7</v>
      </c>
      <c r="L473" s="8">
        <v>50</v>
      </c>
      <c r="M473" s="9">
        <f t="shared" si="110"/>
        <v>50</v>
      </c>
      <c r="N473" s="8">
        <v>4.7</v>
      </c>
      <c r="O473" s="10">
        <f t="shared" si="111"/>
        <v>4.7</v>
      </c>
      <c r="P473" s="8" t="s">
        <v>2051</v>
      </c>
      <c r="Q473" s="14">
        <v>0.6</v>
      </c>
      <c r="R473" s="12">
        <f t="shared" si="115"/>
        <v>0.6</v>
      </c>
      <c r="S473" s="12">
        <f t="shared" si="112"/>
        <v>0.6</v>
      </c>
    </row>
    <row r="474" spans="1:19" x14ac:dyDescent="0.35">
      <c r="A474" s="8" t="s">
        <v>979</v>
      </c>
      <c r="B474" s="8" t="s">
        <v>980</v>
      </c>
      <c r="C474" s="8" t="s">
        <v>41</v>
      </c>
      <c r="D474" s="8" t="str">
        <f t="shared" si="107"/>
        <v>Male</v>
      </c>
      <c r="E474" s="8">
        <v>36</v>
      </c>
      <c r="F474" s="8">
        <f t="shared" si="108"/>
        <v>36</v>
      </c>
      <c r="G474" s="8" t="s">
        <v>110</v>
      </c>
      <c r="H474" s="8" t="s">
        <v>111</v>
      </c>
      <c r="I474" s="8" t="s">
        <v>4</v>
      </c>
      <c r="J474" s="8">
        <v>11</v>
      </c>
      <c r="K474" s="8">
        <f t="shared" si="109"/>
        <v>11</v>
      </c>
      <c r="L474" s="8">
        <v>40</v>
      </c>
      <c r="M474" s="9">
        <f t="shared" si="110"/>
        <v>40</v>
      </c>
      <c r="N474" s="8">
        <v>1.3</v>
      </c>
      <c r="O474" s="10">
        <f t="shared" si="111"/>
        <v>1.3</v>
      </c>
      <c r="P474" s="8" t="s">
        <v>2051</v>
      </c>
      <c r="Q474" s="13"/>
      <c r="S474" s="12">
        <f t="shared" si="112"/>
        <v>0.79269417475728277</v>
      </c>
    </row>
    <row r="475" spans="1:19" x14ac:dyDescent="0.35">
      <c r="A475" s="8" t="s">
        <v>981</v>
      </c>
      <c r="B475" s="8" t="s">
        <v>982</v>
      </c>
      <c r="C475" s="8" t="s">
        <v>7</v>
      </c>
      <c r="D475" s="8" t="str">
        <f t="shared" si="107"/>
        <v>Female</v>
      </c>
      <c r="E475" s="8">
        <v>57</v>
      </c>
      <c r="F475" s="8">
        <f t="shared" si="108"/>
        <v>57</v>
      </c>
      <c r="G475" s="8" t="s">
        <v>147</v>
      </c>
      <c r="H475" s="8" t="s">
        <v>148</v>
      </c>
      <c r="I475" s="8" t="s">
        <v>4</v>
      </c>
      <c r="J475" s="13"/>
      <c r="K475" s="8">
        <f t="shared" si="109"/>
        <v>9</v>
      </c>
      <c r="L475" s="8">
        <v>75</v>
      </c>
      <c r="M475" s="9">
        <f t="shared" si="110"/>
        <v>75</v>
      </c>
      <c r="N475" s="8">
        <v>4.8</v>
      </c>
      <c r="O475" s="10">
        <f t="shared" si="111"/>
        <v>4.8</v>
      </c>
      <c r="P475" s="8" t="s">
        <v>2051</v>
      </c>
      <c r="Q475" s="13"/>
      <c r="S475" s="12">
        <f t="shared" si="112"/>
        <v>0.79269417475728277</v>
      </c>
    </row>
    <row r="476" spans="1:19" x14ac:dyDescent="0.35">
      <c r="A476" s="8" t="s">
        <v>983</v>
      </c>
      <c r="B476" s="8" t="s">
        <v>984</v>
      </c>
      <c r="C476" s="8" t="s">
        <v>41</v>
      </c>
      <c r="D476" s="8" t="str">
        <f t="shared" si="107"/>
        <v>Male</v>
      </c>
      <c r="E476" s="8">
        <v>42</v>
      </c>
      <c r="F476" s="8">
        <f t="shared" si="108"/>
        <v>42</v>
      </c>
      <c r="G476" s="8" t="s">
        <v>38</v>
      </c>
      <c r="H476" s="8" t="s">
        <v>9</v>
      </c>
      <c r="I476" s="8" t="s">
        <v>52</v>
      </c>
      <c r="J476" s="8">
        <v>14</v>
      </c>
      <c r="K476" s="8">
        <f t="shared" si="109"/>
        <v>14</v>
      </c>
      <c r="L476" s="8">
        <v>30</v>
      </c>
      <c r="M476" s="9">
        <f t="shared" si="110"/>
        <v>30</v>
      </c>
      <c r="N476" s="8">
        <v>1.3</v>
      </c>
      <c r="O476" s="10">
        <f t="shared" si="111"/>
        <v>1.3</v>
      </c>
      <c r="P476" s="8" t="s">
        <v>2050</v>
      </c>
      <c r="Q476" s="14">
        <v>0.94</v>
      </c>
      <c r="R476" s="12">
        <f>Q476</f>
        <v>0.94</v>
      </c>
      <c r="S476" s="12">
        <f t="shared" si="112"/>
        <v>0.94</v>
      </c>
    </row>
    <row r="477" spans="1:19" x14ac:dyDescent="0.35">
      <c r="A477" s="8" t="s">
        <v>985</v>
      </c>
      <c r="B477" s="8" t="s">
        <v>986</v>
      </c>
      <c r="C477" s="8" t="s">
        <v>30</v>
      </c>
      <c r="D477" s="8" t="str">
        <f t="shared" si="107"/>
        <v>Male</v>
      </c>
      <c r="E477" s="8">
        <v>31</v>
      </c>
      <c r="F477" s="8">
        <f t="shared" si="108"/>
        <v>31</v>
      </c>
      <c r="G477" s="8" t="s">
        <v>31</v>
      </c>
      <c r="H477" s="8" t="s">
        <v>32</v>
      </c>
      <c r="I477" s="8" t="s">
        <v>56</v>
      </c>
      <c r="J477" s="8">
        <v>11</v>
      </c>
      <c r="K477" s="8">
        <f t="shared" si="109"/>
        <v>11</v>
      </c>
      <c r="L477" s="8">
        <v>50</v>
      </c>
      <c r="M477" s="9">
        <f t="shared" si="110"/>
        <v>50</v>
      </c>
      <c r="N477" s="8">
        <v>4.3</v>
      </c>
      <c r="O477" s="10">
        <f t="shared" si="111"/>
        <v>4.3</v>
      </c>
      <c r="P477" s="8" t="s">
        <v>2050</v>
      </c>
      <c r="Q477" s="8">
        <v>62</v>
      </c>
      <c r="R477" s="12">
        <v>0.62</v>
      </c>
      <c r="S477" s="12">
        <f t="shared" si="112"/>
        <v>0.62</v>
      </c>
    </row>
    <row r="478" spans="1:19" x14ac:dyDescent="0.35">
      <c r="A478" s="8" t="s">
        <v>987</v>
      </c>
      <c r="B478" s="8" t="s">
        <v>988</v>
      </c>
      <c r="C478" s="8" t="s">
        <v>70</v>
      </c>
      <c r="D478" s="8" t="str">
        <f t="shared" si="107"/>
        <v>Male</v>
      </c>
      <c r="E478" s="8">
        <v>52</v>
      </c>
      <c r="F478" s="8">
        <f t="shared" si="108"/>
        <v>52</v>
      </c>
      <c r="G478" s="8" t="s">
        <v>162</v>
      </c>
      <c r="H478" s="8" t="s">
        <v>51</v>
      </c>
      <c r="I478" s="8" t="s">
        <v>56</v>
      </c>
      <c r="J478" s="8">
        <v>31</v>
      </c>
      <c r="K478" s="8">
        <f t="shared" si="109"/>
        <v>31</v>
      </c>
      <c r="L478" s="8">
        <v>30</v>
      </c>
      <c r="M478" s="9">
        <f t="shared" si="110"/>
        <v>30</v>
      </c>
      <c r="O478" s="10">
        <f t="shared" si="111"/>
        <v>2.5125695216907653</v>
      </c>
      <c r="P478" s="8" t="s">
        <v>2051</v>
      </c>
      <c r="Q478" s="13"/>
      <c r="S478" s="12">
        <f t="shared" si="112"/>
        <v>0.79269417475728277</v>
      </c>
    </row>
    <row r="479" spans="1:19" x14ac:dyDescent="0.35">
      <c r="A479" s="8" t="s">
        <v>989</v>
      </c>
      <c r="B479" s="8" t="s">
        <v>990</v>
      </c>
      <c r="C479" s="8" t="s">
        <v>70</v>
      </c>
      <c r="D479" s="8" t="str">
        <f t="shared" si="107"/>
        <v>Male</v>
      </c>
      <c r="E479" s="8">
        <v>56</v>
      </c>
      <c r="F479" s="8">
        <f t="shared" si="108"/>
        <v>56</v>
      </c>
      <c r="G479" s="8" t="s">
        <v>25</v>
      </c>
      <c r="H479" s="8" t="s">
        <v>26</v>
      </c>
      <c r="I479" s="8" t="s">
        <v>67</v>
      </c>
      <c r="J479" s="8">
        <v>16</v>
      </c>
      <c r="K479" s="8">
        <f t="shared" si="109"/>
        <v>16</v>
      </c>
      <c r="L479" s="8">
        <v>30</v>
      </c>
      <c r="M479" s="9">
        <f t="shared" si="110"/>
        <v>30</v>
      </c>
      <c r="N479" s="8">
        <v>0</v>
      </c>
      <c r="O479" s="11">
        <f t="shared" si="111"/>
        <v>0</v>
      </c>
      <c r="P479" s="8" t="s">
        <v>2051</v>
      </c>
      <c r="Q479" s="13"/>
      <c r="S479" s="12">
        <f t="shared" si="112"/>
        <v>0.79269417475728277</v>
      </c>
    </row>
    <row r="480" spans="1:19" x14ac:dyDescent="0.35">
      <c r="A480" s="8" t="s">
        <v>991</v>
      </c>
      <c r="B480" s="8" t="s">
        <v>992</v>
      </c>
      <c r="C480" s="8" t="s">
        <v>55</v>
      </c>
      <c r="D480" s="8" t="str">
        <f t="shared" si="107"/>
        <v>Female</v>
      </c>
      <c r="E480" s="8">
        <v>24</v>
      </c>
      <c r="F480" s="8">
        <f t="shared" si="108"/>
        <v>24</v>
      </c>
      <c r="G480" s="8" t="s">
        <v>25</v>
      </c>
      <c r="H480" s="8" t="s">
        <v>26</v>
      </c>
      <c r="I480" s="8" t="s">
        <v>67</v>
      </c>
      <c r="J480" s="8">
        <v>6</v>
      </c>
      <c r="K480" s="8">
        <f t="shared" si="109"/>
        <v>6</v>
      </c>
      <c r="L480" s="8">
        <v>30</v>
      </c>
      <c r="M480" s="9">
        <f t="shared" si="110"/>
        <v>30</v>
      </c>
      <c r="N480" s="8">
        <v>0</v>
      </c>
      <c r="O480" s="11">
        <f t="shared" si="111"/>
        <v>0</v>
      </c>
      <c r="P480" s="8" t="s">
        <v>2051</v>
      </c>
      <c r="Q480" s="14">
        <v>0.84</v>
      </c>
      <c r="R480" s="12">
        <f>Q480</f>
        <v>0.84</v>
      </c>
      <c r="S480" s="12">
        <f t="shared" si="112"/>
        <v>0.84</v>
      </c>
    </row>
    <row r="481" spans="1:19" x14ac:dyDescent="0.35">
      <c r="A481" s="8" t="s">
        <v>993</v>
      </c>
      <c r="B481" s="8" t="s">
        <v>994</v>
      </c>
      <c r="C481" s="8" t="s">
        <v>13</v>
      </c>
      <c r="D481" s="8" t="str">
        <f t="shared" si="107"/>
        <v>Male</v>
      </c>
      <c r="E481" s="8">
        <v>48</v>
      </c>
      <c r="F481" s="8">
        <f t="shared" si="108"/>
        <v>48</v>
      </c>
      <c r="G481" s="8" t="s">
        <v>103</v>
      </c>
      <c r="H481" s="8" t="s">
        <v>9</v>
      </c>
      <c r="I481" s="8" t="s">
        <v>67</v>
      </c>
      <c r="J481" s="8">
        <v>21</v>
      </c>
      <c r="K481" s="8">
        <f t="shared" si="109"/>
        <v>21</v>
      </c>
      <c r="L481" s="8">
        <v>75</v>
      </c>
      <c r="M481" s="9">
        <f t="shared" si="110"/>
        <v>75</v>
      </c>
      <c r="N481" s="8">
        <v>2.7</v>
      </c>
      <c r="O481" s="10">
        <f t="shared" si="111"/>
        <v>2.7</v>
      </c>
      <c r="P481" s="8" t="s">
        <v>2051</v>
      </c>
      <c r="Q481" s="13"/>
      <c r="S481" s="12">
        <f t="shared" si="112"/>
        <v>0.79269417475728277</v>
      </c>
    </row>
    <row r="482" spans="1:19" x14ac:dyDescent="0.35">
      <c r="A482" s="8" t="s">
        <v>995</v>
      </c>
      <c r="B482" s="8" t="s">
        <v>996</v>
      </c>
      <c r="C482" s="8" t="s">
        <v>75</v>
      </c>
      <c r="D482" s="8" t="str">
        <f t="shared" si="107"/>
        <v>Male</v>
      </c>
      <c r="E482" s="8">
        <v>59</v>
      </c>
      <c r="F482" s="8">
        <f t="shared" si="108"/>
        <v>59</v>
      </c>
      <c r="G482" s="8" t="s">
        <v>110</v>
      </c>
      <c r="H482" s="8" t="s">
        <v>111</v>
      </c>
      <c r="I482" s="8" t="s">
        <v>56</v>
      </c>
      <c r="J482" s="8">
        <v>13</v>
      </c>
      <c r="K482" s="8">
        <f t="shared" si="109"/>
        <v>13</v>
      </c>
      <c r="L482" s="8">
        <v>40</v>
      </c>
      <c r="M482" s="9">
        <f t="shared" si="110"/>
        <v>40</v>
      </c>
      <c r="N482" s="8">
        <v>2.4</v>
      </c>
      <c r="O482" s="10">
        <f t="shared" si="111"/>
        <v>2.4</v>
      </c>
      <c r="P482" s="8" t="s">
        <v>2050</v>
      </c>
      <c r="Q482" s="8">
        <v>65</v>
      </c>
      <c r="R482" s="12">
        <v>0.65</v>
      </c>
      <c r="S482" s="12">
        <f t="shared" si="112"/>
        <v>0.65</v>
      </c>
    </row>
    <row r="483" spans="1:19" x14ac:dyDescent="0.35">
      <c r="A483" s="8" t="s">
        <v>997</v>
      </c>
      <c r="B483" s="8" t="s">
        <v>998</v>
      </c>
      <c r="C483" s="8" t="s">
        <v>41</v>
      </c>
      <c r="D483" s="8" t="str">
        <f t="shared" si="107"/>
        <v>Male</v>
      </c>
      <c r="E483" s="13"/>
      <c r="F483" s="8">
        <f t="shared" si="108"/>
        <v>41</v>
      </c>
      <c r="G483" s="8" t="s">
        <v>46</v>
      </c>
      <c r="H483" s="8" t="s">
        <v>9</v>
      </c>
      <c r="I483" s="8" t="s">
        <v>20</v>
      </c>
      <c r="J483" s="13"/>
      <c r="K483" s="8">
        <f t="shared" si="109"/>
        <v>9</v>
      </c>
      <c r="L483" s="8">
        <v>40</v>
      </c>
      <c r="M483" s="9">
        <f t="shared" si="110"/>
        <v>40</v>
      </c>
      <c r="N483" s="8">
        <v>1.9</v>
      </c>
      <c r="O483" s="10">
        <f t="shared" si="111"/>
        <v>1.9</v>
      </c>
      <c r="P483" s="8" t="s">
        <v>2051</v>
      </c>
      <c r="Q483" s="14">
        <v>0.94</v>
      </c>
      <c r="R483" s="12">
        <f t="shared" ref="R483:R486" si="116">Q483</f>
        <v>0.94</v>
      </c>
      <c r="S483" s="12">
        <f t="shared" si="112"/>
        <v>0.94</v>
      </c>
    </row>
    <row r="484" spans="1:19" x14ac:dyDescent="0.35">
      <c r="A484" s="8" t="s">
        <v>999</v>
      </c>
      <c r="B484" s="8" t="s">
        <v>1000</v>
      </c>
      <c r="C484" s="8" t="s">
        <v>22</v>
      </c>
      <c r="D484" s="8" t="str">
        <f t="shared" si="107"/>
        <v>Female</v>
      </c>
      <c r="E484" s="13"/>
      <c r="F484" s="8">
        <f t="shared" si="108"/>
        <v>41</v>
      </c>
      <c r="G484" s="8" t="s">
        <v>25</v>
      </c>
      <c r="H484" s="8" t="s">
        <v>26</v>
      </c>
      <c r="I484" s="8" t="s">
        <v>10</v>
      </c>
      <c r="J484" s="8">
        <v>11</v>
      </c>
      <c r="K484" s="8">
        <f t="shared" si="109"/>
        <v>11</v>
      </c>
      <c r="L484" s="8">
        <v>20</v>
      </c>
      <c r="M484" s="9">
        <f t="shared" si="110"/>
        <v>20</v>
      </c>
      <c r="N484" s="8">
        <v>3.6</v>
      </c>
      <c r="O484" s="10">
        <f t="shared" si="111"/>
        <v>3.6</v>
      </c>
      <c r="P484" s="8" t="s">
        <v>2050</v>
      </c>
      <c r="Q484" s="14">
        <v>0.69</v>
      </c>
      <c r="R484" s="12">
        <f t="shared" si="116"/>
        <v>0.69</v>
      </c>
      <c r="S484" s="12">
        <f t="shared" si="112"/>
        <v>0.69</v>
      </c>
    </row>
    <row r="485" spans="1:19" x14ac:dyDescent="0.35">
      <c r="A485" s="8" t="s">
        <v>1001</v>
      </c>
      <c r="B485" s="8" t="s">
        <v>1002</v>
      </c>
      <c r="C485" s="8" t="s">
        <v>30</v>
      </c>
      <c r="D485" s="8" t="str">
        <f t="shared" si="107"/>
        <v>Male</v>
      </c>
      <c r="E485" s="8">
        <v>25</v>
      </c>
      <c r="F485" s="8">
        <f t="shared" si="108"/>
        <v>25</v>
      </c>
      <c r="G485" s="8" t="s">
        <v>25</v>
      </c>
      <c r="H485" s="8" t="s">
        <v>26</v>
      </c>
      <c r="I485" s="8" t="s">
        <v>10</v>
      </c>
      <c r="J485" s="8">
        <v>0</v>
      </c>
      <c r="K485" s="8">
        <f t="shared" si="109"/>
        <v>0</v>
      </c>
      <c r="L485" s="8">
        <v>50</v>
      </c>
      <c r="M485" s="9">
        <f t="shared" si="110"/>
        <v>50</v>
      </c>
      <c r="N485" s="8">
        <v>2.9</v>
      </c>
      <c r="O485" s="10">
        <f t="shared" si="111"/>
        <v>2.9</v>
      </c>
      <c r="P485" s="8" t="s">
        <v>2051</v>
      </c>
      <c r="Q485" s="14">
        <v>0.65</v>
      </c>
      <c r="R485" s="12">
        <f t="shared" si="116"/>
        <v>0.65</v>
      </c>
      <c r="S485" s="12">
        <f t="shared" si="112"/>
        <v>0.65</v>
      </c>
    </row>
    <row r="486" spans="1:19" x14ac:dyDescent="0.35">
      <c r="A486" s="8" t="s">
        <v>1003</v>
      </c>
      <c r="B486" s="8" t="s">
        <v>1004</v>
      </c>
      <c r="C486" s="8" t="s">
        <v>13</v>
      </c>
      <c r="D486" s="8" t="str">
        <f t="shared" si="107"/>
        <v>Male</v>
      </c>
      <c r="E486" s="8">
        <v>31</v>
      </c>
      <c r="F486" s="8">
        <f t="shared" si="108"/>
        <v>31</v>
      </c>
      <c r="G486" s="8" t="s">
        <v>114</v>
      </c>
      <c r="H486" s="8" t="s">
        <v>115</v>
      </c>
      <c r="I486" s="8" t="s">
        <v>10</v>
      </c>
      <c r="J486" s="8">
        <v>2</v>
      </c>
      <c r="K486" s="8">
        <f t="shared" si="109"/>
        <v>2</v>
      </c>
      <c r="L486" s="8">
        <v>75</v>
      </c>
      <c r="M486" s="9">
        <f t="shared" si="110"/>
        <v>75</v>
      </c>
      <c r="N486" s="8">
        <v>2.8</v>
      </c>
      <c r="O486" s="10">
        <f t="shared" si="111"/>
        <v>2.8</v>
      </c>
      <c r="P486" s="8" t="s">
        <v>2050</v>
      </c>
      <c r="Q486" s="14">
        <v>0.6</v>
      </c>
      <c r="R486" s="12">
        <f t="shared" si="116"/>
        <v>0.6</v>
      </c>
      <c r="S486" s="12">
        <f t="shared" si="112"/>
        <v>0.6</v>
      </c>
    </row>
    <row r="487" spans="1:19" x14ac:dyDescent="0.35">
      <c r="A487" s="8" t="s">
        <v>1005</v>
      </c>
      <c r="B487" s="8" t="s">
        <v>1006</v>
      </c>
      <c r="C487" s="8" t="s">
        <v>41</v>
      </c>
      <c r="D487" s="8" t="str">
        <f t="shared" si="107"/>
        <v>Male</v>
      </c>
      <c r="E487" s="8">
        <v>40</v>
      </c>
      <c r="F487" s="8">
        <f t="shared" si="108"/>
        <v>40</v>
      </c>
      <c r="G487" s="8" t="s">
        <v>42</v>
      </c>
      <c r="H487" s="8" t="s">
        <v>43</v>
      </c>
      <c r="I487" s="8" t="s">
        <v>67</v>
      </c>
      <c r="J487" s="8">
        <v>12</v>
      </c>
      <c r="K487" s="8">
        <f t="shared" si="109"/>
        <v>12</v>
      </c>
      <c r="L487" s="8">
        <v>75</v>
      </c>
      <c r="M487" s="9">
        <f t="shared" si="110"/>
        <v>75</v>
      </c>
      <c r="N487" s="8">
        <v>2.6</v>
      </c>
      <c r="O487" s="10">
        <f t="shared" si="111"/>
        <v>2.6</v>
      </c>
      <c r="P487" s="8" t="s">
        <v>2050</v>
      </c>
      <c r="Q487" s="13"/>
      <c r="S487" s="12">
        <f t="shared" si="112"/>
        <v>0.79269417475728277</v>
      </c>
    </row>
    <row r="488" spans="1:19" x14ac:dyDescent="0.35">
      <c r="A488" s="8" t="s">
        <v>1007</v>
      </c>
      <c r="B488" s="8" t="s">
        <v>638</v>
      </c>
      <c r="C488" s="8" t="s">
        <v>1</v>
      </c>
      <c r="D488" s="8" t="str">
        <f t="shared" si="107"/>
        <v>Female</v>
      </c>
      <c r="E488" s="8">
        <v>48</v>
      </c>
      <c r="F488" s="8">
        <f t="shared" si="108"/>
        <v>48</v>
      </c>
      <c r="G488" s="8" t="s">
        <v>99</v>
      </c>
      <c r="H488" s="8" t="s">
        <v>100</v>
      </c>
      <c r="I488" s="8" t="s">
        <v>4</v>
      </c>
      <c r="J488" s="8">
        <v>13</v>
      </c>
      <c r="K488" s="8">
        <f t="shared" si="109"/>
        <v>13</v>
      </c>
      <c r="L488" s="8">
        <v>100</v>
      </c>
      <c r="M488" s="9">
        <f t="shared" si="110"/>
        <v>100</v>
      </c>
      <c r="N488" s="8">
        <v>2.7</v>
      </c>
      <c r="O488" s="10">
        <f t="shared" si="111"/>
        <v>2.7</v>
      </c>
      <c r="P488" s="13" t="s">
        <v>2050</v>
      </c>
      <c r="Q488" s="14">
        <v>0.62</v>
      </c>
      <c r="R488" s="12">
        <f>Q488</f>
        <v>0.62</v>
      </c>
      <c r="S488" s="12">
        <f t="shared" si="112"/>
        <v>0.62</v>
      </c>
    </row>
    <row r="489" spans="1:19" x14ac:dyDescent="0.35">
      <c r="A489" s="8" t="s">
        <v>1008</v>
      </c>
      <c r="B489" s="8" t="s">
        <v>1009</v>
      </c>
      <c r="C489" s="8" t="s">
        <v>1</v>
      </c>
      <c r="D489" s="8" t="str">
        <f t="shared" si="107"/>
        <v>Female</v>
      </c>
      <c r="E489" s="8">
        <v>24</v>
      </c>
      <c r="F489" s="8">
        <f t="shared" si="108"/>
        <v>24</v>
      </c>
      <c r="G489" s="8" t="s">
        <v>128</v>
      </c>
      <c r="H489" s="8" t="s">
        <v>129</v>
      </c>
      <c r="I489" s="8" t="s">
        <v>10</v>
      </c>
      <c r="J489" s="8">
        <v>6</v>
      </c>
      <c r="K489" s="8">
        <f t="shared" si="109"/>
        <v>6</v>
      </c>
      <c r="L489" s="8">
        <v>30</v>
      </c>
      <c r="M489" s="9">
        <f t="shared" si="110"/>
        <v>30</v>
      </c>
      <c r="N489" s="8">
        <v>1.1000000000000001</v>
      </c>
      <c r="O489" s="10">
        <f t="shared" si="111"/>
        <v>1.1000000000000001</v>
      </c>
      <c r="P489" s="8" t="s">
        <v>2051</v>
      </c>
      <c r="Q489" s="13"/>
      <c r="S489" s="12">
        <f t="shared" si="112"/>
        <v>0.79269417475728277</v>
      </c>
    </row>
    <row r="490" spans="1:19" x14ac:dyDescent="0.35">
      <c r="A490" s="8" t="s">
        <v>1010</v>
      </c>
      <c r="B490" s="8" t="s">
        <v>1011</v>
      </c>
      <c r="C490" s="8" t="s">
        <v>41</v>
      </c>
      <c r="D490" s="8" t="str">
        <f t="shared" si="107"/>
        <v>Male</v>
      </c>
      <c r="E490" s="8">
        <v>33</v>
      </c>
      <c r="F490" s="8">
        <f t="shared" si="108"/>
        <v>33</v>
      </c>
      <c r="G490" s="8" t="s">
        <v>31</v>
      </c>
      <c r="H490" s="8" t="s">
        <v>32</v>
      </c>
      <c r="I490" s="8" t="s">
        <v>20</v>
      </c>
      <c r="J490" s="8">
        <v>10</v>
      </c>
      <c r="K490" s="8">
        <f t="shared" si="109"/>
        <v>10</v>
      </c>
      <c r="L490" s="8">
        <v>30</v>
      </c>
      <c r="M490" s="9">
        <f t="shared" si="110"/>
        <v>30</v>
      </c>
      <c r="N490" s="8">
        <v>0</v>
      </c>
      <c r="O490" s="11">
        <f t="shared" si="111"/>
        <v>0</v>
      </c>
      <c r="P490" s="8" t="s">
        <v>2051</v>
      </c>
      <c r="Q490" s="14">
        <v>0.89</v>
      </c>
      <c r="R490" s="12">
        <f t="shared" ref="R490:R492" si="117">Q490</f>
        <v>0.89</v>
      </c>
      <c r="S490" s="12">
        <f t="shared" si="112"/>
        <v>0.89</v>
      </c>
    </row>
    <row r="491" spans="1:19" x14ac:dyDescent="0.35">
      <c r="A491" s="8" t="s">
        <v>1012</v>
      </c>
      <c r="B491" s="8" t="s">
        <v>1013</v>
      </c>
      <c r="C491" s="8" t="s">
        <v>55</v>
      </c>
      <c r="D491" s="8" t="str">
        <f t="shared" si="107"/>
        <v>Female</v>
      </c>
      <c r="E491" s="8">
        <v>43</v>
      </c>
      <c r="F491" s="8">
        <f t="shared" si="108"/>
        <v>43</v>
      </c>
      <c r="G491" s="8" t="s">
        <v>84</v>
      </c>
      <c r="H491" s="8" t="s">
        <v>85</v>
      </c>
      <c r="I491" s="8" t="s">
        <v>52</v>
      </c>
      <c r="J491" s="8">
        <v>2</v>
      </c>
      <c r="K491" s="8">
        <f t="shared" si="109"/>
        <v>2</v>
      </c>
      <c r="L491" s="8">
        <v>40</v>
      </c>
      <c r="M491" s="9">
        <f t="shared" si="110"/>
        <v>40</v>
      </c>
      <c r="N491" s="8">
        <v>0</v>
      </c>
      <c r="O491" s="11">
        <f t="shared" si="111"/>
        <v>0</v>
      </c>
      <c r="P491" s="8" t="s">
        <v>2051</v>
      </c>
      <c r="Q491" s="14">
        <v>0.89</v>
      </c>
      <c r="R491" s="12">
        <f t="shared" si="117"/>
        <v>0.89</v>
      </c>
      <c r="S491" s="12">
        <f t="shared" si="112"/>
        <v>0.89</v>
      </c>
    </row>
    <row r="492" spans="1:19" x14ac:dyDescent="0.35">
      <c r="A492" s="8" t="s">
        <v>1014</v>
      </c>
      <c r="B492" s="8" t="s">
        <v>1015</v>
      </c>
      <c r="C492" s="8" t="s">
        <v>70</v>
      </c>
      <c r="D492" s="8" t="str">
        <f t="shared" si="107"/>
        <v>Male</v>
      </c>
      <c r="E492" s="8">
        <v>43</v>
      </c>
      <c r="F492" s="8">
        <f t="shared" si="108"/>
        <v>43</v>
      </c>
      <c r="G492" s="8" t="s">
        <v>162</v>
      </c>
      <c r="H492" s="8" t="s">
        <v>51</v>
      </c>
      <c r="I492" s="8" t="s">
        <v>4</v>
      </c>
      <c r="J492" s="8">
        <v>4</v>
      </c>
      <c r="K492" s="8">
        <f t="shared" si="109"/>
        <v>4</v>
      </c>
      <c r="L492" s="8">
        <v>50</v>
      </c>
      <c r="M492" s="9">
        <f t="shared" si="110"/>
        <v>50</v>
      </c>
      <c r="N492" s="8">
        <v>0</v>
      </c>
      <c r="O492" s="11">
        <f t="shared" si="111"/>
        <v>0</v>
      </c>
      <c r="P492" s="8" t="s">
        <v>2051</v>
      </c>
      <c r="Q492" s="14">
        <v>1</v>
      </c>
      <c r="R492" s="12">
        <f t="shared" si="117"/>
        <v>1</v>
      </c>
      <c r="S492" s="12">
        <f t="shared" si="112"/>
        <v>1</v>
      </c>
    </row>
    <row r="493" spans="1:19" x14ac:dyDescent="0.35">
      <c r="A493" s="8" t="s">
        <v>1016</v>
      </c>
      <c r="B493" s="8" t="s">
        <v>1017</v>
      </c>
      <c r="C493" s="8" t="s">
        <v>7</v>
      </c>
      <c r="D493" s="8" t="str">
        <f t="shared" si="107"/>
        <v>Female</v>
      </c>
      <c r="E493" s="8">
        <v>33</v>
      </c>
      <c r="F493" s="8">
        <f t="shared" si="108"/>
        <v>33</v>
      </c>
      <c r="G493" s="8" t="s">
        <v>8</v>
      </c>
      <c r="H493" s="8" t="s">
        <v>9</v>
      </c>
      <c r="I493" s="8" t="s">
        <v>20</v>
      </c>
      <c r="J493" s="8">
        <v>11</v>
      </c>
      <c r="K493" s="8">
        <f t="shared" si="109"/>
        <v>11</v>
      </c>
      <c r="L493" s="13"/>
      <c r="M493" s="9">
        <f t="shared" si="110"/>
        <v>40</v>
      </c>
      <c r="N493" s="8">
        <v>4.5999999999999996</v>
      </c>
      <c r="O493" s="10">
        <f t="shared" si="111"/>
        <v>4.5999999999999996</v>
      </c>
      <c r="P493" s="8" t="s">
        <v>2051</v>
      </c>
      <c r="Q493" s="13"/>
      <c r="S493" s="12">
        <f t="shared" si="112"/>
        <v>0.79269417475728277</v>
      </c>
    </row>
    <row r="494" spans="1:19" x14ac:dyDescent="0.35">
      <c r="A494" s="8" t="s">
        <v>1018</v>
      </c>
      <c r="B494" s="8" t="s">
        <v>1019</v>
      </c>
      <c r="C494" s="8" t="s">
        <v>7</v>
      </c>
      <c r="D494" s="8" t="str">
        <f t="shared" si="107"/>
        <v>Female</v>
      </c>
      <c r="E494" s="8">
        <v>49</v>
      </c>
      <c r="F494" s="8">
        <f t="shared" si="108"/>
        <v>49</v>
      </c>
      <c r="G494" s="8" t="s">
        <v>99</v>
      </c>
      <c r="H494" s="8" t="s">
        <v>100</v>
      </c>
      <c r="I494" s="8" t="s">
        <v>52</v>
      </c>
      <c r="J494" s="8">
        <v>14</v>
      </c>
      <c r="K494" s="8">
        <f t="shared" si="109"/>
        <v>14</v>
      </c>
      <c r="L494" s="8">
        <v>40</v>
      </c>
      <c r="M494" s="9">
        <f t="shared" si="110"/>
        <v>40</v>
      </c>
      <c r="N494" s="8">
        <v>1.5</v>
      </c>
      <c r="O494" s="10">
        <f t="shared" si="111"/>
        <v>1.5</v>
      </c>
      <c r="P494" s="13" t="s">
        <v>2050</v>
      </c>
      <c r="Q494" s="14">
        <v>0.6</v>
      </c>
      <c r="R494" s="12">
        <f t="shared" ref="R494:R508" si="118">Q494</f>
        <v>0.6</v>
      </c>
      <c r="S494" s="12">
        <f t="shared" si="112"/>
        <v>0.6</v>
      </c>
    </row>
    <row r="495" spans="1:19" x14ac:dyDescent="0.35">
      <c r="A495" s="8" t="s">
        <v>1020</v>
      </c>
      <c r="B495" s="8" t="s">
        <v>1021</v>
      </c>
      <c r="C495" s="8" t="s">
        <v>30</v>
      </c>
      <c r="D495" s="8" t="str">
        <f t="shared" si="107"/>
        <v>Male</v>
      </c>
      <c r="E495" s="8">
        <v>55</v>
      </c>
      <c r="F495" s="8">
        <f t="shared" si="108"/>
        <v>55</v>
      </c>
      <c r="G495" s="8" t="s">
        <v>103</v>
      </c>
      <c r="H495" s="8" t="s">
        <v>9</v>
      </c>
      <c r="I495" s="8" t="s">
        <v>52</v>
      </c>
      <c r="J495" s="8">
        <v>10</v>
      </c>
      <c r="K495" s="8">
        <f t="shared" si="109"/>
        <v>10</v>
      </c>
      <c r="L495" s="8">
        <v>40</v>
      </c>
      <c r="M495" s="9">
        <f t="shared" si="110"/>
        <v>40</v>
      </c>
      <c r="N495" s="8">
        <v>2</v>
      </c>
      <c r="O495" s="10">
        <f t="shared" si="111"/>
        <v>2</v>
      </c>
      <c r="P495" s="8" t="s">
        <v>2050</v>
      </c>
      <c r="Q495" s="14">
        <v>0.85</v>
      </c>
      <c r="R495" s="12">
        <f t="shared" si="118"/>
        <v>0.85</v>
      </c>
      <c r="S495" s="12">
        <f t="shared" si="112"/>
        <v>0.85</v>
      </c>
    </row>
    <row r="496" spans="1:19" x14ac:dyDescent="0.35">
      <c r="A496" s="8" t="s">
        <v>1022</v>
      </c>
      <c r="B496" s="8" t="s">
        <v>1023</v>
      </c>
      <c r="C496" s="8" t="s">
        <v>19</v>
      </c>
      <c r="D496" s="8" t="str">
        <f t="shared" si="107"/>
        <v>Female</v>
      </c>
      <c r="E496" s="8">
        <v>33</v>
      </c>
      <c r="F496" s="8">
        <f t="shared" si="108"/>
        <v>33</v>
      </c>
      <c r="G496" s="8" t="s">
        <v>88</v>
      </c>
      <c r="H496" s="8" t="s">
        <v>89</v>
      </c>
      <c r="I496" s="8" t="s">
        <v>16</v>
      </c>
      <c r="J496" s="8">
        <v>3</v>
      </c>
      <c r="K496" s="8">
        <f t="shared" si="109"/>
        <v>3</v>
      </c>
      <c r="L496" s="8">
        <v>40</v>
      </c>
      <c r="M496" s="9">
        <f t="shared" si="110"/>
        <v>40</v>
      </c>
      <c r="N496" s="8">
        <v>1.6</v>
      </c>
      <c r="O496" s="10">
        <f t="shared" si="111"/>
        <v>1.6</v>
      </c>
      <c r="P496" s="13" t="s">
        <v>2050</v>
      </c>
      <c r="Q496" s="14">
        <v>0.83</v>
      </c>
      <c r="R496" s="12">
        <f t="shared" si="118"/>
        <v>0.83</v>
      </c>
      <c r="S496" s="12">
        <f t="shared" si="112"/>
        <v>0.83</v>
      </c>
    </row>
    <row r="497" spans="1:19" x14ac:dyDescent="0.35">
      <c r="A497" s="8" t="s">
        <v>1024</v>
      </c>
      <c r="B497" s="8" t="s">
        <v>1025</v>
      </c>
      <c r="C497" s="8" t="s">
        <v>75</v>
      </c>
      <c r="D497" s="8" t="str">
        <f t="shared" si="107"/>
        <v>Male</v>
      </c>
      <c r="E497" s="8">
        <v>32</v>
      </c>
      <c r="F497" s="8">
        <f t="shared" si="108"/>
        <v>32</v>
      </c>
      <c r="G497" s="8" t="s">
        <v>50</v>
      </c>
      <c r="H497" s="8" t="s">
        <v>51</v>
      </c>
      <c r="I497" s="8" t="s">
        <v>27</v>
      </c>
      <c r="J497" s="8">
        <v>3</v>
      </c>
      <c r="K497" s="8">
        <f t="shared" si="109"/>
        <v>3</v>
      </c>
      <c r="L497" s="8">
        <v>30</v>
      </c>
      <c r="M497" s="9">
        <f t="shared" si="110"/>
        <v>30</v>
      </c>
      <c r="N497" s="8">
        <v>1.5</v>
      </c>
      <c r="O497" s="10">
        <f t="shared" si="111"/>
        <v>1.5</v>
      </c>
      <c r="P497" s="8" t="s">
        <v>2050</v>
      </c>
      <c r="Q497" s="14">
        <v>0.96</v>
      </c>
      <c r="R497" s="12">
        <f t="shared" si="118"/>
        <v>0.96</v>
      </c>
      <c r="S497" s="12">
        <f t="shared" si="112"/>
        <v>0.96</v>
      </c>
    </row>
    <row r="498" spans="1:19" x14ac:dyDescent="0.35">
      <c r="A498" s="8" t="s">
        <v>1026</v>
      </c>
      <c r="B498" s="8" t="s">
        <v>1027</v>
      </c>
      <c r="C498" s="8" t="s">
        <v>30</v>
      </c>
      <c r="D498" s="8" t="str">
        <f t="shared" si="107"/>
        <v>Male</v>
      </c>
      <c r="E498" s="8">
        <v>58</v>
      </c>
      <c r="F498" s="8">
        <f t="shared" si="108"/>
        <v>58</v>
      </c>
      <c r="G498" s="8" t="s">
        <v>25</v>
      </c>
      <c r="H498" s="8" t="s">
        <v>26</v>
      </c>
      <c r="I498" s="8" t="s">
        <v>4</v>
      </c>
      <c r="J498" s="8">
        <v>33</v>
      </c>
      <c r="K498" s="8">
        <f t="shared" si="109"/>
        <v>33</v>
      </c>
      <c r="L498" s="13"/>
      <c r="M498" s="9">
        <f t="shared" si="110"/>
        <v>40</v>
      </c>
      <c r="N498" s="8">
        <v>4.0999999999999996</v>
      </c>
      <c r="O498" s="10">
        <f t="shared" si="111"/>
        <v>4.0999999999999996</v>
      </c>
      <c r="P498" s="8" t="s">
        <v>2051</v>
      </c>
      <c r="Q498" s="14">
        <v>0.83</v>
      </c>
      <c r="R498" s="12">
        <f t="shared" si="118"/>
        <v>0.83</v>
      </c>
      <c r="S498" s="12">
        <f t="shared" si="112"/>
        <v>0.83</v>
      </c>
    </row>
    <row r="499" spans="1:19" x14ac:dyDescent="0.35">
      <c r="A499" s="8" t="s">
        <v>1028</v>
      </c>
      <c r="B499" s="8" t="s">
        <v>2048</v>
      </c>
      <c r="C499" s="8" t="s">
        <v>13</v>
      </c>
      <c r="D499" s="8" t="str">
        <f t="shared" si="107"/>
        <v>Male</v>
      </c>
      <c r="E499" s="8">
        <v>49</v>
      </c>
      <c r="F499" s="8">
        <f t="shared" si="108"/>
        <v>49</v>
      </c>
      <c r="G499" s="8" t="s">
        <v>31</v>
      </c>
      <c r="H499" s="8" t="s">
        <v>32</v>
      </c>
      <c r="I499" s="8" t="s">
        <v>33</v>
      </c>
      <c r="J499" s="8">
        <v>24</v>
      </c>
      <c r="K499" s="8">
        <f t="shared" si="109"/>
        <v>24</v>
      </c>
      <c r="L499" s="8">
        <v>100</v>
      </c>
      <c r="M499" s="9">
        <f t="shared" si="110"/>
        <v>100</v>
      </c>
      <c r="N499" s="8">
        <v>4.7</v>
      </c>
      <c r="O499" s="10">
        <f t="shared" si="111"/>
        <v>4.7</v>
      </c>
      <c r="P499" s="8" t="s">
        <v>2050</v>
      </c>
      <c r="Q499" s="14">
        <v>0.6</v>
      </c>
      <c r="R499" s="12">
        <f t="shared" si="118"/>
        <v>0.6</v>
      </c>
      <c r="S499" s="12">
        <f t="shared" si="112"/>
        <v>0.6</v>
      </c>
    </row>
    <row r="500" spans="1:19" x14ac:dyDescent="0.35">
      <c r="A500" s="8" t="s">
        <v>1029</v>
      </c>
      <c r="B500" s="8" t="s">
        <v>1030</v>
      </c>
      <c r="C500" s="8" t="s">
        <v>55</v>
      </c>
      <c r="D500" s="8" t="str">
        <f t="shared" si="107"/>
        <v>Female</v>
      </c>
      <c r="E500" s="8">
        <v>22</v>
      </c>
      <c r="F500" s="8">
        <f t="shared" si="108"/>
        <v>22</v>
      </c>
      <c r="G500" s="8" t="s">
        <v>99</v>
      </c>
      <c r="H500" s="8" t="s">
        <v>100</v>
      </c>
      <c r="I500" s="8" t="s">
        <v>52</v>
      </c>
      <c r="J500" s="8">
        <v>3</v>
      </c>
      <c r="K500" s="8">
        <f t="shared" si="109"/>
        <v>3</v>
      </c>
      <c r="L500" s="8">
        <v>100</v>
      </c>
      <c r="M500" s="9">
        <f t="shared" si="110"/>
        <v>100</v>
      </c>
      <c r="N500" s="8">
        <v>3.6</v>
      </c>
      <c r="O500" s="10">
        <f t="shared" si="111"/>
        <v>3.6</v>
      </c>
      <c r="P500" s="8" t="s">
        <v>2051</v>
      </c>
      <c r="Q500" s="14">
        <v>0.78</v>
      </c>
      <c r="R500" s="12">
        <f t="shared" si="118"/>
        <v>0.78</v>
      </c>
      <c r="S500" s="12">
        <f t="shared" si="112"/>
        <v>0.78</v>
      </c>
    </row>
    <row r="501" spans="1:19" x14ac:dyDescent="0.35">
      <c r="A501" s="8" t="s">
        <v>1031</v>
      </c>
      <c r="B501" s="8" t="s">
        <v>1032</v>
      </c>
      <c r="C501" s="8" t="s">
        <v>1</v>
      </c>
      <c r="D501" s="8" t="str">
        <f t="shared" si="107"/>
        <v>Female</v>
      </c>
      <c r="E501" s="8">
        <v>40</v>
      </c>
      <c r="F501" s="8">
        <f t="shared" si="108"/>
        <v>40</v>
      </c>
      <c r="G501" s="8" t="s">
        <v>114</v>
      </c>
      <c r="H501" s="8" t="s">
        <v>115</v>
      </c>
      <c r="I501" s="8" t="s">
        <v>20</v>
      </c>
      <c r="J501" s="8">
        <v>11</v>
      </c>
      <c r="K501" s="8">
        <f t="shared" si="109"/>
        <v>11</v>
      </c>
      <c r="L501" s="8">
        <v>20</v>
      </c>
      <c r="M501" s="9">
        <f t="shared" si="110"/>
        <v>20</v>
      </c>
      <c r="N501" s="8">
        <v>1.8</v>
      </c>
      <c r="O501" s="10">
        <f t="shared" si="111"/>
        <v>1.8</v>
      </c>
      <c r="P501" s="8" t="s">
        <v>2051</v>
      </c>
      <c r="Q501" s="14">
        <v>0.9</v>
      </c>
      <c r="R501" s="12">
        <f t="shared" si="118"/>
        <v>0.9</v>
      </c>
      <c r="S501" s="12">
        <f t="shared" si="112"/>
        <v>0.9</v>
      </c>
    </row>
    <row r="502" spans="1:19" x14ac:dyDescent="0.35">
      <c r="A502" s="8" t="s">
        <v>1033</v>
      </c>
      <c r="B502" s="8" t="s">
        <v>1034</v>
      </c>
      <c r="C502" s="8" t="s">
        <v>30</v>
      </c>
      <c r="D502" s="8" t="str">
        <f t="shared" si="107"/>
        <v>Male</v>
      </c>
      <c r="E502" s="8">
        <v>55</v>
      </c>
      <c r="F502" s="8">
        <f t="shared" si="108"/>
        <v>55</v>
      </c>
      <c r="G502" s="8" t="s">
        <v>8</v>
      </c>
      <c r="H502" s="8" t="s">
        <v>9</v>
      </c>
      <c r="I502" s="8" t="s">
        <v>33</v>
      </c>
      <c r="J502" s="8">
        <v>7</v>
      </c>
      <c r="K502" s="8">
        <f t="shared" si="109"/>
        <v>7</v>
      </c>
      <c r="L502" s="8">
        <v>100</v>
      </c>
      <c r="M502" s="9">
        <f t="shared" si="110"/>
        <v>100</v>
      </c>
      <c r="N502" s="8">
        <v>2.1</v>
      </c>
      <c r="O502" s="10">
        <f t="shared" si="111"/>
        <v>2.1</v>
      </c>
      <c r="P502" s="8" t="s">
        <v>2050</v>
      </c>
      <c r="Q502" s="14">
        <v>0.66</v>
      </c>
      <c r="R502" s="12">
        <f t="shared" si="118"/>
        <v>0.66</v>
      </c>
      <c r="S502" s="12">
        <f t="shared" si="112"/>
        <v>0.66</v>
      </c>
    </row>
    <row r="503" spans="1:19" x14ac:dyDescent="0.35">
      <c r="A503" s="8" t="s">
        <v>1035</v>
      </c>
      <c r="B503" s="8" t="s">
        <v>1036</v>
      </c>
      <c r="C503" s="8" t="s">
        <v>70</v>
      </c>
      <c r="D503" s="8" t="str">
        <f t="shared" si="107"/>
        <v>Male</v>
      </c>
      <c r="E503" s="8">
        <v>32</v>
      </c>
      <c r="F503" s="8">
        <f t="shared" si="108"/>
        <v>32</v>
      </c>
      <c r="G503" s="8" t="s">
        <v>151</v>
      </c>
      <c r="H503" s="8" t="s">
        <v>51</v>
      </c>
      <c r="I503" s="8" t="s">
        <v>67</v>
      </c>
      <c r="J503" s="8">
        <v>1</v>
      </c>
      <c r="K503" s="8">
        <f t="shared" si="109"/>
        <v>1</v>
      </c>
      <c r="L503" s="8">
        <v>50</v>
      </c>
      <c r="M503" s="9">
        <f t="shared" si="110"/>
        <v>50</v>
      </c>
      <c r="O503" s="10">
        <f t="shared" si="111"/>
        <v>2.5125695216907653</v>
      </c>
      <c r="P503" s="8" t="s">
        <v>2051</v>
      </c>
      <c r="Q503" s="14">
        <v>0.7</v>
      </c>
      <c r="R503" s="12">
        <f t="shared" si="118"/>
        <v>0.7</v>
      </c>
      <c r="S503" s="12">
        <f t="shared" si="112"/>
        <v>0.7</v>
      </c>
    </row>
    <row r="504" spans="1:19" x14ac:dyDescent="0.35">
      <c r="A504" s="8" t="s">
        <v>1037</v>
      </c>
      <c r="B504" s="8" t="s">
        <v>1038</v>
      </c>
      <c r="C504" s="8" t="s">
        <v>7</v>
      </c>
      <c r="D504" s="8" t="str">
        <f t="shared" si="107"/>
        <v>Female</v>
      </c>
      <c r="E504" s="8">
        <v>21</v>
      </c>
      <c r="F504" s="8">
        <f t="shared" si="108"/>
        <v>21</v>
      </c>
      <c r="G504" s="8" t="s">
        <v>63</v>
      </c>
      <c r="H504" s="8" t="s">
        <v>64</v>
      </c>
      <c r="I504" s="8" t="s">
        <v>52</v>
      </c>
      <c r="J504" s="8">
        <v>0</v>
      </c>
      <c r="K504" s="8">
        <f t="shared" si="109"/>
        <v>0</v>
      </c>
      <c r="L504" s="8">
        <v>30</v>
      </c>
      <c r="M504" s="9">
        <f t="shared" si="110"/>
        <v>30</v>
      </c>
      <c r="N504" s="8">
        <v>4.2</v>
      </c>
      <c r="O504" s="10">
        <f t="shared" si="111"/>
        <v>4.2</v>
      </c>
      <c r="P504" s="8" t="s">
        <v>2051</v>
      </c>
      <c r="Q504" s="14">
        <v>0.79</v>
      </c>
      <c r="R504" s="12">
        <f t="shared" si="118"/>
        <v>0.79</v>
      </c>
      <c r="S504" s="12">
        <f t="shared" si="112"/>
        <v>0.79</v>
      </c>
    </row>
    <row r="505" spans="1:19" x14ac:dyDescent="0.35">
      <c r="A505" s="8" t="s">
        <v>1039</v>
      </c>
      <c r="B505" s="8" t="s">
        <v>1040</v>
      </c>
      <c r="C505" s="8" t="s">
        <v>70</v>
      </c>
      <c r="D505" s="8" t="str">
        <f t="shared" si="107"/>
        <v>Male</v>
      </c>
      <c r="E505" s="8">
        <v>23</v>
      </c>
      <c r="F505" s="8">
        <f t="shared" si="108"/>
        <v>23</v>
      </c>
      <c r="G505" s="8" t="s">
        <v>88</v>
      </c>
      <c r="H505" s="8" t="s">
        <v>89</v>
      </c>
      <c r="I505" s="8" t="s">
        <v>4</v>
      </c>
      <c r="J505" s="8">
        <v>1</v>
      </c>
      <c r="K505" s="8">
        <f t="shared" si="109"/>
        <v>1</v>
      </c>
      <c r="L505" s="8">
        <v>40</v>
      </c>
      <c r="M505" s="9">
        <f t="shared" si="110"/>
        <v>40</v>
      </c>
      <c r="N505" s="8">
        <v>0</v>
      </c>
      <c r="O505" s="11">
        <f t="shared" si="111"/>
        <v>0</v>
      </c>
      <c r="P505" s="8" t="s">
        <v>2050</v>
      </c>
      <c r="Q505" s="14">
        <v>0.64</v>
      </c>
      <c r="R505" s="12">
        <f t="shared" si="118"/>
        <v>0.64</v>
      </c>
      <c r="S505" s="12">
        <f t="shared" si="112"/>
        <v>0.64</v>
      </c>
    </row>
    <row r="506" spans="1:19" x14ac:dyDescent="0.35">
      <c r="A506" s="8" t="s">
        <v>1041</v>
      </c>
      <c r="B506" s="8" t="s">
        <v>1042</v>
      </c>
      <c r="C506" s="8" t="s">
        <v>75</v>
      </c>
      <c r="D506" s="8" t="str">
        <f t="shared" si="107"/>
        <v>Male</v>
      </c>
      <c r="E506" s="8">
        <v>21</v>
      </c>
      <c r="F506" s="8">
        <f t="shared" si="108"/>
        <v>21</v>
      </c>
      <c r="G506" s="8" t="s">
        <v>46</v>
      </c>
      <c r="H506" s="8" t="s">
        <v>9</v>
      </c>
      <c r="I506" s="8" t="s">
        <v>10</v>
      </c>
      <c r="J506" s="8">
        <v>1</v>
      </c>
      <c r="K506" s="8">
        <f t="shared" si="109"/>
        <v>1</v>
      </c>
      <c r="L506" s="8">
        <v>30</v>
      </c>
      <c r="M506" s="9">
        <f t="shared" si="110"/>
        <v>30</v>
      </c>
      <c r="N506" s="8">
        <v>1</v>
      </c>
      <c r="O506" s="10">
        <f t="shared" si="111"/>
        <v>1</v>
      </c>
      <c r="P506" s="8" t="s">
        <v>2050</v>
      </c>
      <c r="Q506" s="14">
        <v>0.81</v>
      </c>
      <c r="R506" s="12">
        <f t="shared" si="118"/>
        <v>0.81</v>
      </c>
      <c r="S506" s="12">
        <f t="shared" si="112"/>
        <v>0.81</v>
      </c>
    </row>
    <row r="507" spans="1:19" x14ac:dyDescent="0.35">
      <c r="A507" s="8" t="s">
        <v>1043</v>
      </c>
      <c r="B507" s="8" t="s">
        <v>1044</v>
      </c>
      <c r="C507" s="8" t="s">
        <v>75</v>
      </c>
      <c r="D507" s="8" t="str">
        <f t="shared" si="107"/>
        <v>Male</v>
      </c>
      <c r="E507" s="8">
        <v>31</v>
      </c>
      <c r="F507" s="8">
        <f t="shared" si="108"/>
        <v>31</v>
      </c>
      <c r="G507" s="8" t="s">
        <v>50</v>
      </c>
      <c r="H507" s="8" t="s">
        <v>51</v>
      </c>
      <c r="I507" s="8" t="s">
        <v>27</v>
      </c>
      <c r="J507" s="8">
        <v>7</v>
      </c>
      <c r="K507" s="8">
        <f t="shared" si="109"/>
        <v>7</v>
      </c>
      <c r="L507" s="8">
        <v>75</v>
      </c>
      <c r="M507" s="9">
        <f t="shared" si="110"/>
        <v>75</v>
      </c>
      <c r="N507" s="8">
        <v>4.4000000000000004</v>
      </c>
      <c r="O507" s="10">
        <f t="shared" si="111"/>
        <v>4.4000000000000004</v>
      </c>
      <c r="P507" s="8" t="s">
        <v>2050</v>
      </c>
      <c r="Q507" s="14">
        <v>0.83</v>
      </c>
      <c r="R507" s="12">
        <f t="shared" si="118"/>
        <v>0.83</v>
      </c>
      <c r="S507" s="12">
        <f t="shared" si="112"/>
        <v>0.83</v>
      </c>
    </row>
    <row r="508" spans="1:19" x14ac:dyDescent="0.35">
      <c r="A508" s="8" t="s">
        <v>1045</v>
      </c>
      <c r="B508" s="8" t="s">
        <v>1046</v>
      </c>
      <c r="C508" s="8" t="s">
        <v>70</v>
      </c>
      <c r="D508" s="8" t="str">
        <f t="shared" si="107"/>
        <v>Male</v>
      </c>
      <c r="E508" s="8">
        <v>21</v>
      </c>
      <c r="F508" s="8">
        <f t="shared" si="108"/>
        <v>21</v>
      </c>
      <c r="G508" s="8" t="s">
        <v>151</v>
      </c>
      <c r="H508" s="8" t="s">
        <v>51</v>
      </c>
      <c r="I508" s="8" t="s">
        <v>4</v>
      </c>
      <c r="J508" s="13"/>
      <c r="K508" s="8">
        <f t="shared" si="109"/>
        <v>9</v>
      </c>
      <c r="L508" s="8">
        <v>40</v>
      </c>
      <c r="M508" s="9">
        <f t="shared" si="110"/>
        <v>40</v>
      </c>
      <c r="N508" s="8">
        <v>4</v>
      </c>
      <c r="O508" s="10">
        <f t="shared" si="111"/>
        <v>4</v>
      </c>
      <c r="P508" s="8" t="s">
        <v>2050</v>
      </c>
      <c r="Q508" s="14">
        <v>0.91</v>
      </c>
      <c r="R508" s="12">
        <f t="shared" si="118"/>
        <v>0.91</v>
      </c>
      <c r="S508" s="12">
        <f t="shared" si="112"/>
        <v>0.91</v>
      </c>
    </row>
    <row r="509" spans="1:19" x14ac:dyDescent="0.35">
      <c r="A509" s="8" t="s">
        <v>1047</v>
      </c>
      <c r="B509" s="8" t="s">
        <v>2025</v>
      </c>
      <c r="C509" s="8" t="s">
        <v>13</v>
      </c>
      <c r="D509" s="8" t="str">
        <f t="shared" si="107"/>
        <v>Male</v>
      </c>
      <c r="E509" s="8">
        <v>33</v>
      </c>
      <c r="F509" s="8">
        <f t="shared" si="108"/>
        <v>33</v>
      </c>
      <c r="G509" s="8" t="s">
        <v>46</v>
      </c>
      <c r="H509" s="8" t="s">
        <v>9</v>
      </c>
      <c r="I509" s="8" t="s">
        <v>56</v>
      </c>
      <c r="J509" s="8">
        <v>6</v>
      </c>
      <c r="K509" s="8">
        <f t="shared" si="109"/>
        <v>6</v>
      </c>
      <c r="L509" s="8">
        <v>50</v>
      </c>
      <c r="M509" s="9">
        <f t="shared" si="110"/>
        <v>50</v>
      </c>
      <c r="N509" s="8">
        <v>3.1</v>
      </c>
      <c r="O509" s="10">
        <f t="shared" si="111"/>
        <v>3.1</v>
      </c>
      <c r="P509" s="8" t="s">
        <v>2050</v>
      </c>
      <c r="Q509" s="13"/>
      <c r="S509" s="12">
        <f t="shared" si="112"/>
        <v>0.79269417475728277</v>
      </c>
    </row>
    <row r="510" spans="1:19" x14ac:dyDescent="0.35">
      <c r="A510" s="8" t="s">
        <v>1048</v>
      </c>
      <c r="B510" s="8" t="s">
        <v>1049</v>
      </c>
      <c r="C510" s="8" t="s">
        <v>30</v>
      </c>
      <c r="D510" s="8" t="str">
        <f t="shared" si="107"/>
        <v>Male</v>
      </c>
      <c r="E510" s="8">
        <v>57</v>
      </c>
      <c r="F510" s="8">
        <f t="shared" si="108"/>
        <v>57</v>
      </c>
      <c r="G510" s="8" t="s">
        <v>84</v>
      </c>
      <c r="H510" s="8" t="s">
        <v>85</v>
      </c>
      <c r="I510" s="8" t="s">
        <v>20</v>
      </c>
      <c r="J510" s="8">
        <v>5</v>
      </c>
      <c r="K510" s="8">
        <f t="shared" si="109"/>
        <v>5</v>
      </c>
      <c r="L510" s="8">
        <v>75</v>
      </c>
      <c r="M510" s="9">
        <f t="shared" si="110"/>
        <v>75</v>
      </c>
      <c r="N510" s="8">
        <v>1.1000000000000001</v>
      </c>
      <c r="O510" s="10">
        <f t="shared" si="111"/>
        <v>1.1000000000000001</v>
      </c>
      <c r="P510" s="8" t="s">
        <v>2051</v>
      </c>
      <c r="Q510" s="14">
        <v>0.77</v>
      </c>
      <c r="R510" s="12">
        <f t="shared" ref="R510:R514" si="119">Q510</f>
        <v>0.77</v>
      </c>
      <c r="S510" s="12">
        <f t="shared" si="112"/>
        <v>0.77</v>
      </c>
    </row>
    <row r="511" spans="1:19" x14ac:dyDescent="0.35">
      <c r="A511" s="8" t="s">
        <v>1050</v>
      </c>
      <c r="B511" s="8" t="s">
        <v>1051</v>
      </c>
      <c r="C511" s="8" t="s">
        <v>30</v>
      </c>
      <c r="D511" s="8" t="str">
        <f t="shared" si="107"/>
        <v>Male</v>
      </c>
      <c r="E511" s="8">
        <v>52</v>
      </c>
      <c r="F511" s="8">
        <f t="shared" si="108"/>
        <v>52</v>
      </c>
      <c r="G511" s="8" t="s">
        <v>38</v>
      </c>
      <c r="H511" s="8" t="s">
        <v>9</v>
      </c>
      <c r="I511" s="8" t="s">
        <v>67</v>
      </c>
      <c r="J511" s="8">
        <v>17</v>
      </c>
      <c r="K511" s="8">
        <f t="shared" si="109"/>
        <v>17</v>
      </c>
      <c r="L511" s="8">
        <v>75</v>
      </c>
      <c r="M511" s="9">
        <f t="shared" si="110"/>
        <v>75</v>
      </c>
      <c r="N511" s="8">
        <v>0</v>
      </c>
      <c r="O511" s="11">
        <f t="shared" si="111"/>
        <v>0</v>
      </c>
      <c r="P511" s="8" t="s">
        <v>2050</v>
      </c>
      <c r="Q511" s="14">
        <v>0.94</v>
      </c>
      <c r="R511" s="12">
        <f t="shared" si="119"/>
        <v>0.94</v>
      </c>
      <c r="S511" s="12">
        <f t="shared" si="112"/>
        <v>0.94</v>
      </c>
    </row>
    <row r="512" spans="1:19" x14ac:dyDescent="0.35">
      <c r="A512" s="8" t="s">
        <v>1052</v>
      </c>
      <c r="B512" s="8" t="s">
        <v>2041</v>
      </c>
      <c r="C512" s="8" t="s">
        <v>55</v>
      </c>
      <c r="D512" s="8" t="str">
        <f t="shared" si="107"/>
        <v>Female</v>
      </c>
      <c r="E512" s="8">
        <v>21</v>
      </c>
      <c r="F512" s="8">
        <f t="shared" si="108"/>
        <v>21</v>
      </c>
      <c r="G512" s="8" t="s">
        <v>14</v>
      </c>
      <c r="H512" s="8" t="s">
        <v>15</v>
      </c>
      <c r="I512" s="8" t="s">
        <v>20</v>
      </c>
      <c r="J512" s="8">
        <v>0</v>
      </c>
      <c r="K512" s="8">
        <f t="shared" si="109"/>
        <v>0</v>
      </c>
      <c r="L512" s="8">
        <v>20</v>
      </c>
      <c r="M512" s="9">
        <f t="shared" si="110"/>
        <v>20</v>
      </c>
      <c r="N512" s="8">
        <v>3.8</v>
      </c>
      <c r="O512" s="10">
        <f t="shared" si="111"/>
        <v>3.8</v>
      </c>
      <c r="P512" s="8" t="s">
        <v>2051</v>
      </c>
      <c r="Q512" s="14">
        <v>0.61</v>
      </c>
      <c r="R512" s="12">
        <f t="shared" si="119"/>
        <v>0.61</v>
      </c>
      <c r="S512" s="12">
        <f t="shared" si="112"/>
        <v>0.61</v>
      </c>
    </row>
    <row r="513" spans="1:19" x14ac:dyDescent="0.35">
      <c r="A513" s="8" t="s">
        <v>1053</v>
      </c>
      <c r="B513" s="8" t="s">
        <v>1054</v>
      </c>
      <c r="C513" s="8" t="s">
        <v>7</v>
      </c>
      <c r="D513" s="8" t="str">
        <f t="shared" si="107"/>
        <v>Female</v>
      </c>
      <c r="E513" s="8">
        <v>36</v>
      </c>
      <c r="F513" s="8">
        <f t="shared" si="108"/>
        <v>36</v>
      </c>
      <c r="G513" s="8" t="s">
        <v>50</v>
      </c>
      <c r="H513" s="8" t="s">
        <v>51</v>
      </c>
      <c r="I513" s="8" t="s">
        <v>52</v>
      </c>
      <c r="J513" s="8">
        <v>8</v>
      </c>
      <c r="K513" s="8">
        <f t="shared" si="109"/>
        <v>8</v>
      </c>
      <c r="L513" s="8">
        <v>100</v>
      </c>
      <c r="M513" s="9">
        <f t="shared" si="110"/>
        <v>100</v>
      </c>
      <c r="N513" s="8">
        <v>1.7</v>
      </c>
      <c r="O513" s="10">
        <f t="shared" si="111"/>
        <v>1.7</v>
      </c>
      <c r="P513" s="8" t="s">
        <v>2050</v>
      </c>
      <c r="Q513" s="14">
        <v>0.68</v>
      </c>
      <c r="R513" s="12">
        <f t="shared" si="119"/>
        <v>0.68</v>
      </c>
      <c r="S513" s="12">
        <f t="shared" si="112"/>
        <v>0.68</v>
      </c>
    </row>
    <row r="514" spans="1:19" x14ac:dyDescent="0.35">
      <c r="A514" s="8" t="s">
        <v>1055</v>
      </c>
      <c r="B514" s="8" t="s">
        <v>1056</v>
      </c>
      <c r="C514" s="8" t="s">
        <v>13</v>
      </c>
      <c r="D514" s="8" t="str">
        <f t="shared" si="107"/>
        <v>Male</v>
      </c>
      <c r="E514" s="8">
        <v>33</v>
      </c>
      <c r="F514" s="8">
        <f t="shared" si="108"/>
        <v>33</v>
      </c>
      <c r="G514" s="8" t="s">
        <v>162</v>
      </c>
      <c r="H514" s="8" t="s">
        <v>51</v>
      </c>
      <c r="I514" s="8" t="s">
        <v>90</v>
      </c>
      <c r="J514" s="8">
        <v>13</v>
      </c>
      <c r="K514" s="8">
        <f t="shared" si="109"/>
        <v>13</v>
      </c>
      <c r="L514" s="8">
        <v>50</v>
      </c>
      <c r="M514" s="9">
        <f t="shared" si="110"/>
        <v>50</v>
      </c>
      <c r="N514" s="8">
        <v>2.2000000000000002</v>
      </c>
      <c r="O514" s="10">
        <f t="shared" si="111"/>
        <v>2.2000000000000002</v>
      </c>
      <c r="P514" s="8" t="s">
        <v>2050</v>
      </c>
      <c r="Q514" s="14">
        <v>0.7</v>
      </c>
      <c r="R514" s="12">
        <f t="shared" si="119"/>
        <v>0.7</v>
      </c>
      <c r="S514" s="12">
        <f t="shared" si="112"/>
        <v>0.7</v>
      </c>
    </row>
    <row r="515" spans="1:19" x14ac:dyDescent="0.35">
      <c r="A515" s="8" t="s">
        <v>1057</v>
      </c>
      <c r="B515" s="8" t="s">
        <v>1058</v>
      </c>
      <c r="C515" s="8" t="s">
        <v>19</v>
      </c>
      <c r="D515" s="8" t="str">
        <f t="shared" ref="D515:D552" si="120">IF(LEFT(C515,1)="f","Female","Male")</f>
        <v>Female</v>
      </c>
      <c r="E515" s="8">
        <v>54</v>
      </c>
      <c r="F515" s="8">
        <f t="shared" ref="F515:F578" si="121">IF(ISBLANK(E515),MEDIAN($E$2:$E$1001),E515)</f>
        <v>54</v>
      </c>
      <c r="G515" s="8" t="s">
        <v>46</v>
      </c>
      <c r="H515" s="8" t="s">
        <v>9</v>
      </c>
      <c r="I515" s="8" t="s">
        <v>33</v>
      </c>
      <c r="J515" s="8">
        <v>15</v>
      </c>
      <c r="K515" s="8">
        <f t="shared" ref="K515:K578" si="122">IF(ISBLANK(J515),MEDIAN($J$2:$J$1001),J515)</f>
        <v>15</v>
      </c>
      <c r="L515" s="8">
        <v>40</v>
      </c>
      <c r="M515" s="9">
        <f t="shared" ref="M515:M578" si="123">IF(ISBLANK(L515),MEDIAN($L$2:$L$1001),L515)</f>
        <v>40</v>
      </c>
      <c r="N515" s="8">
        <v>4.0999999999999996</v>
      </c>
      <c r="O515" s="10">
        <f t="shared" ref="O515:O578" si="124">IF(ISBLANK(N515),AVERAGE($N$2:$N$1001),N515)</f>
        <v>4.0999999999999996</v>
      </c>
      <c r="P515" s="8" t="s">
        <v>2051</v>
      </c>
      <c r="Q515" s="8">
        <v>71</v>
      </c>
      <c r="R515" s="12">
        <v>0.71</v>
      </c>
      <c r="S515" s="12">
        <f t="shared" si="112"/>
        <v>0.71</v>
      </c>
    </row>
    <row r="516" spans="1:19" x14ac:dyDescent="0.35">
      <c r="A516" s="8" t="s">
        <v>1059</v>
      </c>
      <c r="B516" s="8" t="s">
        <v>1060</v>
      </c>
      <c r="C516" s="8" t="s">
        <v>22</v>
      </c>
      <c r="D516" s="8" t="str">
        <f t="shared" si="120"/>
        <v>Female</v>
      </c>
      <c r="E516" s="8">
        <v>33</v>
      </c>
      <c r="F516" s="8">
        <f t="shared" si="121"/>
        <v>33</v>
      </c>
      <c r="G516" s="8" t="s">
        <v>38</v>
      </c>
      <c r="H516" s="8" t="s">
        <v>9</v>
      </c>
      <c r="I516" s="8" t="s">
        <v>4</v>
      </c>
      <c r="J516" s="8">
        <v>2</v>
      </c>
      <c r="K516" s="8">
        <f t="shared" si="122"/>
        <v>2</v>
      </c>
      <c r="L516" s="8">
        <v>100</v>
      </c>
      <c r="M516" s="9">
        <f t="shared" si="123"/>
        <v>100</v>
      </c>
      <c r="N516" s="8">
        <v>3.8</v>
      </c>
      <c r="O516" s="10">
        <f t="shared" si="124"/>
        <v>3.8</v>
      </c>
      <c r="P516" s="8" t="s">
        <v>2050</v>
      </c>
      <c r="Q516" s="13"/>
      <c r="S516" s="12">
        <f t="shared" ref="S516:S579" si="125">IF(ISBLANK(R516),AVERAGE($R$2:$R$1001),R516)</f>
        <v>0.79269417475728277</v>
      </c>
    </row>
    <row r="517" spans="1:19" x14ac:dyDescent="0.35">
      <c r="A517" s="8" t="s">
        <v>1061</v>
      </c>
      <c r="B517" s="8" t="s">
        <v>1062</v>
      </c>
      <c r="C517" s="8" t="s">
        <v>22</v>
      </c>
      <c r="D517" s="8" t="str">
        <f t="shared" si="120"/>
        <v>Female</v>
      </c>
      <c r="E517" s="8">
        <v>36</v>
      </c>
      <c r="F517" s="8">
        <f t="shared" si="121"/>
        <v>36</v>
      </c>
      <c r="G517" s="8" t="s">
        <v>63</v>
      </c>
      <c r="H517" s="8" t="s">
        <v>64</v>
      </c>
      <c r="I517" s="8" t="s">
        <v>90</v>
      </c>
      <c r="J517" s="8">
        <v>9</v>
      </c>
      <c r="K517" s="8">
        <f t="shared" si="122"/>
        <v>9</v>
      </c>
      <c r="L517" s="8">
        <v>30</v>
      </c>
      <c r="M517" s="9">
        <f t="shared" si="123"/>
        <v>30</v>
      </c>
      <c r="N517" s="8">
        <v>0</v>
      </c>
      <c r="O517" s="11">
        <f t="shared" si="124"/>
        <v>0</v>
      </c>
      <c r="P517" s="8" t="s">
        <v>2051</v>
      </c>
      <c r="Q517" s="14">
        <v>0.78</v>
      </c>
      <c r="R517" s="12">
        <f>Q517</f>
        <v>0.78</v>
      </c>
      <c r="S517" s="12">
        <f t="shared" si="125"/>
        <v>0.78</v>
      </c>
    </row>
    <row r="518" spans="1:19" x14ac:dyDescent="0.35">
      <c r="A518" s="8" t="s">
        <v>1063</v>
      </c>
      <c r="B518" s="8" t="s">
        <v>1064</v>
      </c>
      <c r="C518" s="8" t="s">
        <v>7</v>
      </c>
      <c r="D518" s="8" t="str">
        <f t="shared" si="120"/>
        <v>Female</v>
      </c>
      <c r="E518" s="8">
        <v>36</v>
      </c>
      <c r="F518" s="8">
        <f t="shared" si="121"/>
        <v>36</v>
      </c>
      <c r="G518" s="8" t="s">
        <v>42</v>
      </c>
      <c r="H518" s="8" t="s">
        <v>43</v>
      </c>
      <c r="I518" s="8" t="s">
        <v>27</v>
      </c>
      <c r="J518" s="8">
        <v>3</v>
      </c>
      <c r="K518" s="8">
        <f t="shared" si="122"/>
        <v>3</v>
      </c>
      <c r="L518" s="8">
        <v>50</v>
      </c>
      <c r="M518" s="9">
        <f t="shared" si="123"/>
        <v>50</v>
      </c>
      <c r="N518" s="8">
        <v>0</v>
      </c>
      <c r="O518" s="11">
        <f t="shared" si="124"/>
        <v>0</v>
      </c>
      <c r="P518" s="8" t="s">
        <v>2050</v>
      </c>
      <c r="Q518" s="8">
        <v>75</v>
      </c>
      <c r="R518" s="12">
        <v>0.75</v>
      </c>
      <c r="S518" s="12">
        <f t="shared" si="125"/>
        <v>0.75</v>
      </c>
    </row>
    <row r="519" spans="1:19" x14ac:dyDescent="0.35">
      <c r="A519" s="8" t="s">
        <v>1065</v>
      </c>
      <c r="B519" s="8" t="s">
        <v>1066</v>
      </c>
      <c r="C519" s="8" t="s">
        <v>19</v>
      </c>
      <c r="D519" s="8" t="str">
        <f t="shared" si="120"/>
        <v>Female</v>
      </c>
      <c r="E519" s="8">
        <v>43</v>
      </c>
      <c r="F519" s="8">
        <f t="shared" si="121"/>
        <v>43</v>
      </c>
      <c r="G519" s="8" t="s">
        <v>147</v>
      </c>
      <c r="H519" s="8" t="s">
        <v>148</v>
      </c>
      <c r="I519" s="8" t="s">
        <v>27</v>
      </c>
      <c r="J519" s="8">
        <v>15</v>
      </c>
      <c r="K519" s="8">
        <f t="shared" si="122"/>
        <v>15</v>
      </c>
      <c r="L519" s="8">
        <v>20</v>
      </c>
      <c r="M519" s="9">
        <f t="shared" si="123"/>
        <v>20</v>
      </c>
      <c r="N519" s="8">
        <v>4.2</v>
      </c>
      <c r="O519" s="10">
        <f t="shared" si="124"/>
        <v>4.2</v>
      </c>
      <c r="P519" s="8" t="s">
        <v>2051</v>
      </c>
      <c r="Q519" s="14">
        <v>0.91</v>
      </c>
      <c r="R519" s="12">
        <f t="shared" ref="R519:R521" si="126">Q519</f>
        <v>0.91</v>
      </c>
      <c r="S519" s="12">
        <f t="shared" si="125"/>
        <v>0.91</v>
      </c>
    </row>
    <row r="520" spans="1:19" x14ac:dyDescent="0.35">
      <c r="A520" s="8" t="s">
        <v>1067</v>
      </c>
      <c r="B520" s="8" t="s">
        <v>1068</v>
      </c>
      <c r="C520" s="8" t="s">
        <v>75</v>
      </c>
      <c r="D520" s="8" t="str">
        <f t="shared" si="120"/>
        <v>Male</v>
      </c>
      <c r="E520" s="8">
        <v>52</v>
      </c>
      <c r="F520" s="8">
        <f t="shared" si="121"/>
        <v>52</v>
      </c>
      <c r="G520" s="8" t="s">
        <v>46</v>
      </c>
      <c r="H520" s="8" t="s">
        <v>9</v>
      </c>
      <c r="I520" s="8" t="s">
        <v>33</v>
      </c>
      <c r="J520" s="8">
        <v>21</v>
      </c>
      <c r="K520" s="8">
        <f t="shared" si="122"/>
        <v>21</v>
      </c>
      <c r="L520" s="8">
        <v>75</v>
      </c>
      <c r="M520" s="9">
        <f t="shared" si="123"/>
        <v>75</v>
      </c>
      <c r="N520" s="8">
        <v>2.2000000000000002</v>
      </c>
      <c r="O520" s="10">
        <f t="shared" si="124"/>
        <v>2.2000000000000002</v>
      </c>
      <c r="P520" s="8" t="s">
        <v>2051</v>
      </c>
      <c r="Q520" s="14">
        <v>0.66</v>
      </c>
      <c r="R520" s="12">
        <f t="shared" si="126"/>
        <v>0.66</v>
      </c>
      <c r="S520" s="12">
        <f t="shared" si="125"/>
        <v>0.66</v>
      </c>
    </row>
    <row r="521" spans="1:19" x14ac:dyDescent="0.35">
      <c r="A521" s="8" t="s">
        <v>1069</v>
      </c>
      <c r="B521" s="8" t="s">
        <v>1070</v>
      </c>
      <c r="C521" s="8" t="s">
        <v>19</v>
      </c>
      <c r="D521" s="8" t="str">
        <f t="shared" si="120"/>
        <v>Female</v>
      </c>
      <c r="E521" s="8">
        <v>28</v>
      </c>
      <c r="F521" s="8">
        <f t="shared" si="121"/>
        <v>28</v>
      </c>
      <c r="G521" s="8" t="s">
        <v>31</v>
      </c>
      <c r="H521" s="8" t="s">
        <v>32</v>
      </c>
      <c r="I521" s="8" t="s">
        <v>56</v>
      </c>
      <c r="J521" s="8">
        <v>2</v>
      </c>
      <c r="K521" s="8">
        <f t="shared" si="122"/>
        <v>2</v>
      </c>
      <c r="L521" s="8">
        <v>75</v>
      </c>
      <c r="M521" s="9">
        <f t="shared" si="123"/>
        <v>75</v>
      </c>
      <c r="N521" s="8">
        <v>1.5</v>
      </c>
      <c r="O521" s="10">
        <f t="shared" si="124"/>
        <v>1.5</v>
      </c>
      <c r="P521" s="8" t="s">
        <v>2051</v>
      </c>
      <c r="Q521" s="14">
        <v>0.68</v>
      </c>
      <c r="R521" s="12">
        <f t="shared" si="126"/>
        <v>0.68</v>
      </c>
      <c r="S521" s="12">
        <f t="shared" si="125"/>
        <v>0.68</v>
      </c>
    </row>
    <row r="522" spans="1:19" x14ac:dyDescent="0.35">
      <c r="A522" s="8" t="s">
        <v>1071</v>
      </c>
      <c r="B522" s="8" t="s">
        <v>1072</v>
      </c>
      <c r="C522" s="8" t="s">
        <v>55</v>
      </c>
      <c r="D522" s="8" t="str">
        <f t="shared" si="120"/>
        <v>Female</v>
      </c>
      <c r="E522" s="8">
        <v>47</v>
      </c>
      <c r="F522" s="8">
        <f t="shared" si="121"/>
        <v>47</v>
      </c>
      <c r="G522" s="8" t="s">
        <v>147</v>
      </c>
      <c r="H522" s="8" t="s">
        <v>148</v>
      </c>
      <c r="I522" s="8" t="s">
        <v>56</v>
      </c>
      <c r="J522" s="8">
        <v>21</v>
      </c>
      <c r="K522" s="8">
        <f t="shared" si="122"/>
        <v>21</v>
      </c>
      <c r="L522" s="8">
        <v>100</v>
      </c>
      <c r="M522" s="9">
        <f t="shared" si="123"/>
        <v>100</v>
      </c>
      <c r="N522" s="8">
        <v>0</v>
      </c>
      <c r="O522" s="11">
        <f t="shared" si="124"/>
        <v>0</v>
      </c>
      <c r="P522" s="8" t="s">
        <v>2050</v>
      </c>
      <c r="Q522" s="13"/>
      <c r="S522" s="12">
        <f t="shared" si="125"/>
        <v>0.79269417475728277</v>
      </c>
    </row>
    <row r="523" spans="1:19" x14ac:dyDescent="0.35">
      <c r="A523" s="8" t="s">
        <v>1073</v>
      </c>
      <c r="B523" s="8" t="s">
        <v>1074</v>
      </c>
      <c r="C523" s="8" t="s">
        <v>22</v>
      </c>
      <c r="D523" s="8" t="str">
        <f t="shared" si="120"/>
        <v>Female</v>
      </c>
      <c r="E523" s="8">
        <v>30</v>
      </c>
      <c r="F523" s="8">
        <f t="shared" si="121"/>
        <v>30</v>
      </c>
      <c r="G523" s="8" t="s">
        <v>110</v>
      </c>
      <c r="H523" s="8" t="s">
        <v>111</v>
      </c>
      <c r="I523" s="8" t="s">
        <v>67</v>
      </c>
      <c r="J523" s="8">
        <v>0</v>
      </c>
      <c r="K523" s="8">
        <f t="shared" si="122"/>
        <v>0</v>
      </c>
      <c r="L523" s="8">
        <v>100</v>
      </c>
      <c r="M523" s="9">
        <f t="shared" si="123"/>
        <v>100</v>
      </c>
      <c r="N523" s="8">
        <v>4.0999999999999996</v>
      </c>
      <c r="O523" s="10">
        <f t="shared" si="124"/>
        <v>4.0999999999999996</v>
      </c>
      <c r="P523" s="8" t="s">
        <v>2050</v>
      </c>
      <c r="Q523" s="14">
        <v>0.62</v>
      </c>
      <c r="R523" s="12">
        <f t="shared" ref="R523:R528" si="127">Q523</f>
        <v>0.62</v>
      </c>
      <c r="S523" s="12">
        <f t="shared" si="125"/>
        <v>0.62</v>
      </c>
    </row>
    <row r="524" spans="1:19" x14ac:dyDescent="0.35">
      <c r="A524" s="8" t="s">
        <v>1075</v>
      </c>
      <c r="B524" s="8" t="s">
        <v>1076</v>
      </c>
      <c r="C524" s="8" t="s">
        <v>30</v>
      </c>
      <c r="D524" s="8" t="str">
        <f t="shared" si="120"/>
        <v>Male</v>
      </c>
      <c r="E524" s="8">
        <v>36</v>
      </c>
      <c r="F524" s="8">
        <f t="shared" si="121"/>
        <v>36</v>
      </c>
      <c r="G524" s="8" t="s">
        <v>114</v>
      </c>
      <c r="H524" s="8" t="s">
        <v>115</v>
      </c>
      <c r="I524" s="8" t="s">
        <v>4</v>
      </c>
      <c r="J524" s="8">
        <v>4</v>
      </c>
      <c r="K524" s="8">
        <f t="shared" si="122"/>
        <v>4</v>
      </c>
      <c r="L524" s="8">
        <v>40</v>
      </c>
      <c r="M524" s="9">
        <f t="shared" si="123"/>
        <v>40</v>
      </c>
      <c r="N524" s="8">
        <v>2.6</v>
      </c>
      <c r="O524" s="10">
        <f t="shared" si="124"/>
        <v>2.6</v>
      </c>
      <c r="P524" s="8" t="s">
        <v>2050</v>
      </c>
      <c r="Q524" s="14">
        <v>0.9</v>
      </c>
      <c r="R524" s="12">
        <f t="shared" si="127"/>
        <v>0.9</v>
      </c>
      <c r="S524" s="12">
        <f t="shared" si="125"/>
        <v>0.9</v>
      </c>
    </row>
    <row r="525" spans="1:19" x14ac:dyDescent="0.35">
      <c r="A525" s="8" t="s">
        <v>1077</v>
      </c>
      <c r="B525" s="8" t="s">
        <v>1078</v>
      </c>
      <c r="C525" s="8" t="s">
        <v>7</v>
      </c>
      <c r="D525" s="8" t="str">
        <f t="shared" si="120"/>
        <v>Female</v>
      </c>
      <c r="E525" s="8">
        <v>45</v>
      </c>
      <c r="F525" s="8">
        <f t="shared" si="121"/>
        <v>45</v>
      </c>
      <c r="G525" s="8" t="s">
        <v>38</v>
      </c>
      <c r="H525" s="8" t="s">
        <v>9</v>
      </c>
      <c r="I525" s="8" t="s">
        <v>52</v>
      </c>
      <c r="J525" s="8">
        <v>23</v>
      </c>
      <c r="K525" s="8">
        <f t="shared" si="122"/>
        <v>23</v>
      </c>
      <c r="L525" s="8">
        <v>100</v>
      </c>
      <c r="M525" s="9">
        <f t="shared" si="123"/>
        <v>100</v>
      </c>
      <c r="N525" s="8">
        <v>2.4</v>
      </c>
      <c r="O525" s="10">
        <f t="shared" si="124"/>
        <v>2.4</v>
      </c>
      <c r="P525" s="8" t="s">
        <v>2050</v>
      </c>
      <c r="Q525" s="14">
        <v>0.96</v>
      </c>
      <c r="R525" s="12">
        <f t="shared" si="127"/>
        <v>0.96</v>
      </c>
      <c r="S525" s="12">
        <f t="shared" si="125"/>
        <v>0.96</v>
      </c>
    </row>
    <row r="526" spans="1:19" x14ac:dyDescent="0.35">
      <c r="A526" s="8" t="s">
        <v>1079</v>
      </c>
      <c r="B526" s="8" t="s">
        <v>1080</v>
      </c>
      <c r="C526" s="8" t="s">
        <v>19</v>
      </c>
      <c r="D526" s="8" t="str">
        <f t="shared" si="120"/>
        <v>Female</v>
      </c>
      <c r="E526" s="8">
        <v>51</v>
      </c>
      <c r="F526" s="8">
        <f t="shared" si="121"/>
        <v>51</v>
      </c>
      <c r="G526" s="8" t="s">
        <v>38</v>
      </c>
      <c r="H526" s="8" t="s">
        <v>9</v>
      </c>
      <c r="I526" s="8" t="s">
        <v>4</v>
      </c>
      <c r="J526" s="8">
        <v>25</v>
      </c>
      <c r="K526" s="8">
        <f t="shared" si="122"/>
        <v>25</v>
      </c>
      <c r="L526" s="8">
        <v>50</v>
      </c>
      <c r="M526" s="9">
        <f t="shared" si="123"/>
        <v>50</v>
      </c>
      <c r="N526" s="8">
        <v>1.4</v>
      </c>
      <c r="O526" s="10">
        <f t="shared" si="124"/>
        <v>1.4</v>
      </c>
      <c r="P526" s="8" t="s">
        <v>2051</v>
      </c>
      <c r="Q526" s="14">
        <v>0.6</v>
      </c>
      <c r="R526" s="12">
        <f t="shared" si="127"/>
        <v>0.6</v>
      </c>
      <c r="S526" s="12">
        <f t="shared" si="125"/>
        <v>0.6</v>
      </c>
    </row>
    <row r="527" spans="1:19" x14ac:dyDescent="0.35">
      <c r="A527" s="8" t="s">
        <v>1081</v>
      </c>
      <c r="B527" s="8" t="s">
        <v>1082</v>
      </c>
      <c r="C527" s="8" t="s">
        <v>30</v>
      </c>
      <c r="D527" s="8" t="str">
        <f t="shared" si="120"/>
        <v>Male</v>
      </c>
      <c r="E527" s="8">
        <v>46</v>
      </c>
      <c r="F527" s="8">
        <f t="shared" si="121"/>
        <v>46</v>
      </c>
      <c r="G527" s="8" t="s">
        <v>42</v>
      </c>
      <c r="H527" s="8" t="s">
        <v>43</v>
      </c>
      <c r="I527" s="8" t="s">
        <v>10</v>
      </c>
      <c r="J527" s="8">
        <v>10</v>
      </c>
      <c r="K527" s="8">
        <f t="shared" si="122"/>
        <v>10</v>
      </c>
      <c r="L527" s="13"/>
      <c r="M527" s="9">
        <f t="shared" si="123"/>
        <v>40</v>
      </c>
      <c r="N527" s="8">
        <v>4.5999999999999996</v>
      </c>
      <c r="O527" s="10">
        <f t="shared" si="124"/>
        <v>4.5999999999999996</v>
      </c>
      <c r="P527" s="8" t="s">
        <v>2051</v>
      </c>
      <c r="Q527" s="14">
        <v>0.62</v>
      </c>
      <c r="R527" s="12">
        <f t="shared" si="127"/>
        <v>0.62</v>
      </c>
      <c r="S527" s="12">
        <f t="shared" si="125"/>
        <v>0.62</v>
      </c>
    </row>
    <row r="528" spans="1:19" x14ac:dyDescent="0.35">
      <c r="A528" s="8" t="s">
        <v>1083</v>
      </c>
      <c r="B528" s="8" t="s">
        <v>1084</v>
      </c>
      <c r="C528" s="8" t="s">
        <v>7</v>
      </c>
      <c r="D528" s="8" t="str">
        <f t="shared" si="120"/>
        <v>Female</v>
      </c>
      <c r="E528" s="8">
        <v>38</v>
      </c>
      <c r="F528" s="8">
        <f t="shared" si="121"/>
        <v>38</v>
      </c>
      <c r="G528" s="8" t="s">
        <v>2</v>
      </c>
      <c r="H528" s="8" t="s">
        <v>3</v>
      </c>
      <c r="I528" s="8" t="s">
        <v>33</v>
      </c>
      <c r="J528" s="8">
        <v>18</v>
      </c>
      <c r="K528" s="8">
        <f t="shared" si="122"/>
        <v>18</v>
      </c>
      <c r="L528" s="8">
        <v>40</v>
      </c>
      <c r="M528" s="9">
        <f t="shared" si="123"/>
        <v>40</v>
      </c>
      <c r="N528" s="8">
        <v>4.9000000000000004</v>
      </c>
      <c r="O528" s="10">
        <f t="shared" si="124"/>
        <v>4.9000000000000004</v>
      </c>
      <c r="P528" s="8" t="s">
        <v>2050</v>
      </c>
      <c r="Q528" s="14">
        <v>0.74</v>
      </c>
      <c r="R528" s="12">
        <f t="shared" si="127"/>
        <v>0.74</v>
      </c>
      <c r="S528" s="12">
        <f t="shared" si="125"/>
        <v>0.74</v>
      </c>
    </row>
    <row r="529" spans="1:19" x14ac:dyDescent="0.35">
      <c r="A529" s="8" t="s">
        <v>1085</v>
      </c>
      <c r="B529" s="8" t="s">
        <v>1086</v>
      </c>
      <c r="C529" s="8" t="s">
        <v>75</v>
      </c>
      <c r="D529" s="8" t="str">
        <f t="shared" si="120"/>
        <v>Male</v>
      </c>
      <c r="E529" s="8">
        <v>26</v>
      </c>
      <c r="F529" s="8">
        <f t="shared" si="121"/>
        <v>26</v>
      </c>
      <c r="G529" s="8" t="s">
        <v>162</v>
      </c>
      <c r="H529" s="8" t="s">
        <v>51</v>
      </c>
      <c r="I529" s="8" t="s">
        <v>4</v>
      </c>
      <c r="J529" s="8">
        <v>1</v>
      </c>
      <c r="K529" s="8">
        <f t="shared" si="122"/>
        <v>1</v>
      </c>
      <c r="L529" s="8">
        <v>20</v>
      </c>
      <c r="M529" s="9">
        <f t="shared" si="123"/>
        <v>20</v>
      </c>
      <c r="N529" s="8">
        <v>0</v>
      </c>
      <c r="O529" s="11">
        <f t="shared" si="124"/>
        <v>0</v>
      </c>
      <c r="P529" s="8" t="s">
        <v>2051</v>
      </c>
      <c r="Q529" s="13"/>
      <c r="S529" s="12">
        <f t="shared" si="125"/>
        <v>0.79269417475728277</v>
      </c>
    </row>
    <row r="530" spans="1:19" x14ac:dyDescent="0.35">
      <c r="A530" s="8" t="s">
        <v>1087</v>
      </c>
      <c r="B530" s="8" t="s">
        <v>1088</v>
      </c>
      <c r="C530" s="8" t="s">
        <v>55</v>
      </c>
      <c r="D530" s="8" t="str">
        <f t="shared" si="120"/>
        <v>Female</v>
      </c>
      <c r="E530" s="8">
        <v>40</v>
      </c>
      <c r="F530" s="8">
        <f t="shared" si="121"/>
        <v>40</v>
      </c>
      <c r="G530" s="8" t="s">
        <v>46</v>
      </c>
      <c r="H530" s="8" t="s">
        <v>9</v>
      </c>
      <c r="I530" s="8" t="s">
        <v>67</v>
      </c>
      <c r="J530" s="8">
        <v>12</v>
      </c>
      <c r="K530" s="8">
        <f t="shared" si="122"/>
        <v>12</v>
      </c>
      <c r="L530" s="8">
        <v>30</v>
      </c>
      <c r="M530" s="9">
        <f t="shared" si="123"/>
        <v>30</v>
      </c>
      <c r="N530" s="8">
        <v>3.5</v>
      </c>
      <c r="O530" s="10">
        <f t="shared" si="124"/>
        <v>3.5</v>
      </c>
      <c r="P530" s="13" t="s">
        <v>2050</v>
      </c>
      <c r="Q530" s="14">
        <v>0.98</v>
      </c>
      <c r="R530" s="12">
        <f t="shared" ref="R530:R531" si="128">Q530</f>
        <v>0.98</v>
      </c>
      <c r="S530" s="12">
        <f t="shared" si="125"/>
        <v>0.98</v>
      </c>
    </row>
    <row r="531" spans="1:19" x14ac:dyDescent="0.35">
      <c r="A531" s="8" t="s">
        <v>1089</v>
      </c>
      <c r="B531" s="8" t="s">
        <v>1090</v>
      </c>
      <c r="C531" s="8" t="s">
        <v>75</v>
      </c>
      <c r="D531" s="8" t="str">
        <f t="shared" si="120"/>
        <v>Male</v>
      </c>
      <c r="E531" s="8">
        <v>37</v>
      </c>
      <c r="F531" s="8">
        <f t="shared" si="121"/>
        <v>37</v>
      </c>
      <c r="G531" s="8" t="s">
        <v>14</v>
      </c>
      <c r="H531" s="8" t="s">
        <v>15</v>
      </c>
      <c r="I531" s="8" t="s">
        <v>90</v>
      </c>
      <c r="J531" s="13"/>
      <c r="K531" s="8">
        <f t="shared" si="122"/>
        <v>9</v>
      </c>
      <c r="L531" s="13"/>
      <c r="M531" s="9">
        <f t="shared" si="123"/>
        <v>40</v>
      </c>
      <c r="N531" s="8">
        <v>1.7</v>
      </c>
      <c r="O531" s="10">
        <f t="shared" si="124"/>
        <v>1.7</v>
      </c>
      <c r="P531" s="8" t="s">
        <v>2051</v>
      </c>
      <c r="Q531" s="14">
        <v>0.63</v>
      </c>
      <c r="R531" s="12">
        <f t="shared" si="128"/>
        <v>0.63</v>
      </c>
      <c r="S531" s="12">
        <f t="shared" si="125"/>
        <v>0.63</v>
      </c>
    </row>
    <row r="532" spans="1:19" x14ac:dyDescent="0.35">
      <c r="A532" s="8" t="s">
        <v>1091</v>
      </c>
      <c r="B532" s="8" t="s">
        <v>1092</v>
      </c>
      <c r="C532" s="8" t="s">
        <v>70</v>
      </c>
      <c r="D532" s="8" t="str">
        <f t="shared" si="120"/>
        <v>Male</v>
      </c>
      <c r="E532" s="8">
        <v>28</v>
      </c>
      <c r="F532" s="8">
        <f t="shared" si="121"/>
        <v>28</v>
      </c>
      <c r="G532" s="8" t="s">
        <v>103</v>
      </c>
      <c r="H532" s="8" t="s">
        <v>9</v>
      </c>
      <c r="I532" s="8" t="s">
        <v>4</v>
      </c>
      <c r="J532" s="8">
        <v>5</v>
      </c>
      <c r="K532" s="8">
        <f t="shared" si="122"/>
        <v>5</v>
      </c>
      <c r="L532" s="8">
        <v>50</v>
      </c>
      <c r="M532" s="9">
        <f t="shared" si="123"/>
        <v>50</v>
      </c>
      <c r="N532" s="8">
        <v>0</v>
      </c>
      <c r="O532" s="11">
        <f t="shared" si="124"/>
        <v>0</v>
      </c>
      <c r="P532" s="8" t="s">
        <v>2051</v>
      </c>
      <c r="Q532" s="8">
        <v>96</v>
      </c>
      <c r="R532" s="12">
        <v>0.96</v>
      </c>
      <c r="S532" s="12">
        <f t="shared" si="125"/>
        <v>0.96</v>
      </c>
    </row>
    <row r="533" spans="1:19" x14ac:dyDescent="0.35">
      <c r="A533" s="8" t="s">
        <v>1093</v>
      </c>
      <c r="B533" s="8" t="s">
        <v>1094</v>
      </c>
      <c r="C533" s="8" t="s">
        <v>22</v>
      </c>
      <c r="D533" s="8" t="str">
        <f t="shared" si="120"/>
        <v>Female</v>
      </c>
      <c r="E533" s="8">
        <v>48</v>
      </c>
      <c r="F533" s="8">
        <f t="shared" si="121"/>
        <v>48</v>
      </c>
      <c r="G533" s="8" t="s">
        <v>71</v>
      </c>
      <c r="H533" s="8" t="s">
        <v>72</v>
      </c>
      <c r="I533" s="8" t="s">
        <v>10</v>
      </c>
      <c r="J533" s="8">
        <v>28</v>
      </c>
      <c r="K533" s="8">
        <f t="shared" si="122"/>
        <v>28</v>
      </c>
      <c r="L533" s="8">
        <v>20</v>
      </c>
      <c r="M533" s="9">
        <f t="shared" si="123"/>
        <v>20</v>
      </c>
      <c r="N533" s="8">
        <v>0</v>
      </c>
      <c r="O533" s="11">
        <f t="shared" si="124"/>
        <v>0</v>
      </c>
      <c r="P533" s="8" t="s">
        <v>2050</v>
      </c>
      <c r="Q533" s="14">
        <v>0.88</v>
      </c>
      <c r="R533" s="12">
        <f>Q533</f>
        <v>0.88</v>
      </c>
      <c r="S533" s="12">
        <f t="shared" si="125"/>
        <v>0.88</v>
      </c>
    </row>
    <row r="534" spans="1:19" x14ac:dyDescent="0.35">
      <c r="A534" s="8" t="s">
        <v>1095</v>
      </c>
      <c r="B534" s="8" t="s">
        <v>1096</v>
      </c>
      <c r="C534" s="8" t="s">
        <v>41</v>
      </c>
      <c r="D534" s="8" t="str">
        <f t="shared" si="120"/>
        <v>Male</v>
      </c>
      <c r="E534" s="8">
        <v>22</v>
      </c>
      <c r="F534" s="8">
        <f t="shared" si="121"/>
        <v>22</v>
      </c>
      <c r="G534" s="8" t="s">
        <v>71</v>
      </c>
      <c r="H534" s="8" t="s">
        <v>72</v>
      </c>
      <c r="I534" s="8" t="s">
        <v>27</v>
      </c>
      <c r="J534" s="8">
        <v>0</v>
      </c>
      <c r="K534" s="8">
        <f t="shared" si="122"/>
        <v>0</v>
      </c>
      <c r="L534" s="13"/>
      <c r="M534" s="9">
        <f t="shared" si="123"/>
        <v>40</v>
      </c>
      <c r="N534" s="8">
        <v>4.5999999999999996</v>
      </c>
      <c r="O534" s="10">
        <f t="shared" si="124"/>
        <v>4.5999999999999996</v>
      </c>
      <c r="P534" s="8" t="s">
        <v>2050</v>
      </c>
      <c r="Q534" s="13"/>
      <c r="S534" s="12">
        <f t="shared" si="125"/>
        <v>0.79269417475728277</v>
      </c>
    </row>
    <row r="535" spans="1:19" x14ac:dyDescent="0.35">
      <c r="A535" s="8" t="s">
        <v>1097</v>
      </c>
      <c r="B535" s="8" t="s">
        <v>1098</v>
      </c>
      <c r="C535" s="8" t="s">
        <v>22</v>
      </c>
      <c r="D535" s="8" t="str">
        <f t="shared" si="120"/>
        <v>Female</v>
      </c>
      <c r="E535" s="8">
        <v>41</v>
      </c>
      <c r="F535" s="8">
        <f t="shared" si="121"/>
        <v>41</v>
      </c>
      <c r="G535" s="8" t="s">
        <v>14</v>
      </c>
      <c r="H535" s="8" t="s">
        <v>15</v>
      </c>
      <c r="I535" s="8" t="s">
        <v>20</v>
      </c>
      <c r="J535" s="8">
        <v>14</v>
      </c>
      <c r="K535" s="8">
        <f t="shared" si="122"/>
        <v>14</v>
      </c>
      <c r="L535" s="8">
        <v>40</v>
      </c>
      <c r="M535" s="9">
        <f t="shared" si="123"/>
        <v>40</v>
      </c>
      <c r="N535" s="8">
        <v>1.1000000000000001</v>
      </c>
      <c r="O535" s="10">
        <f t="shared" si="124"/>
        <v>1.1000000000000001</v>
      </c>
      <c r="P535" s="8" t="s">
        <v>2051</v>
      </c>
      <c r="Q535" s="14">
        <v>0.73</v>
      </c>
      <c r="R535" s="12">
        <f t="shared" ref="R535:R538" si="129">Q535</f>
        <v>0.73</v>
      </c>
      <c r="S535" s="12">
        <f t="shared" si="125"/>
        <v>0.73</v>
      </c>
    </row>
    <row r="536" spans="1:19" x14ac:dyDescent="0.35">
      <c r="A536" s="8" t="s">
        <v>1099</v>
      </c>
      <c r="B536" s="8" t="s">
        <v>1100</v>
      </c>
      <c r="C536" s="8" t="s">
        <v>41</v>
      </c>
      <c r="D536" s="8" t="str">
        <f t="shared" si="120"/>
        <v>Male</v>
      </c>
      <c r="E536" s="8">
        <v>38</v>
      </c>
      <c r="F536" s="8">
        <f t="shared" si="121"/>
        <v>38</v>
      </c>
      <c r="G536" s="8" t="s">
        <v>38</v>
      </c>
      <c r="H536" s="8" t="s">
        <v>9</v>
      </c>
      <c r="I536" s="8" t="s">
        <v>16</v>
      </c>
      <c r="J536" s="8">
        <v>15</v>
      </c>
      <c r="K536" s="8">
        <f t="shared" si="122"/>
        <v>15</v>
      </c>
      <c r="L536" s="13"/>
      <c r="M536" s="9">
        <f t="shared" si="123"/>
        <v>40</v>
      </c>
      <c r="N536" s="8">
        <v>4.2</v>
      </c>
      <c r="O536" s="10">
        <f t="shared" si="124"/>
        <v>4.2</v>
      </c>
      <c r="P536" s="8" t="s">
        <v>2050</v>
      </c>
      <c r="Q536" s="14">
        <v>0.88</v>
      </c>
      <c r="R536" s="12">
        <f t="shared" si="129"/>
        <v>0.88</v>
      </c>
      <c r="S536" s="12">
        <f t="shared" si="125"/>
        <v>0.88</v>
      </c>
    </row>
    <row r="537" spans="1:19" x14ac:dyDescent="0.35">
      <c r="A537" s="8" t="s">
        <v>1101</v>
      </c>
      <c r="B537" s="8" t="s">
        <v>2026</v>
      </c>
      <c r="C537" s="8" t="s">
        <v>7</v>
      </c>
      <c r="D537" s="8" t="str">
        <f t="shared" si="120"/>
        <v>Female</v>
      </c>
      <c r="E537" s="8">
        <v>31</v>
      </c>
      <c r="F537" s="8">
        <f t="shared" si="121"/>
        <v>31</v>
      </c>
      <c r="G537" s="8" t="s">
        <v>128</v>
      </c>
      <c r="H537" s="8" t="s">
        <v>129</v>
      </c>
      <c r="I537" s="8" t="s">
        <v>52</v>
      </c>
      <c r="J537" s="8">
        <v>9</v>
      </c>
      <c r="K537" s="8">
        <f t="shared" si="122"/>
        <v>9</v>
      </c>
      <c r="L537" s="13"/>
      <c r="M537" s="9">
        <f t="shared" si="123"/>
        <v>40</v>
      </c>
      <c r="N537" s="8">
        <v>0</v>
      </c>
      <c r="O537" s="11">
        <f t="shared" si="124"/>
        <v>0</v>
      </c>
      <c r="P537" s="8" t="s">
        <v>2050</v>
      </c>
      <c r="Q537" s="14">
        <v>0.91</v>
      </c>
      <c r="R537" s="12">
        <f t="shared" si="129"/>
        <v>0.91</v>
      </c>
      <c r="S537" s="12">
        <f t="shared" si="125"/>
        <v>0.91</v>
      </c>
    </row>
    <row r="538" spans="1:19" x14ac:dyDescent="0.35">
      <c r="A538" s="8" t="s">
        <v>1102</v>
      </c>
      <c r="B538" s="8" t="s">
        <v>1103</v>
      </c>
      <c r="C538" s="8" t="s">
        <v>19</v>
      </c>
      <c r="D538" s="8" t="str">
        <f t="shared" si="120"/>
        <v>Female</v>
      </c>
      <c r="E538" s="8">
        <v>30</v>
      </c>
      <c r="F538" s="8">
        <f t="shared" si="121"/>
        <v>30</v>
      </c>
      <c r="G538" s="8" t="s">
        <v>147</v>
      </c>
      <c r="H538" s="8" t="s">
        <v>148</v>
      </c>
      <c r="I538" s="8" t="s">
        <v>10</v>
      </c>
      <c r="J538" s="8">
        <v>9</v>
      </c>
      <c r="K538" s="8">
        <f t="shared" si="122"/>
        <v>9</v>
      </c>
      <c r="L538" s="8">
        <v>30</v>
      </c>
      <c r="M538" s="9">
        <f t="shared" si="123"/>
        <v>30</v>
      </c>
      <c r="N538" s="8">
        <v>3.9</v>
      </c>
      <c r="O538" s="10">
        <f t="shared" si="124"/>
        <v>3.9</v>
      </c>
      <c r="P538" s="8" t="s">
        <v>2050</v>
      </c>
      <c r="Q538" s="14">
        <v>0.65</v>
      </c>
      <c r="R538" s="12">
        <f t="shared" si="129"/>
        <v>0.65</v>
      </c>
      <c r="S538" s="12">
        <f t="shared" si="125"/>
        <v>0.65</v>
      </c>
    </row>
    <row r="539" spans="1:19" x14ac:dyDescent="0.35">
      <c r="A539" s="8" t="s">
        <v>1104</v>
      </c>
      <c r="B539" s="8" t="s">
        <v>1105</v>
      </c>
      <c r="C539" s="8" t="s">
        <v>41</v>
      </c>
      <c r="D539" s="8" t="str">
        <f t="shared" si="120"/>
        <v>Male</v>
      </c>
      <c r="E539" s="8">
        <v>51</v>
      </c>
      <c r="F539" s="8">
        <f t="shared" si="121"/>
        <v>51</v>
      </c>
      <c r="G539" s="8" t="s">
        <v>151</v>
      </c>
      <c r="H539" s="8" t="s">
        <v>51</v>
      </c>
      <c r="I539" s="8" t="s">
        <v>52</v>
      </c>
      <c r="J539" s="8">
        <v>22</v>
      </c>
      <c r="K539" s="8">
        <f t="shared" si="122"/>
        <v>22</v>
      </c>
      <c r="L539" s="8">
        <v>20</v>
      </c>
      <c r="M539" s="9">
        <f t="shared" si="123"/>
        <v>20</v>
      </c>
      <c r="N539" s="8">
        <v>3.4</v>
      </c>
      <c r="O539" s="10">
        <f t="shared" si="124"/>
        <v>3.4</v>
      </c>
      <c r="P539" s="8" t="s">
        <v>2051</v>
      </c>
      <c r="Q539" s="8">
        <v>90</v>
      </c>
      <c r="R539" s="12">
        <v>0.9</v>
      </c>
      <c r="S539" s="12">
        <f t="shared" si="125"/>
        <v>0.9</v>
      </c>
    </row>
    <row r="540" spans="1:19" x14ac:dyDescent="0.35">
      <c r="A540" s="8" t="s">
        <v>1106</v>
      </c>
      <c r="B540" s="8" t="s">
        <v>1107</v>
      </c>
      <c r="C540" s="8" t="s">
        <v>1</v>
      </c>
      <c r="D540" s="8" t="str">
        <f t="shared" si="120"/>
        <v>Female</v>
      </c>
      <c r="E540" s="8">
        <v>21</v>
      </c>
      <c r="F540" s="8">
        <f t="shared" si="121"/>
        <v>21</v>
      </c>
      <c r="G540" s="8" t="s">
        <v>14</v>
      </c>
      <c r="H540" s="8" t="s">
        <v>15</v>
      </c>
      <c r="I540" s="8" t="s">
        <v>67</v>
      </c>
      <c r="J540" s="8">
        <v>0</v>
      </c>
      <c r="K540" s="8">
        <f t="shared" si="122"/>
        <v>0</v>
      </c>
      <c r="L540" s="8">
        <v>20</v>
      </c>
      <c r="M540" s="9">
        <f t="shared" si="123"/>
        <v>20</v>
      </c>
      <c r="N540" s="8">
        <v>2.6</v>
      </c>
      <c r="O540" s="10">
        <f t="shared" si="124"/>
        <v>2.6</v>
      </c>
      <c r="P540" s="8" t="s">
        <v>2050</v>
      </c>
      <c r="Q540" s="14">
        <v>0.72</v>
      </c>
      <c r="R540" s="12">
        <f t="shared" ref="R540:R541" si="130">Q540</f>
        <v>0.72</v>
      </c>
      <c r="S540" s="12">
        <f t="shared" si="125"/>
        <v>0.72</v>
      </c>
    </row>
    <row r="541" spans="1:19" x14ac:dyDescent="0.35">
      <c r="A541" s="8" t="s">
        <v>1108</v>
      </c>
      <c r="B541" s="8" t="s">
        <v>1109</v>
      </c>
      <c r="C541" s="8" t="s">
        <v>7</v>
      </c>
      <c r="D541" s="8" t="str">
        <f t="shared" si="120"/>
        <v>Female</v>
      </c>
      <c r="E541" s="8">
        <v>20</v>
      </c>
      <c r="F541" s="8">
        <f t="shared" si="121"/>
        <v>20</v>
      </c>
      <c r="G541" s="8" t="s">
        <v>2</v>
      </c>
      <c r="H541" s="8" t="s">
        <v>3</v>
      </c>
      <c r="I541" s="8" t="s">
        <v>67</v>
      </c>
      <c r="J541" s="8">
        <v>1</v>
      </c>
      <c r="K541" s="8">
        <f t="shared" si="122"/>
        <v>1</v>
      </c>
      <c r="L541" s="8">
        <v>40</v>
      </c>
      <c r="M541" s="9">
        <f t="shared" si="123"/>
        <v>40</v>
      </c>
      <c r="N541" s="8">
        <v>2.2999999999999998</v>
      </c>
      <c r="O541" s="10">
        <f t="shared" si="124"/>
        <v>2.2999999999999998</v>
      </c>
      <c r="P541" s="8" t="s">
        <v>2051</v>
      </c>
      <c r="Q541" s="14">
        <v>0.72</v>
      </c>
      <c r="R541" s="12">
        <f t="shared" si="130"/>
        <v>0.72</v>
      </c>
      <c r="S541" s="12">
        <f t="shared" si="125"/>
        <v>0.72</v>
      </c>
    </row>
    <row r="542" spans="1:19" x14ac:dyDescent="0.35">
      <c r="A542" s="8" t="s">
        <v>1110</v>
      </c>
      <c r="B542" s="8" t="s">
        <v>1111</v>
      </c>
      <c r="C542" s="8" t="s">
        <v>75</v>
      </c>
      <c r="D542" s="8" t="str">
        <f t="shared" si="120"/>
        <v>Male</v>
      </c>
      <c r="E542" s="8">
        <v>30</v>
      </c>
      <c r="F542" s="8">
        <f t="shared" si="121"/>
        <v>30</v>
      </c>
      <c r="G542" s="8" t="s">
        <v>63</v>
      </c>
      <c r="H542" s="8" t="s">
        <v>64</v>
      </c>
      <c r="I542" s="8" t="s">
        <v>4</v>
      </c>
      <c r="J542" s="8">
        <v>5</v>
      </c>
      <c r="K542" s="8">
        <f t="shared" si="122"/>
        <v>5</v>
      </c>
      <c r="L542" s="8">
        <v>30</v>
      </c>
      <c r="M542" s="9">
        <f t="shared" si="123"/>
        <v>30</v>
      </c>
      <c r="N542" s="8">
        <v>4.8</v>
      </c>
      <c r="O542" s="10">
        <f t="shared" si="124"/>
        <v>4.8</v>
      </c>
      <c r="P542" s="8" t="s">
        <v>2050</v>
      </c>
      <c r="Q542" s="13"/>
      <c r="S542" s="12">
        <f t="shared" si="125"/>
        <v>0.79269417475728277</v>
      </c>
    </row>
    <row r="543" spans="1:19" x14ac:dyDescent="0.35">
      <c r="A543" s="8" t="s">
        <v>1112</v>
      </c>
      <c r="B543" s="8" t="s">
        <v>1113</v>
      </c>
      <c r="C543" s="8" t="s">
        <v>41</v>
      </c>
      <c r="D543" s="8" t="str">
        <f t="shared" si="120"/>
        <v>Male</v>
      </c>
      <c r="E543" s="8">
        <v>41</v>
      </c>
      <c r="F543" s="8">
        <f t="shared" si="121"/>
        <v>41</v>
      </c>
      <c r="G543" s="8" t="s">
        <v>147</v>
      </c>
      <c r="H543" s="8" t="s">
        <v>148</v>
      </c>
      <c r="I543" s="8" t="s">
        <v>33</v>
      </c>
      <c r="J543" s="8">
        <v>0</v>
      </c>
      <c r="K543" s="8">
        <f t="shared" si="122"/>
        <v>0</v>
      </c>
      <c r="L543" s="8">
        <v>40</v>
      </c>
      <c r="M543" s="9">
        <f t="shared" si="123"/>
        <v>40</v>
      </c>
      <c r="N543" s="8">
        <v>4.5</v>
      </c>
      <c r="O543" s="10">
        <f t="shared" si="124"/>
        <v>4.5</v>
      </c>
      <c r="P543" s="8" t="s">
        <v>2050</v>
      </c>
      <c r="Q543" s="14">
        <v>0.68</v>
      </c>
      <c r="R543" s="12">
        <f t="shared" ref="R543:R546" si="131">Q543</f>
        <v>0.68</v>
      </c>
      <c r="S543" s="12">
        <f t="shared" si="125"/>
        <v>0.68</v>
      </c>
    </row>
    <row r="544" spans="1:19" x14ac:dyDescent="0.35">
      <c r="A544" s="8" t="s">
        <v>1114</v>
      </c>
      <c r="B544" s="8" t="s">
        <v>1115</v>
      </c>
      <c r="C544" s="8" t="s">
        <v>75</v>
      </c>
      <c r="D544" s="8" t="str">
        <f t="shared" si="120"/>
        <v>Male</v>
      </c>
      <c r="E544" s="8">
        <v>22</v>
      </c>
      <c r="F544" s="8">
        <f t="shared" si="121"/>
        <v>22</v>
      </c>
      <c r="G544" s="8" t="s">
        <v>162</v>
      </c>
      <c r="H544" s="8" t="s">
        <v>51</v>
      </c>
      <c r="I544" s="8" t="s">
        <v>4</v>
      </c>
      <c r="J544" s="8">
        <v>0</v>
      </c>
      <c r="K544" s="8">
        <f t="shared" si="122"/>
        <v>0</v>
      </c>
      <c r="L544" s="8">
        <v>30</v>
      </c>
      <c r="M544" s="9">
        <f t="shared" si="123"/>
        <v>30</v>
      </c>
      <c r="N544" s="8">
        <v>0</v>
      </c>
      <c r="O544" s="11">
        <f t="shared" si="124"/>
        <v>0</v>
      </c>
      <c r="P544" s="8" t="s">
        <v>2050</v>
      </c>
      <c r="Q544" s="14">
        <v>0.87</v>
      </c>
      <c r="R544" s="12">
        <f t="shared" si="131"/>
        <v>0.87</v>
      </c>
      <c r="S544" s="12">
        <f t="shared" si="125"/>
        <v>0.87</v>
      </c>
    </row>
    <row r="545" spans="1:19" x14ac:dyDescent="0.35">
      <c r="A545" s="8" t="s">
        <v>1116</v>
      </c>
      <c r="B545" s="8" t="s">
        <v>1117</v>
      </c>
      <c r="C545" s="8" t="s">
        <v>41</v>
      </c>
      <c r="D545" s="8" t="str">
        <f t="shared" si="120"/>
        <v>Male</v>
      </c>
      <c r="E545" s="8">
        <v>45</v>
      </c>
      <c r="F545" s="8">
        <f t="shared" si="121"/>
        <v>45</v>
      </c>
      <c r="G545" s="8" t="s">
        <v>151</v>
      </c>
      <c r="H545" s="8" t="s">
        <v>51</v>
      </c>
      <c r="I545" s="8" t="s">
        <v>56</v>
      </c>
      <c r="J545" s="8">
        <v>19</v>
      </c>
      <c r="K545" s="8">
        <f t="shared" si="122"/>
        <v>19</v>
      </c>
      <c r="L545" s="8">
        <v>75</v>
      </c>
      <c r="M545" s="9">
        <f t="shared" si="123"/>
        <v>75</v>
      </c>
      <c r="N545" s="8">
        <v>0</v>
      </c>
      <c r="O545" s="11">
        <f t="shared" si="124"/>
        <v>0</v>
      </c>
      <c r="P545" s="8" t="s">
        <v>2050</v>
      </c>
      <c r="Q545" s="14">
        <v>0.72</v>
      </c>
      <c r="R545" s="12">
        <f t="shared" si="131"/>
        <v>0.72</v>
      </c>
      <c r="S545" s="12">
        <f t="shared" si="125"/>
        <v>0.72</v>
      </c>
    </row>
    <row r="546" spans="1:19" x14ac:dyDescent="0.35">
      <c r="A546" s="8" t="s">
        <v>1118</v>
      </c>
      <c r="B546" s="8" t="s">
        <v>1119</v>
      </c>
      <c r="C546" s="8" t="s">
        <v>55</v>
      </c>
      <c r="D546" s="8" t="str">
        <f t="shared" si="120"/>
        <v>Female</v>
      </c>
      <c r="E546" s="8">
        <v>22</v>
      </c>
      <c r="F546" s="8">
        <f t="shared" si="121"/>
        <v>22</v>
      </c>
      <c r="G546" s="8" t="s">
        <v>8</v>
      </c>
      <c r="H546" s="8" t="s">
        <v>9</v>
      </c>
      <c r="I546" s="8" t="s">
        <v>33</v>
      </c>
      <c r="J546" s="8">
        <v>2</v>
      </c>
      <c r="K546" s="8">
        <f t="shared" si="122"/>
        <v>2</v>
      </c>
      <c r="L546" s="8">
        <v>40</v>
      </c>
      <c r="M546" s="9">
        <f t="shared" si="123"/>
        <v>40</v>
      </c>
      <c r="N546" s="8">
        <v>1.1000000000000001</v>
      </c>
      <c r="O546" s="10">
        <f t="shared" si="124"/>
        <v>1.1000000000000001</v>
      </c>
      <c r="P546" s="8" t="s">
        <v>2050</v>
      </c>
      <c r="Q546" s="14">
        <v>0.76</v>
      </c>
      <c r="R546" s="12">
        <f t="shared" si="131"/>
        <v>0.76</v>
      </c>
      <c r="S546" s="12">
        <f t="shared" si="125"/>
        <v>0.76</v>
      </c>
    </row>
    <row r="547" spans="1:19" x14ac:dyDescent="0.35">
      <c r="A547" s="8" t="s">
        <v>1120</v>
      </c>
      <c r="B547" s="8" t="s">
        <v>1121</v>
      </c>
      <c r="C547" s="8" t="s">
        <v>1</v>
      </c>
      <c r="D547" s="8" t="str">
        <f t="shared" si="120"/>
        <v>Female</v>
      </c>
      <c r="E547" s="8">
        <v>20</v>
      </c>
      <c r="F547" s="8">
        <f t="shared" si="121"/>
        <v>20</v>
      </c>
      <c r="G547" s="8" t="s">
        <v>42</v>
      </c>
      <c r="H547" s="8" t="s">
        <v>43</v>
      </c>
      <c r="I547" s="8" t="s">
        <v>10</v>
      </c>
      <c r="J547" s="8">
        <v>0</v>
      </c>
      <c r="K547" s="8">
        <f t="shared" si="122"/>
        <v>0</v>
      </c>
      <c r="L547" s="8">
        <v>100</v>
      </c>
      <c r="M547" s="9">
        <f t="shared" si="123"/>
        <v>100</v>
      </c>
      <c r="N547" s="8">
        <v>0</v>
      </c>
      <c r="O547" s="11">
        <f t="shared" si="124"/>
        <v>0</v>
      </c>
      <c r="P547" s="8" t="s">
        <v>2050</v>
      </c>
      <c r="Q547" s="8">
        <v>63</v>
      </c>
      <c r="R547" s="12">
        <v>0.63</v>
      </c>
      <c r="S547" s="12">
        <f t="shared" si="125"/>
        <v>0.63</v>
      </c>
    </row>
    <row r="548" spans="1:19" x14ac:dyDescent="0.35">
      <c r="A548" s="8" t="s">
        <v>1122</v>
      </c>
      <c r="B548" s="8" t="s">
        <v>1123</v>
      </c>
      <c r="C548" s="8" t="s">
        <v>7</v>
      </c>
      <c r="D548" s="8" t="str">
        <f t="shared" si="120"/>
        <v>Female</v>
      </c>
      <c r="E548" s="8">
        <v>20</v>
      </c>
      <c r="F548" s="8">
        <f t="shared" si="121"/>
        <v>20</v>
      </c>
      <c r="G548" s="8" t="s">
        <v>103</v>
      </c>
      <c r="H548" s="8" t="s">
        <v>9</v>
      </c>
      <c r="I548" s="8" t="s">
        <v>33</v>
      </c>
      <c r="J548" s="8">
        <v>2</v>
      </c>
      <c r="K548" s="8">
        <f t="shared" si="122"/>
        <v>2</v>
      </c>
      <c r="L548" s="8">
        <v>40</v>
      </c>
      <c r="M548" s="9">
        <f t="shared" si="123"/>
        <v>40</v>
      </c>
      <c r="O548" s="10">
        <f t="shared" si="124"/>
        <v>2.5125695216907653</v>
      </c>
      <c r="P548" s="8" t="s">
        <v>2051</v>
      </c>
      <c r="Q548" s="14">
        <v>0.91</v>
      </c>
      <c r="R548" s="12">
        <f t="shared" ref="R548:R551" si="132">Q548</f>
        <v>0.91</v>
      </c>
      <c r="S548" s="12">
        <f t="shared" si="125"/>
        <v>0.91</v>
      </c>
    </row>
    <row r="549" spans="1:19" x14ac:dyDescent="0.35">
      <c r="A549" s="8" t="s">
        <v>1124</v>
      </c>
      <c r="B549" s="8" t="s">
        <v>1125</v>
      </c>
      <c r="C549" s="8" t="s">
        <v>70</v>
      </c>
      <c r="D549" s="8" t="str">
        <f t="shared" si="120"/>
        <v>Male</v>
      </c>
      <c r="E549" s="8">
        <v>21</v>
      </c>
      <c r="F549" s="8">
        <f t="shared" si="121"/>
        <v>21</v>
      </c>
      <c r="G549" s="8" t="s">
        <v>46</v>
      </c>
      <c r="H549" s="8" t="s">
        <v>9</v>
      </c>
      <c r="I549" s="8" t="s">
        <v>27</v>
      </c>
      <c r="J549" s="8">
        <v>0</v>
      </c>
      <c r="K549" s="8">
        <f t="shared" si="122"/>
        <v>0</v>
      </c>
      <c r="L549" s="8">
        <v>100</v>
      </c>
      <c r="M549" s="9">
        <f t="shared" si="123"/>
        <v>100</v>
      </c>
      <c r="O549" s="10">
        <f t="shared" si="124"/>
        <v>2.5125695216907653</v>
      </c>
      <c r="P549" s="8" t="s">
        <v>2050</v>
      </c>
      <c r="Q549" s="14">
        <v>0.73</v>
      </c>
      <c r="R549" s="12">
        <f t="shared" si="132"/>
        <v>0.73</v>
      </c>
      <c r="S549" s="12">
        <f t="shared" si="125"/>
        <v>0.73</v>
      </c>
    </row>
    <row r="550" spans="1:19" x14ac:dyDescent="0.35">
      <c r="A550" s="8" t="s">
        <v>1126</v>
      </c>
      <c r="B550" s="8" t="s">
        <v>1127</v>
      </c>
      <c r="C550" s="8" t="s">
        <v>75</v>
      </c>
      <c r="D550" s="8" t="str">
        <f t="shared" si="120"/>
        <v>Male</v>
      </c>
      <c r="E550" s="8">
        <v>22</v>
      </c>
      <c r="F550" s="8">
        <f t="shared" si="121"/>
        <v>22</v>
      </c>
      <c r="G550" s="8" t="s">
        <v>25</v>
      </c>
      <c r="H550" s="8" t="s">
        <v>26</v>
      </c>
      <c r="I550" s="8" t="s">
        <v>56</v>
      </c>
      <c r="J550" s="8">
        <v>1</v>
      </c>
      <c r="K550" s="8">
        <f t="shared" si="122"/>
        <v>1</v>
      </c>
      <c r="L550" s="8">
        <v>40</v>
      </c>
      <c r="M550" s="9">
        <f t="shared" si="123"/>
        <v>40</v>
      </c>
      <c r="N550" s="8">
        <v>0</v>
      </c>
      <c r="O550" s="11">
        <f t="shared" si="124"/>
        <v>0</v>
      </c>
      <c r="P550" s="8" t="s">
        <v>2050</v>
      </c>
      <c r="Q550" s="14">
        <v>0.63</v>
      </c>
      <c r="R550" s="12">
        <f t="shared" si="132"/>
        <v>0.63</v>
      </c>
      <c r="S550" s="12">
        <f t="shared" si="125"/>
        <v>0.63</v>
      </c>
    </row>
    <row r="551" spans="1:19" x14ac:dyDescent="0.35">
      <c r="A551" s="8" t="s">
        <v>1128</v>
      </c>
      <c r="B551" s="8" t="s">
        <v>1129</v>
      </c>
      <c r="C551" s="8" t="s">
        <v>19</v>
      </c>
      <c r="D551" s="8" t="str">
        <f t="shared" si="120"/>
        <v>Female</v>
      </c>
      <c r="E551" s="8">
        <v>28</v>
      </c>
      <c r="F551" s="8">
        <f t="shared" si="121"/>
        <v>28</v>
      </c>
      <c r="G551" s="8" t="s">
        <v>46</v>
      </c>
      <c r="H551" s="8" t="s">
        <v>9</v>
      </c>
      <c r="I551" s="8" t="s">
        <v>67</v>
      </c>
      <c r="J551" s="8">
        <v>3</v>
      </c>
      <c r="K551" s="8">
        <f t="shared" si="122"/>
        <v>3</v>
      </c>
      <c r="L551" s="8">
        <v>20</v>
      </c>
      <c r="M551" s="9">
        <f t="shared" si="123"/>
        <v>20</v>
      </c>
      <c r="O551" s="10">
        <f t="shared" si="124"/>
        <v>2.5125695216907653</v>
      </c>
      <c r="P551" s="8" t="s">
        <v>2051</v>
      </c>
      <c r="Q551" s="14">
        <v>0.79</v>
      </c>
      <c r="R551" s="12">
        <f t="shared" si="132"/>
        <v>0.79</v>
      </c>
      <c r="S551" s="12">
        <f t="shared" si="125"/>
        <v>0.79</v>
      </c>
    </row>
    <row r="552" spans="1:19" x14ac:dyDescent="0.35">
      <c r="A552" s="8" t="s">
        <v>1130</v>
      </c>
      <c r="B552" s="8" t="s">
        <v>1131</v>
      </c>
      <c r="C552" s="8" t="s">
        <v>19</v>
      </c>
      <c r="D552" s="8" t="str">
        <f t="shared" si="120"/>
        <v>Female</v>
      </c>
      <c r="E552" s="8">
        <v>59</v>
      </c>
      <c r="F552" s="8">
        <f t="shared" si="121"/>
        <v>59</v>
      </c>
      <c r="G552" s="8" t="s">
        <v>50</v>
      </c>
      <c r="H552" s="8" t="s">
        <v>51</v>
      </c>
      <c r="I552" s="8" t="s">
        <v>27</v>
      </c>
      <c r="J552" s="13"/>
      <c r="K552" s="8">
        <f t="shared" si="122"/>
        <v>9</v>
      </c>
      <c r="L552" s="8">
        <v>20</v>
      </c>
      <c r="M552" s="9">
        <f t="shared" si="123"/>
        <v>20</v>
      </c>
      <c r="N552" s="8">
        <v>4.0999999999999996</v>
      </c>
      <c r="O552" s="10">
        <f t="shared" si="124"/>
        <v>4.0999999999999996</v>
      </c>
      <c r="P552" s="8" t="s">
        <v>2050</v>
      </c>
      <c r="Q552" s="8">
        <v>75</v>
      </c>
      <c r="R552" s="12">
        <v>0.75</v>
      </c>
      <c r="S552" s="12">
        <f t="shared" si="125"/>
        <v>0.75</v>
      </c>
    </row>
    <row r="553" spans="1:19" x14ac:dyDescent="0.35">
      <c r="A553" s="8" t="s">
        <v>1132</v>
      </c>
      <c r="B553" s="8" t="s">
        <v>2027</v>
      </c>
      <c r="C553" s="8" t="s">
        <v>22</v>
      </c>
      <c r="D553" s="8" t="str">
        <f>IF(LEFT(C553,1)="f","Female","Male")</f>
        <v>Female</v>
      </c>
      <c r="E553" s="8">
        <v>28</v>
      </c>
      <c r="F553" s="8">
        <f t="shared" si="121"/>
        <v>28</v>
      </c>
      <c r="G553" s="8" t="s">
        <v>110</v>
      </c>
      <c r="H553" s="8" t="s">
        <v>111</v>
      </c>
      <c r="I553" s="8" t="s">
        <v>20</v>
      </c>
      <c r="J553" s="8">
        <v>1</v>
      </c>
      <c r="K553" s="8">
        <f t="shared" si="122"/>
        <v>1</v>
      </c>
      <c r="L553" s="13"/>
      <c r="M553" s="9">
        <f t="shared" si="123"/>
        <v>40</v>
      </c>
      <c r="N553" s="8">
        <v>0</v>
      </c>
      <c r="O553" s="11">
        <f t="shared" si="124"/>
        <v>0</v>
      </c>
      <c r="P553" s="8" t="s">
        <v>2050</v>
      </c>
      <c r="Q553" s="14">
        <v>0.7</v>
      </c>
      <c r="R553" s="12">
        <f t="shared" ref="R553:R554" si="133">Q553</f>
        <v>0.7</v>
      </c>
      <c r="S553" s="12">
        <f t="shared" si="125"/>
        <v>0.7</v>
      </c>
    </row>
    <row r="554" spans="1:19" x14ac:dyDescent="0.35">
      <c r="A554" s="8" t="s">
        <v>1133</v>
      </c>
      <c r="B554" s="8" t="s">
        <v>1134</v>
      </c>
      <c r="C554" s="8" t="s">
        <v>19</v>
      </c>
      <c r="D554" s="8" t="str">
        <f t="shared" ref="D554:D617" si="134">IF(LEFT(C554,1)="f","Female","Male")</f>
        <v>Female</v>
      </c>
      <c r="E554" s="8">
        <v>40</v>
      </c>
      <c r="F554" s="8">
        <f t="shared" si="121"/>
        <v>40</v>
      </c>
      <c r="G554" s="8" t="s">
        <v>8</v>
      </c>
      <c r="H554" s="8" t="s">
        <v>9</v>
      </c>
      <c r="I554" s="8" t="s">
        <v>67</v>
      </c>
      <c r="J554" s="8">
        <v>0</v>
      </c>
      <c r="K554" s="8">
        <f t="shared" si="122"/>
        <v>0</v>
      </c>
      <c r="L554" s="8">
        <v>100</v>
      </c>
      <c r="M554" s="9">
        <f t="shared" si="123"/>
        <v>100</v>
      </c>
      <c r="N554" s="8">
        <v>1.2</v>
      </c>
      <c r="O554" s="10">
        <f t="shared" si="124"/>
        <v>1.2</v>
      </c>
      <c r="P554" s="13" t="s">
        <v>2050</v>
      </c>
      <c r="Q554" s="14">
        <v>0.87</v>
      </c>
      <c r="R554" s="12">
        <f t="shared" si="133"/>
        <v>0.87</v>
      </c>
      <c r="S554" s="12">
        <f t="shared" si="125"/>
        <v>0.87</v>
      </c>
    </row>
    <row r="555" spans="1:19" x14ac:dyDescent="0.35">
      <c r="A555" s="8" t="s">
        <v>1135</v>
      </c>
      <c r="B555" s="8" t="s">
        <v>1136</v>
      </c>
      <c r="C555" s="8" t="s">
        <v>70</v>
      </c>
      <c r="D555" s="8" t="str">
        <f t="shared" si="134"/>
        <v>Male</v>
      </c>
      <c r="E555" s="8">
        <v>57</v>
      </c>
      <c r="F555" s="8">
        <f t="shared" si="121"/>
        <v>57</v>
      </c>
      <c r="G555" s="8" t="s">
        <v>2</v>
      </c>
      <c r="H555" s="8" t="s">
        <v>3</v>
      </c>
      <c r="I555" s="8" t="s">
        <v>4</v>
      </c>
      <c r="J555" s="8">
        <v>7</v>
      </c>
      <c r="K555" s="8">
        <f t="shared" si="122"/>
        <v>7</v>
      </c>
      <c r="L555" s="8">
        <v>30</v>
      </c>
      <c r="M555" s="9">
        <f t="shared" si="123"/>
        <v>30</v>
      </c>
      <c r="N555" s="8">
        <v>1.6</v>
      </c>
      <c r="O555" s="10">
        <f t="shared" si="124"/>
        <v>1.6</v>
      </c>
      <c r="P555" s="8" t="s">
        <v>2050</v>
      </c>
      <c r="Q555" s="13"/>
      <c r="S555" s="12">
        <f t="shared" si="125"/>
        <v>0.79269417475728277</v>
      </c>
    </row>
    <row r="556" spans="1:19" x14ac:dyDescent="0.35">
      <c r="A556" s="8" t="s">
        <v>1137</v>
      </c>
      <c r="B556" s="8" t="s">
        <v>1138</v>
      </c>
      <c r="C556" s="8" t="s">
        <v>41</v>
      </c>
      <c r="D556" s="8" t="str">
        <f t="shared" si="134"/>
        <v>Male</v>
      </c>
      <c r="E556" s="8">
        <v>47</v>
      </c>
      <c r="F556" s="8">
        <f t="shared" si="121"/>
        <v>47</v>
      </c>
      <c r="G556" s="8" t="s">
        <v>42</v>
      </c>
      <c r="H556" s="8" t="s">
        <v>43</v>
      </c>
      <c r="I556" s="8" t="s">
        <v>67</v>
      </c>
      <c r="J556" s="8">
        <v>1</v>
      </c>
      <c r="K556" s="8">
        <f t="shared" si="122"/>
        <v>1</v>
      </c>
      <c r="L556" s="8">
        <v>50</v>
      </c>
      <c r="M556" s="9">
        <f t="shared" si="123"/>
        <v>50</v>
      </c>
      <c r="N556" s="8">
        <v>3.9</v>
      </c>
      <c r="O556" s="10">
        <f t="shared" si="124"/>
        <v>3.9</v>
      </c>
      <c r="P556" s="8" t="s">
        <v>2051</v>
      </c>
      <c r="Q556" s="14">
        <v>0.88</v>
      </c>
      <c r="R556" s="12">
        <f>Q556</f>
        <v>0.88</v>
      </c>
      <c r="S556" s="12">
        <f t="shared" si="125"/>
        <v>0.88</v>
      </c>
    </row>
    <row r="557" spans="1:19" x14ac:dyDescent="0.35">
      <c r="A557" s="8" t="s">
        <v>1139</v>
      </c>
      <c r="B557" s="8" t="s">
        <v>1140</v>
      </c>
      <c r="C557" s="8" t="s">
        <v>13</v>
      </c>
      <c r="D557" s="8" t="str">
        <f t="shared" si="134"/>
        <v>Male</v>
      </c>
      <c r="E557" s="8">
        <v>48</v>
      </c>
      <c r="F557" s="8">
        <f t="shared" si="121"/>
        <v>48</v>
      </c>
      <c r="G557" s="8" t="s">
        <v>88</v>
      </c>
      <c r="H557" s="8" t="s">
        <v>89</v>
      </c>
      <c r="I557" s="8" t="s">
        <v>56</v>
      </c>
      <c r="J557" s="8">
        <v>21</v>
      </c>
      <c r="K557" s="8">
        <f t="shared" si="122"/>
        <v>21</v>
      </c>
      <c r="L557" s="8">
        <v>40</v>
      </c>
      <c r="M557" s="9">
        <f t="shared" si="123"/>
        <v>40</v>
      </c>
      <c r="N557" s="8">
        <v>0</v>
      </c>
      <c r="O557" s="11">
        <f t="shared" si="124"/>
        <v>0</v>
      </c>
      <c r="P557" s="8" t="s">
        <v>2051</v>
      </c>
      <c r="Q557" s="13"/>
      <c r="S557" s="12">
        <f t="shared" si="125"/>
        <v>0.79269417475728277</v>
      </c>
    </row>
    <row r="558" spans="1:19" x14ac:dyDescent="0.35">
      <c r="A558" s="8" t="s">
        <v>1141</v>
      </c>
      <c r="B558" s="8" t="s">
        <v>1142</v>
      </c>
      <c r="C558" s="8" t="s">
        <v>75</v>
      </c>
      <c r="D558" s="8" t="str">
        <f t="shared" si="134"/>
        <v>Male</v>
      </c>
      <c r="E558" s="8">
        <v>28</v>
      </c>
      <c r="F558" s="8">
        <f t="shared" si="121"/>
        <v>28</v>
      </c>
      <c r="G558" s="8" t="s">
        <v>38</v>
      </c>
      <c r="H558" s="8" t="s">
        <v>9</v>
      </c>
      <c r="I558" s="8" t="s">
        <v>52</v>
      </c>
      <c r="J558" s="8">
        <v>1</v>
      </c>
      <c r="K558" s="8">
        <f t="shared" si="122"/>
        <v>1</v>
      </c>
      <c r="L558" s="8">
        <v>20</v>
      </c>
      <c r="M558" s="9">
        <f t="shared" si="123"/>
        <v>20</v>
      </c>
      <c r="N558" s="8">
        <v>4.7</v>
      </c>
      <c r="O558" s="10">
        <f t="shared" si="124"/>
        <v>4.7</v>
      </c>
      <c r="P558" s="8" t="s">
        <v>2050</v>
      </c>
      <c r="Q558" s="14">
        <v>0.93</v>
      </c>
      <c r="R558" s="12">
        <f>Q558</f>
        <v>0.93</v>
      </c>
      <c r="S558" s="12">
        <f t="shared" si="125"/>
        <v>0.93</v>
      </c>
    </row>
    <row r="559" spans="1:19" x14ac:dyDescent="0.35">
      <c r="A559" s="8" t="s">
        <v>1143</v>
      </c>
      <c r="B559" s="8" t="s">
        <v>1144</v>
      </c>
      <c r="C559" s="8" t="s">
        <v>70</v>
      </c>
      <c r="D559" s="8" t="str">
        <f t="shared" si="134"/>
        <v>Male</v>
      </c>
      <c r="E559" s="8">
        <v>41</v>
      </c>
      <c r="F559" s="8">
        <f t="shared" si="121"/>
        <v>41</v>
      </c>
      <c r="G559" s="8" t="s">
        <v>42</v>
      </c>
      <c r="H559" s="8" t="s">
        <v>43</v>
      </c>
      <c r="I559" s="8" t="s">
        <v>16</v>
      </c>
      <c r="J559" s="8">
        <v>15</v>
      </c>
      <c r="K559" s="8">
        <f t="shared" si="122"/>
        <v>15</v>
      </c>
      <c r="L559" s="13"/>
      <c r="M559" s="9">
        <f t="shared" si="123"/>
        <v>40</v>
      </c>
      <c r="N559" s="8">
        <v>3.8</v>
      </c>
      <c r="O559" s="10">
        <f t="shared" si="124"/>
        <v>3.8</v>
      </c>
      <c r="P559" s="8" t="s">
        <v>2051</v>
      </c>
      <c r="Q559" s="13"/>
      <c r="S559" s="12">
        <f t="shared" si="125"/>
        <v>0.79269417475728277</v>
      </c>
    </row>
    <row r="560" spans="1:19" x14ac:dyDescent="0.35">
      <c r="A560" s="8" t="s">
        <v>1145</v>
      </c>
      <c r="B560" s="8" t="s">
        <v>1146</v>
      </c>
      <c r="C560" s="8" t="s">
        <v>1</v>
      </c>
      <c r="D560" s="8" t="str">
        <f t="shared" si="134"/>
        <v>Female</v>
      </c>
      <c r="E560" s="8">
        <v>57</v>
      </c>
      <c r="F560" s="8">
        <f t="shared" si="121"/>
        <v>57</v>
      </c>
      <c r="G560" s="8" t="s">
        <v>128</v>
      </c>
      <c r="H560" s="8" t="s">
        <v>129</v>
      </c>
      <c r="I560" s="8" t="s">
        <v>56</v>
      </c>
      <c r="J560" s="8">
        <v>33</v>
      </c>
      <c r="K560" s="8">
        <f t="shared" si="122"/>
        <v>33</v>
      </c>
      <c r="L560" s="8">
        <v>100</v>
      </c>
      <c r="M560" s="9">
        <f t="shared" si="123"/>
        <v>100</v>
      </c>
      <c r="N560" s="8">
        <v>3.5</v>
      </c>
      <c r="O560" s="10">
        <f t="shared" si="124"/>
        <v>3.5</v>
      </c>
      <c r="P560" s="8" t="s">
        <v>2050</v>
      </c>
      <c r="Q560" s="14">
        <v>0.74</v>
      </c>
      <c r="R560" s="12">
        <f t="shared" ref="R560:R565" si="135">Q560</f>
        <v>0.74</v>
      </c>
      <c r="S560" s="12">
        <f t="shared" si="125"/>
        <v>0.74</v>
      </c>
    </row>
    <row r="561" spans="1:19" x14ac:dyDescent="0.35">
      <c r="A561" s="8" t="s">
        <v>1147</v>
      </c>
      <c r="B561" s="8" t="s">
        <v>1148</v>
      </c>
      <c r="C561" s="8" t="s">
        <v>13</v>
      </c>
      <c r="D561" s="8" t="str">
        <f t="shared" si="134"/>
        <v>Male</v>
      </c>
      <c r="E561" s="8">
        <v>60</v>
      </c>
      <c r="F561" s="8">
        <f t="shared" si="121"/>
        <v>60</v>
      </c>
      <c r="G561" s="8" t="s">
        <v>50</v>
      </c>
      <c r="H561" s="8" t="s">
        <v>51</v>
      </c>
      <c r="I561" s="8" t="s">
        <v>16</v>
      </c>
      <c r="J561" s="8">
        <v>39</v>
      </c>
      <c r="K561" s="8">
        <f t="shared" si="122"/>
        <v>39</v>
      </c>
      <c r="L561" s="8">
        <v>75</v>
      </c>
      <c r="M561" s="9">
        <f t="shared" si="123"/>
        <v>75</v>
      </c>
      <c r="N561" s="8">
        <v>4</v>
      </c>
      <c r="O561" s="10">
        <f t="shared" si="124"/>
        <v>4</v>
      </c>
      <c r="P561" s="13" t="s">
        <v>2050</v>
      </c>
      <c r="Q561" s="14">
        <v>0.7</v>
      </c>
      <c r="R561" s="12">
        <f t="shared" si="135"/>
        <v>0.7</v>
      </c>
      <c r="S561" s="12">
        <f t="shared" si="125"/>
        <v>0.7</v>
      </c>
    </row>
    <row r="562" spans="1:19" x14ac:dyDescent="0.35">
      <c r="A562" s="8" t="s">
        <v>1149</v>
      </c>
      <c r="B562" s="8" t="s">
        <v>1150</v>
      </c>
      <c r="C562" s="8" t="s">
        <v>22</v>
      </c>
      <c r="D562" s="8" t="str">
        <f t="shared" si="134"/>
        <v>Female</v>
      </c>
      <c r="E562" s="8">
        <v>48</v>
      </c>
      <c r="F562" s="8">
        <f t="shared" si="121"/>
        <v>48</v>
      </c>
      <c r="G562" s="8" t="s">
        <v>114</v>
      </c>
      <c r="H562" s="8" t="s">
        <v>115</v>
      </c>
      <c r="I562" s="8" t="s">
        <v>16</v>
      </c>
      <c r="J562" s="8">
        <v>21</v>
      </c>
      <c r="K562" s="8">
        <f t="shared" si="122"/>
        <v>21</v>
      </c>
      <c r="L562" s="8">
        <v>30</v>
      </c>
      <c r="M562" s="9">
        <f t="shared" si="123"/>
        <v>30</v>
      </c>
      <c r="N562" s="8">
        <v>1.6</v>
      </c>
      <c r="O562" s="10">
        <f t="shared" si="124"/>
        <v>1.6</v>
      </c>
      <c r="P562" s="8" t="s">
        <v>2051</v>
      </c>
      <c r="Q562" s="14">
        <v>0.67</v>
      </c>
      <c r="R562" s="12">
        <f t="shared" si="135"/>
        <v>0.67</v>
      </c>
      <c r="S562" s="12">
        <f t="shared" si="125"/>
        <v>0.67</v>
      </c>
    </row>
    <row r="563" spans="1:19" x14ac:dyDescent="0.35">
      <c r="A563" s="8" t="s">
        <v>1151</v>
      </c>
      <c r="B563" s="8" t="s">
        <v>1152</v>
      </c>
      <c r="C563" s="8" t="s">
        <v>55</v>
      </c>
      <c r="D563" s="8" t="str">
        <f t="shared" si="134"/>
        <v>Female</v>
      </c>
      <c r="E563" s="8">
        <v>24</v>
      </c>
      <c r="F563" s="8">
        <f t="shared" si="121"/>
        <v>24</v>
      </c>
      <c r="G563" s="8" t="s">
        <v>110</v>
      </c>
      <c r="H563" s="8" t="s">
        <v>111</v>
      </c>
      <c r="I563" s="8" t="s">
        <v>56</v>
      </c>
      <c r="J563" s="8">
        <v>5</v>
      </c>
      <c r="K563" s="8">
        <f t="shared" si="122"/>
        <v>5</v>
      </c>
      <c r="L563" s="8">
        <v>40</v>
      </c>
      <c r="M563" s="9">
        <f t="shared" si="123"/>
        <v>40</v>
      </c>
      <c r="N563" s="8">
        <v>3</v>
      </c>
      <c r="O563" s="10">
        <f t="shared" si="124"/>
        <v>3</v>
      </c>
      <c r="P563" s="8" t="s">
        <v>2050</v>
      </c>
      <c r="Q563" s="14">
        <v>0.86</v>
      </c>
      <c r="R563" s="12">
        <f t="shared" si="135"/>
        <v>0.86</v>
      </c>
      <c r="S563" s="12">
        <f t="shared" si="125"/>
        <v>0.86</v>
      </c>
    </row>
    <row r="564" spans="1:19" x14ac:dyDescent="0.35">
      <c r="A564" s="8" t="s">
        <v>1153</v>
      </c>
      <c r="B564" s="8" t="s">
        <v>1154</v>
      </c>
      <c r="C564" s="8" t="s">
        <v>7</v>
      </c>
      <c r="D564" s="8" t="str">
        <f t="shared" si="134"/>
        <v>Female</v>
      </c>
      <c r="E564" s="8">
        <v>33</v>
      </c>
      <c r="F564" s="8">
        <f t="shared" si="121"/>
        <v>33</v>
      </c>
      <c r="G564" s="8" t="s">
        <v>151</v>
      </c>
      <c r="H564" s="8" t="s">
        <v>51</v>
      </c>
      <c r="I564" s="8" t="s">
        <v>67</v>
      </c>
      <c r="J564" s="8">
        <v>11</v>
      </c>
      <c r="K564" s="8">
        <f t="shared" si="122"/>
        <v>11</v>
      </c>
      <c r="L564" s="8">
        <v>50</v>
      </c>
      <c r="M564" s="9">
        <f t="shared" si="123"/>
        <v>50</v>
      </c>
      <c r="N564" s="8">
        <v>5</v>
      </c>
      <c r="O564" s="10">
        <f t="shared" si="124"/>
        <v>5</v>
      </c>
      <c r="P564" s="8" t="s">
        <v>2051</v>
      </c>
      <c r="Q564" s="14">
        <v>0.69</v>
      </c>
      <c r="R564" s="12">
        <f t="shared" si="135"/>
        <v>0.69</v>
      </c>
      <c r="S564" s="12">
        <f t="shared" si="125"/>
        <v>0.69</v>
      </c>
    </row>
    <row r="565" spans="1:19" x14ac:dyDescent="0.35">
      <c r="A565" s="8" t="s">
        <v>1155</v>
      </c>
      <c r="B565" s="8" t="s">
        <v>1156</v>
      </c>
      <c r="C565" s="8" t="s">
        <v>7</v>
      </c>
      <c r="D565" s="8" t="str">
        <f t="shared" si="134"/>
        <v>Female</v>
      </c>
      <c r="E565" s="8">
        <v>20</v>
      </c>
      <c r="F565" s="8">
        <f t="shared" si="121"/>
        <v>20</v>
      </c>
      <c r="G565" s="8" t="s">
        <v>42</v>
      </c>
      <c r="H565" s="8" t="s">
        <v>43</v>
      </c>
      <c r="I565" s="8" t="s">
        <v>16</v>
      </c>
      <c r="J565" s="8">
        <v>0</v>
      </c>
      <c r="K565" s="8">
        <f t="shared" si="122"/>
        <v>0</v>
      </c>
      <c r="L565" s="8">
        <v>30</v>
      </c>
      <c r="M565" s="9">
        <f t="shared" si="123"/>
        <v>30</v>
      </c>
      <c r="N565" s="8">
        <v>4.8</v>
      </c>
      <c r="O565" s="10">
        <f t="shared" si="124"/>
        <v>4.8</v>
      </c>
      <c r="P565" s="8" t="s">
        <v>2051</v>
      </c>
      <c r="Q565" s="14">
        <v>0.68</v>
      </c>
      <c r="R565" s="12">
        <f t="shared" si="135"/>
        <v>0.68</v>
      </c>
      <c r="S565" s="12">
        <f t="shared" si="125"/>
        <v>0.68</v>
      </c>
    </row>
    <row r="566" spans="1:19" x14ac:dyDescent="0.35">
      <c r="A566" s="8" t="s">
        <v>1157</v>
      </c>
      <c r="B566" s="8" t="s">
        <v>1158</v>
      </c>
      <c r="C566" s="8" t="s">
        <v>41</v>
      </c>
      <c r="D566" s="8" t="str">
        <f t="shared" si="134"/>
        <v>Male</v>
      </c>
      <c r="E566" s="8">
        <v>59</v>
      </c>
      <c r="F566" s="8">
        <f t="shared" si="121"/>
        <v>59</v>
      </c>
      <c r="G566" s="8" t="s">
        <v>46</v>
      </c>
      <c r="H566" s="8" t="s">
        <v>9</v>
      </c>
      <c r="I566" s="8" t="s">
        <v>67</v>
      </c>
      <c r="J566" s="8">
        <v>15</v>
      </c>
      <c r="K566" s="8">
        <f t="shared" si="122"/>
        <v>15</v>
      </c>
      <c r="L566" s="8">
        <v>50</v>
      </c>
      <c r="M566" s="9">
        <f t="shared" si="123"/>
        <v>50</v>
      </c>
      <c r="O566" s="10">
        <f t="shared" si="124"/>
        <v>2.5125695216907653</v>
      </c>
      <c r="P566" s="8" t="s">
        <v>2050</v>
      </c>
      <c r="Q566" s="13"/>
      <c r="S566" s="12">
        <f t="shared" si="125"/>
        <v>0.79269417475728277</v>
      </c>
    </row>
    <row r="567" spans="1:19" x14ac:dyDescent="0.35">
      <c r="A567" s="8" t="s">
        <v>1159</v>
      </c>
      <c r="B567" s="8" t="s">
        <v>1160</v>
      </c>
      <c r="C567" s="8" t="s">
        <v>22</v>
      </c>
      <c r="D567" s="8" t="str">
        <f t="shared" si="134"/>
        <v>Female</v>
      </c>
      <c r="E567" s="8">
        <v>42</v>
      </c>
      <c r="F567" s="8">
        <f t="shared" si="121"/>
        <v>42</v>
      </c>
      <c r="G567" s="8" t="s">
        <v>147</v>
      </c>
      <c r="H567" s="8" t="s">
        <v>148</v>
      </c>
      <c r="I567" s="8" t="s">
        <v>67</v>
      </c>
      <c r="J567" s="8">
        <v>22</v>
      </c>
      <c r="K567" s="8">
        <f t="shared" si="122"/>
        <v>22</v>
      </c>
      <c r="L567" s="13"/>
      <c r="M567" s="9">
        <f t="shared" si="123"/>
        <v>40</v>
      </c>
      <c r="N567" s="8">
        <v>2.9</v>
      </c>
      <c r="O567" s="10">
        <f t="shared" si="124"/>
        <v>2.9</v>
      </c>
      <c r="P567" s="8" t="s">
        <v>2050</v>
      </c>
      <c r="Q567" s="14">
        <v>0.61</v>
      </c>
      <c r="R567" s="12">
        <f t="shared" ref="R567:R572" si="136">Q567</f>
        <v>0.61</v>
      </c>
      <c r="S567" s="12">
        <f t="shared" si="125"/>
        <v>0.61</v>
      </c>
    </row>
    <row r="568" spans="1:19" x14ac:dyDescent="0.35">
      <c r="A568" s="8" t="s">
        <v>1161</v>
      </c>
      <c r="B568" s="8" t="s">
        <v>1162</v>
      </c>
      <c r="C568" s="8" t="s">
        <v>7</v>
      </c>
      <c r="D568" s="8" t="str">
        <f t="shared" si="134"/>
        <v>Female</v>
      </c>
      <c r="E568" s="8">
        <v>22</v>
      </c>
      <c r="F568" s="8">
        <f t="shared" si="121"/>
        <v>22</v>
      </c>
      <c r="G568" s="8" t="s">
        <v>42</v>
      </c>
      <c r="H568" s="8" t="s">
        <v>43</v>
      </c>
      <c r="I568" s="8" t="s">
        <v>52</v>
      </c>
      <c r="J568" s="8">
        <v>3</v>
      </c>
      <c r="K568" s="8">
        <f t="shared" si="122"/>
        <v>3</v>
      </c>
      <c r="L568" s="13"/>
      <c r="M568" s="9">
        <f t="shared" si="123"/>
        <v>40</v>
      </c>
      <c r="N568" s="8">
        <v>3</v>
      </c>
      <c r="O568" s="10">
        <f t="shared" si="124"/>
        <v>3</v>
      </c>
      <c r="P568" s="8" t="s">
        <v>2051</v>
      </c>
      <c r="Q568" s="14">
        <v>0.96</v>
      </c>
      <c r="R568" s="12">
        <f t="shared" si="136"/>
        <v>0.96</v>
      </c>
      <c r="S568" s="12">
        <f t="shared" si="125"/>
        <v>0.96</v>
      </c>
    </row>
    <row r="569" spans="1:19" x14ac:dyDescent="0.35">
      <c r="A569" s="8" t="s">
        <v>1163</v>
      </c>
      <c r="B569" s="8" t="s">
        <v>1164</v>
      </c>
      <c r="C569" s="8" t="s">
        <v>70</v>
      </c>
      <c r="D569" s="8" t="str">
        <f t="shared" si="134"/>
        <v>Male</v>
      </c>
      <c r="E569" s="8">
        <v>41</v>
      </c>
      <c r="F569" s="8">
        <f t="shared" si="121"/>
        <v>41</v>
      </c>
      <c r="G569" s="8" t="s">
        <v>103</v>
      </c>
      <c r="H569" s="8" t="s">
        <v>9</v>
      </c>
      <c r="I569" s="8" t="s">
        <v>56</v>
      </c>
      <c r="J569" s="8">
        <v>11</v>
      </c>
      <c r="K569" s="8">
        <f t="shared" si="122"/>
        <v>11</v>
      </c>
      <c r="L569" s="8">
        <v>50</v>
      </c>
      <c r="M569" s="9">
        <f t="shared" si="123"/>
        <v>50</v>
      </c>
      <c r="N569" s="8">
        <v>3.5</v>
      </c>
      <c r="O569" s="10">
        <f t="shared" si="124"/>
        <v>3.5</v>
      </c>
      <c r="P569" s="8" t="s">
        <v>2051</v>
      </c>
      <c r="Q569" s="14">
        <v>0.68</v>
      </c>
      <c r="R569" s="12">
        <f t="shared" si="136"/>
        <v>0.68</v>
      </c>
      <c r="S569" s="12">
        <f t="shared" si="125"/>
        <v>0.68</v>
      </c>
    </row>
    <row r="570" spans="1:19" x14ac:dyDescent="0.35">
      <c r="A570" s="8" t="s">
        <v>1165</v>
      </c>
      <c r="B570" s="8" t="s">
        <v>1166</v>
      </c>
      <c r="C570" s="8" t="s">
        <v>55</v>
      </c>
      <c r="D570" s="8" t="str">
        <f t="shared" si="134"/>
        <v>Female</v>
      </c>
      <c r="E570" s="8">
        <v>25</v>
      </c>
      <c r="F570" s="8">
        <f t="shared" si="121"/>
        <v>25</v>
      </c>
      <c r="G570" s="8" t="s">
        <v>50</v>
      </c>
      <c r="H570" s="8" t="s">
        <v>51</v>
      </c>
      <c r="I570" s="8" t="s">
        <v>20</v>
      </c>
      <c r="J570" s="8">
        <v>5</v>
      </c>
      <c r="K570" s="8">
        <f t="shared" si="122"/>
        <v>5</v>
      </c>
      <c r="L570" s="8">
        <v>40</v>
      </c>
      <c r="M570" s="9">
        <f t="shared" si="123"/>
        <v>40</v>
      </c>
      <c r="O570" s="10">
        <f t="shared" si="124"/>
        <v>2.5125695216907653</v>
      </c>
      <c r="P570" s="8" t="s">
        <v>2051</v>
      </c>
      <c r="Q570" s="14">
        <v>0.75</v>
      </c>
      <c r="R570" s="12">
        <f t="shared" si="136"/>
        <v>0.75</v>
      </c>
      <c r="S570" s="12">
        <f t="shared" si="125"/>
        <v>0.75</v>
      </c>
    </row>
    <row r="571" spans="1:19" x14ac:dyDescent="0.35">
      <c r="A571" s="8" t="s">
        <v>1167</v>
      </c>
      <c r="B571" s="8" t="s">
        <v>1168</v>
      </c>
      <c r="C571" s="8" t="s">
        <v>1</v>
      </c>
      <c r="D571" s="8" t="str">
        <f t="shared" si="134"/>
        <v>Female</v>
      </c>
      <c r="E571" s="8">
        <v>38</v>
      </c>
      <c r="F571" s="8">
        <f t="shared" si="121"/>
        <v>38</v>
      </c>
      <c r="G571" s="8" t="s">
        <v>103</v>
      </c>
      <c r="H571" s="8" t="s">
        <v>9</v>
      </c>
      <c r="I571" s="8" t="s">
        <v>52</v>
      </c>
      <c r="J571" s="8">
        <v>3</v>
      </c>
      <c r="K571" s="8">
        <f t="shared" si="122"/>
        <v>3</v>
      </c>
      <c r="L571" s="8">
        <v>40</v>
      </c>
      <c r="M571" s="9">
        <f t="shared" si="123"/>
        <v>40</v>
      </c>
      <c r="N571" s="8">
        <v>4.7</v>
      </c>
      <c r="O571" s="10">
        <f t="shared" si="124"/>
        <v>4.7</v>
      </c>
      <c r="P571" s="8" t="s">
        <v>2050</v>
      </c>
      <c r="Q571" s="14">
        <v>0.69</v>
      </c>
      <c r="R571" s="12">
        <f t="shared" si="136"/>
        <v>0.69</v>
      </c>
      <c r="S571" s="12">
        <f t="shared" si="125"/>
        <v>0.69</v>
      </c>
    </row>
    <row r="572" spans="1:19" x14ac:dyDescent="0.35">
      <c r="A572" s="8" t="s">
        <v>1169</v>
      </c>
      <c r="B572" s="8" t="s">
        <v>1170</v>
      </c>
      <c r="C572" s="8" t="s">
        <v>22</v>
      </c>
      <c r="D572" s="8" t="str">
        <f t="shared" si="134"/>
        <v>Female</v>
      </c>
      <c r="E572" s="8">
        <v>43</v>
      </c>
      <c r="F572" s="8">
        <f t="shared" si="121"/>
        <v>43</v>
      </c>
      <c r="G572" s="8" t="s">
        <v>38</v>
      </c>
      <c r="H572" s="8" t="s">
        <v>9</v>
      </c>
      <c r="I572" s="8" t="s">
        <v>67</v>
      </c>
      <c r="J572" s="8">
        <v>1</v>
      </c>
      <c r="K572" s="8">
        <f t="shared" si="122"/>
        <v>1</v>
      </c>
      <c r="L572" s="13"/>
      <c r="M572" s="9">
        <f t="shared" si="123"/>
        <v>40</v>
      </c>
      <c r="N572" s="8">
        <v>2.9</v>
      </c>
      <c r="O572" s="10">
        <f t="shared" si="124"/>
        <v>2.9</v>
      </c>
      <c r="P572" s="8" t="s">
        <v>2050</v>
      </c>
      <c r="Q572" s="14">
        <v>0.78</v>
      </c>
      <c r="R572" s="12">
        <f t="shared" si="136"/>
        <v>0.78</v>
      </c>
      <c r="S572" s="12">
        <f t="shared" si="125"/>
        <v>0.78</v>
      </c>
    </row>
    <row r="573" spans="1:19" x14ac:dyDescent="0.35">
      <c r="A573" s="8" t="s">
        <v>1171</v>
      </c>
      <c r="B573" s="8" t="s">
        <v>1172</v>
      </c>
      <c r="C573" s="8" t="s">
        <v>19</v>
      </c>
      <c r="D573" s="8" t="str">
        <f t="shared" si="134"/>
        <v>Female</v>
      </c>
      <c r="E573" s="8">
        <v>54</v>
      </c>
      <c r="F573" s="8">
        <f t="shared" si="121"/>
        <v>54</v>
      </c>
      <c r="G573" s="8" t="s">
        <v>151</v>
      </c>
      <c r="H573" s="8" t="s">
        <v>51</v>
      </c>
      <c r="I573" s="8" t="s">
        <v>27</v>
      </c>
      <c r="J573" s="8">
        <v>1</v>
      </c>
      <c r="K573" s="8">
        <f t="shared" si="122"/>
        <v>1</v>
      </c>
      <c r="L573" s="8">
        <v>75</v>
      </c>
      <c r="M573" s="9">
        <f t="shared" si="123"/>
        <v>75</v>
      </c>
      <c r="N573" s="8">
        <v>4.4000000000000004</v>
      </c>
      <c r="O573" s="10">
        <f t="shared" si="124"/>
        <v>4.4000000000000004</v>
      </c>
      <c r="P573" s="8" t="s">
        <v>2051</v>
      </c>
      <c r="Q573" s="13"/>
      <c r="S573" s="12">
        <f t="shared" si="125"/>
        <v>0.79269417475728277</v>
      </c>
    </row>
    <row r="574" spans="1:19" x14ac:dyDescent="0.35">
      <c r="A574" s="8" t="s">
        <v>1173</v>
      </c>
      <c r="B574" s="8" t="s">
        <v>1174</v>
      </c>
      <c r="C574" s="8" t="s">
        <v>19</v>
      </c>
      <c r="D574" s="8" t="str">
        <f t="shared" si="134"/>
        <v>Female</v>
      </c>
      <c r="E574" s="8">
        <v>31</v>
      </c>
      <c r="F574" s="8">
        <f t="shared" si="121"/>
        <v>31</v>
      </c>
      <c r="G574" s="8" t="s">
        <v>31</v>
      </c>
      <c r="H574" s="8" t="s">
        <v>32</v>
      </c>
      <c r="I574" s="8" t="s">
        <v>10</v>
      </c>
      <c r="J574" s="8">
        <v>2</v>
      </c>
      <c r="K574" s="8">
        <f t="shared" si="122"/>
        <v>2</v>
      </c>
      <c r="L574" s="8">
        <v>40</v>
      </c>
      <c r="M574" s="9">
        <f t="shared" si="123"/>
        <v>40</v>
      </c>
      <c r="N574" s="8">
        <v>2.2999999999999998</v>
      </c>
      <c r="O574" s="10">
        <f t="shared" si="124"/>
        <v>2.2999999999999998</v>
      </c>
      <c r="P574" s="8" t="s">
        <v>2050</v>
      </c>
      <c r="Q574" s="14">
        <v>0.98</v>
      </c>
      <c r="R574" s="12">
        <f t="shared" ref="R574:R580" si="137">Q574</f>
        <v>0.98</v>
      </c>
      <c r="S574" s="12">
        <f t="shared" si="125"/>
        <v>0.98</v>
      </c>
    </row>
    <row r="575" spans="1:19" x14ac:dyDescent="0.35">
      <c r="A575" s="8" t="s">
        <v>1175</v>
      </c>
      <c r="B575" s="8" t="s">
        <v>1176</v>
      </c>
      <c r="C575" s="8" t="s">
        <v>1</v>
      </c>
      <c r="D575" s="8" t="str">
        <f t="shared" si="134"/>
        <v>Female</v>
      </c>
      <c r="E575" s="8">
        <v>56</v>
      </c>
      <c r="F575" s="8">
        <f t="shared" si="121"/>
        <v>56</v>
      </c>
      <c r="G575" s="8" t="s">
        <v>151</v>
      </c>
      <c r="H575" s="8" t="s">
        <v>51</v>
      </c>
      <c r="I575" s="8" t="s">
        <v>27</v>
      </c>
      <c r="J575" s="8">
        <v>3</v>
      </c>
      <c r="K575" s="8">
        <f t="shared" si="122"/>
        <v>3</v>
      </c>
      <c r="L575" s="8">
        <v>30</v>
      </c>
      <c r="M575" s="9">
        <f t="shared" si="123"/>
        <v>30</v>
      </c>
      <c r="N575" s="8">
        <v>3.7</v>
      </c>
      <c r="O575" s="10">
        <f t="shared" si="124"/>
        <v>3.7</v>
      </c>
      <c r="P575" s="13" t="s">
        <v>2050</v>
      </c>
      <c r="Q575" s="14">
        <v>0.83</v>
      </c>
      <c r="R575" s="12">
        <f t="shared" si="137"/>
        <v>0.83</v>
      </c>
      <c r="S575" s="12">
        <f t="shared" si="125"/>
        <v>0.83</v>
      </c>
    </row>
    <row r="576" spans="1:19" x14ac:dyDescent="0.35">
      <c r="A576" s="8" t="s">
        <v>1177</v>
      </c>
      <c r="B576" s="8" t="s">
        <v>1178</v>
      </c>
      <c r="C576" s="8" t="s">
        <v>41</v>
      </c>
      <c r="D576" s="8" t="str">
        <f t="shared" si="134"/>
        <v>Male</v>
      </c>
      <c r="E576" s="8">
        <v>46</v>
      </c>
      <c r="F576" s="8">
        <f t="shared" si="121"/>
        <v>46</v>
      </c>
      <c r="G576" s="8" t="s">
        <v>151</v>
      </c>
      <c r="H576" s="8" t="s">
        <v>51</v>
      </c>
      <c r="I576" s="8" t="s">
        <v>16</v>
      </c>
      <c r="J576" s="8">
        <v>11</v>
      </c>
      <c r="K576" s="8">
        <f t="shared" si="122"/>
        <v>11</v>
      </c>
      <c r="L576" s="13"/>
      <c r="M576" s="9">
        <f t="shared" si="123"/>
        <v>40</v>
      </c>
      <c r="N576" s="8">
        <v>1.8</v>
      </c>
      <c r="O576" s="10">
        <f t="shared" si="124"/>
        <v>1.8</v>
      </c>
      <c r="P576" s="8" t="s">
        <v>2051</v>
      </c>
      <c r="Q576" s="14">
        <v>0.91</v>
      </c>
      <c r="R576" s="12">
        <f t="shared" si="137"/>
        <v>0.91</v>
      </c>
      <c r="S576" s="12">
        <f t="shared" si="125"/>
        <v>0.91</v>
      </c>
    </row>
    <row r="577" spans="1:19" x14ac:dyDescent="0.35">
      <c r="A577" s="8" t="s">
        <v>1179</v>
      </c>
      <c r="B577" s="8" t="s">
        <v>1180</v>
      </c>
      <c r="C577" s="8" t="s">
        <v>75</v>
      </c>
      <c r="D577" s="8" t="str">
        <f t="shared" si="134"/>
        <v>Male</v>
      </c>
      <c r="E577" s="8">
        <v>60</v>
      </c>
      <c r="F577" s="8">
        <f t="shared" si="121"/>
        <v>60</v>
      </c>
      <c r="G577" s="8" t="s">
        <v>114</v>
      </c>
      <c r="H577" s="8" t="s">
        <v>115</v>
      </c>
      <c r="I577" s="8" t="s">
        <v>27</v>
      </c>
      <c r="J577" s="13"/>
      <c r="K577" s="8">
        <f t="shared" si="122"/>
        <v>9</v>
      </c>
      <c r="L577" s="8">
        <v>100</v>
      </c>
      <c r="M577" s="9">
        <f t="shared" si="123"/>
        <v>100</v>
      </c>
      <c r="N577" s="8">
        <v>0</v>
      </c>
      <c r="O577" s="11">
        <f t="shared" si="124"/>
        <v>0</v>
      </c>
      <c r="P577" s="8" t="s">
        <v>2051</v>
      </c>
      <c r="Q577" s="14">
        <v>0.96</v>
      </c>
      <c r="R577" s="12">
        <f t="shared" si="137"/>
        <v>0.96</v>
      </c>
      <c r="S577" s="12">
        <f t="shared" si="125"/>
        <v>0.96</v>
      </c>
    </row>
    <row r="578" spans="1:19" x14ac:dyDescent="0.35">
      <c r="A578" s="8" t="s">
        <v>1181</v>
      </c>
      <c r="B578" s="8" t="s">
        <v>1182</v>
      </c>
      <c r="C578" s="8" t="s">
        <v>19</v>
      </c>
      <c r="D578" s="8" t="str">
        <f t="shared" si="134"/>
        <v>Female</v>
      </c>
      <c r="E578" s="8">
        <v>28</v>
      </c>
      <c r="F578" s="8">
        <f t="shared" si="121"/>
        <v>28</v>
      </c>
      <c r="G578" s="8" t="s">
        <v>88</v>
      </c>
      <c r="H578" s="8" t="s">
        <v>89</v>
      </c>
      <c r="I578" s="8" t="s">
        <v>16</v>
      </c>
      <c r="J578" s="8">
        <v>2</v>
      </c>
      <c r="K578" s="8">
        <f t="shared" si="122"/>
        <v>2</v>
      </c>
      <c r="L578" s="8">
        <v>50</v>
      </c>
      <c r="M578" s="9">
        <f t="shared" si="123"/>
        <v>50</v>
      </c>
      <c r="O578" s="10">
        <f t="shared" si="124"/>
        <v>2.5125695216907653</v>
      </c>
      <c r="P578" s="8" t="s">
        <v>2051</v>
      </c>
      <c r="Q578" s="14">
        <v>0.85</v>
      </c>
      <c r="R578" s="12">
        <f t="shared" si="137"/>
        <v>0.85</v>
      </c>
      <c r="S578" s="12">
        <f t="shared" si="125"/>
        <v>0.85</v>
      </c>
    </row>
    <row r="579" spans="1:19" x14ac:dyDescent="0.35">
      <c r="A579" s="8" t="s">
        <v>1183</v>
      </c>
      <c r="B579" s="8" t="s">
        <v>1184</v>
      </c>
      <c r="C579" s="8" t="s">
        <v>19</v>
      </c>
      <c r="D579" s="8" t="str">
        <f t="shared" si="134"/>
        <v>Female</v>
      </c>
      <c r="E579" s="8">
        <v>43</v>
      </c>
      <c r="F579" s="8">
        <f t="shared" ref="F579:F642" si="138">IF(ISBLANK(E579),MEDIAN($E$2:$E$1001),E579)</f>
        <v>43</v>
      </c>
      <c r="G579" s="8" t="s">
        <v>31</v>
      </c>
      <c r="H579" s="8" t="s">
        <v>32</v>
      </c>
      <c r="I579" s="8" t="s">
        <v>20</v>
      </c>
      <c r="J579" s="8">
        <v>20</v>
      </c>
      <c r="K579" s="8">
        <f t="shared" ref="K579:K642" si="139">IF(ISBLANK(J579),MEDIAN($J$2:$J$1001),J579)</f>
        <v>20</v>
      </c>
      <c r="L579" s="8">
        <v>30</v>
      </c>
      <c r="M579" s="9">
        <f t="shared" ref="M579:M642" si="140">IF(ISBLANK(L579),MEDIAN($L$2:$L$1001),L579)</f>
        <v>30</v>
      </c>
      <c r="N579" s="8">
        <v>2.7</v>
      </c>
      <c r="O579" s="10">
        <f t="shared" ref="O579:O642" si="141">IF(ISBLANK(N579),AVERAGE($N$2:$N$1001),N579)</f>
        <v>2.7</v>
      </c>
      <c r="P579" s="8" t="s">
        <v>2050</v>
      </c>
      <c r="Q579" s="14">
        <v>0.72</v>
      </c>
      <c r="R579" s="12">
        <f t="shared" si="137"/>
        <v>0.72</v>
      </c>
      <c r="S579" s="12">
        <f t="shared" si="125"/>
        <v>0.72</v>
      </c>
    </row>
    <row r="580" spans="1:19" x14ac:dyDescent="0.35">
      <c r="A580" s="8" t="s">
        <v>1185</v>
      </c>
      <c r="B580" s="8" t="s">
        <v>1186</v>
      </c>
      <c r="C580" s="8" t="s">
        <v>41</v>
      </c>
      <c r="D580" s="8" t="str">
        <f t="shared" si="134"/>
        <v>Male</v>
      </c>
      <c r="E580" s="8">
        <v>41</v>
      </c>
      <c r="F580" s="8">
        <f t="shared" si="138"/>
        <v>41</v>
      </c>
      <c r="G580" s="8" t="s">
        <v>110</v>
      </c>
      <c r="H580" s="8" t="s">
        <v>111</v>
      </c>
      <c r="I580" s="8" t="s">
        <v>20</v>
      </c>
      <c r="J580" s="8">
        <v>11</v>
      </c>
      <c r="K580" s="8">
        <f t="shared" si="139"/>
        <v>11</v>
      </c>
      <c r="L580" s="8">
        <v>20</v>
      </c>
      <c r="M580" s="9">
        <f t="shared" si="140"/>
        <v>20</v>
      </c>
      <c r="N580" s="8">
        <v>4.7</v>
      </c>
      <c r="O580" s="10">
        <f t="shared" si="141"/>
        <v>4.7</v>
      </c>
      <c r="P580" s="13" t="s">
        <v>2050</v>
      </c>
      <c r="Q580" s="14">
        <v>0.69</v>
      </c>
      <c r="R580" s="12">
        <f t="shared" si="137"/>
        <v>0.69</v>
      </c>
      <c r="S580" s="12">
        <f t="shared" ref="S580:S643" si="142">IF(ISBLANK(R580),AVERAGE($R$2:$R$1001),R580)</f>
        <v>0.69</v>
      </c>
    </row>
    <row r="581" spans="1:19" x14ac:dyDescent="0.35">
      <c r="A581" s="8" t="s">
        <v>1187</v>
      </c>
      <c r="B581" s="8" t="s">
        <v>1188</v>
      </c>
      <c r="C581" s="8" t="s">
        <v>13</v>
      </c>
      <c r="D581" s="8" t="str">
        <f t="shared" si="134"/>
        <v>Male</v>
      </c>
      <c r="E581" s="8">
        <v>41</v>
      </c>
      <c r="F581" s="8">
        <f t="shared" si="138"/>
        <v>41</v>
      </c>
      <c r="G581" s="8" t="s">
        <v>46</v>
      </c>
      <c r="H581" s="8" t="s">
        <v>9</v>
      </c>
      <c r="I581" s="8" t="s">
        <v>67</v>
      </c>
      <c r="J581" s="8">
        <v>0</v>
      </c>
      <c r="K581" s="8">
        <f t="shared" si="139"/>
        <v>0</v>
      </c>
      <c r="L581" s="8">
        <v>20</v>
      </c>
      <c r="M581" s="9">
        <f t="shared" si="140"/>
        <v>20</v>
      </c>
      <c r="N581" s="8">
        <v>3.1</v>
      </c>
      <c r="O581" s="10">
        <f t="shared" si="141"/>
        <v>3.1</v>
      </c>
      <c r="P581" s="8" t="s">
        <v>2050</v>
      </c>
      <c r="Q581" s="8">
        <v>90</v>
      </c>
      <c r="R581" s="12">
        <v>0.9</v>
      </c>
      <c r="S581" s="12">
        <f t="shared" si="142"/>
        <v>0.9</v>
      </c>
    </row>
    <row r="582" spans="1:19" x14ac:dyDescent="0.35">
      <c r="A582" s="8" t="s">
        <v>1189</v>
      </c>
      <c r="B582" s="8" t="s">
        <v>1190</v>
      </c>
      <c r="C582" s="8" t="s">
        <v>19</v>
      </c>
      <c r="D582" s="8" t="str">
        <f t="shared" si="134"/>
        <v>Female</v>
      </c>
      <c r="E582" s="8">
        <v>40</v>
      </c>
      <c r="F582" s="8">
        <f t="shared" si="138"/>
        <v>40</v>
      </c>
      <c r="G582" s="8" t="s">
        <v>46</v>
      </c>
      <c r="H582" s="8" t="s">
        <v>9</v>
      </c>
      <c r="I582" s="8" t="s">
        <v>10</v>
      </c>
      <c r="J582" s="8">
        <v>20</v>
      </c>
      <c r="K582" s="8">
        <f t="shared" si="139"/>
        <v>20</v>
      </c>
      <c r="L582" s="8">
        <v>20</v>
      </c>
      <c r="M582" s="9">
        <f t="shared" si="140"/>
        <v>20</v>
      </c>
      <c r="N582" s="8">
        <v>2.2999999999999998</v>
      </c>
      <c r="O582" s="10">
        <f t="shared" si="141"/>
        <v>2.2999999999999998</v>
      </c>
      <c r="P582" s="8" t="s">
        <v>2050</v>
      </c>
      <c r="Q582" s="14">
        <v>0.92</v>
      </c>
      <c r="R582" s="12">
        <f t="shared" ref="R582:R583" si="143">Q582</f>
        <v>0.92</v>
      </c>
      <c r="S582" s="12">
        <f t="shared" si="142"/>
        <v>0.92</v>
      </c>
    </row>
    <row r="583" spans="1:19" x14ac:dyDescent="0.35">
      <c r="A583" s="8" t="s">
        <v>1191</v>
      </c>
      <c r="B583" s="8" t="s">
        <v>1192</v>
      </c>
      <c r="C583" s="8" t="s">
        <v>75</v>
      </c>
      <c r="D583" s="8" t="str">
        <f t="shared" si="134"/>
        <v>Male</v>
      </c>
      <c r="E583" s="8">
        <v>45</v>
      </c>
      <c r="F583" s="8">
        <f t="shared" si="138"/>
        <v>45</v>
      </c>
      <c r="G583" s="8" t="s">
        <v>14</v>
      </c>
      <c r="H583" s="8" t="s">
        <v>15</v>
      </c>
      <c r="I583" s="8" t="s">
        <v>67</v>
      </c>
      <c r="J583" s="8">
        <v>3</v>
      </c>
      <c r="K583" s="8">
        <f t="shared" si="139"/>
        <v>3</v>
      </c>
      <c r="L583" s="8">
        <v>20</v>
      </c>
      <c r="M583" s="9">
        <f t="shared" si="140"/>
        <v>20</v>
      </c>
      <c r="N583" s="8">
        <v>1.3</v>
      </c>
      <c r="O583" s="10">
        <f t="shared" si="141"/>
        <v>1.3</v>
      </c>
      <c r="P583" s="8" t="s">
        <v>2051</v>
      </c>
      <c r="Q583" s="14">
        <v>0.91</v>
      </c>
      <c r="R583" s="12">
        <f t="shared" si="143"/>
        <v>0.91</v>
      </c>
      <c r="S583" s="12">
        <f t="shared" si="142"/>
        <v>0.91</v>
      </c>
    </row>
    <row r="584" spans="1:19" x14ac:dyDescent="0.35">
      <c r="A584" s="8" t="s">
        <v>1193</v>
      </c>
      <c r="B584" s="8" t="s">
        <v>1194</v>
      </c>
      <c r="C584" s="8" t="s">
        <v>41</v>
      </c>
      <c r="D584" s="8" t="str">
        <f t="shared" si="134"/>
        <v>Male</v>
      </c>
      <c r="E584" s="8">
        <v>47</v>
      </c>
      <c r="F584" s="8">
        <f t="shared" si="138"/>
        <v>47</v>
      </c>
      <c r="G584" s="8" t="s">
        <v>114</v>
      </c>
      <c r="H584" s="8" t="s">
        <v>115</v>
      </c>
      <c r="I584" s="8" t="s">
        <v>67</v>
      </c>
      <c r="J584" s="8">
        <v>28</v>
      </c>
      <c r="K584" s="8">
        <f t="shared" si="139"/>
        <v>28</v>
      </c>
      <c r="L584" s="8">
        <v>50</v>
      </c>
      <c r="M584" s="9">
        <f t="shared" si="140"/>
        <v>50</v>
      </c>
      <c r="N584" s="8">
        <v>2.9</v>
      </c>
      <c r="O584" s="10">
        <f t="shared" si="141"/>
        <v>2.9</v>
      </c>
      <c r="P584" s="8" t="s">
        <v>2051</v>
      </c>
      <c r="Q584" s="13"/>
      <c r="S584" s="12">
        <f t="shared" si="142"/>
        <v>0.79269417475728277</v>
      </c>
    </row>
    <row r="585" spans="1:19" x14ac:dyDescent="0.35">
      <c r="A585" s="8" t="s">
        <v>1195</v>
      </c>
      <c r="B585" s="8" t="s">
        <v>1196</v>
      </c>
      <c r="C585" s="8" t="s">
        <v>30</v>
      </c>
      <c r="D585" s="8" t="str">
        <f t="shared" si="134"/>
        <v>Male</v>
      </c>
      <c r="E585" s="8">
        <v>34</v>
      </c>
      <c r="F585" s="8">
        <f t="shared" si="138"/>
        <v>34</v>
      </c>
      <c r="G585" s="8" t="s">
        <v>71</v>
      </c>
      <c r="H585" s="8" t="s">
        <v>72</v>
      </c>
      <c r="I585" s="8" t="s">
        <v>33</v>
      </c>
      <c r="J585" s="8">
        <v>0</v>
      </c>
      <c r="K585" s="8">
        <f t="shared" si="139"/>
        <v>0</v>
      </c>
      <c r="L585" s="8">
        <v>40</v>
      </c>
      <c r="M585" s="9">
        <f t="shared" si="140"/>
        <v>40</v>
      </c>
      <c r="N585" s="8">
        <v>3.3</v>
      </c>
      <c r="O585" s="10">
        <f t="shared" si="141"/>
        <v>3.3</v>
      </c>
      <c r="P585" s="8" t="s">
        <v>2050</v>
      </c>
      <c r="Q585" s="14">
        <v>0.98</v>
      </c>
      <c r="R585" s="12">
        <f t="shared" ref="R585:R587" si="144">Q585</f>
        <v>0.98</v>
      </c>
      <c r="S585" s="12">
        <f t="shared" si="142"/>
        <v>0.98</v>
      </c>
    </row>
    <row r="586" spans="1:19" x14ac:dyDescent="0.35">
      <c r="A586" s="8" t="s">
        <v>1197</v>
      </c>
      <c r="B586" s="8" t="s">
        <v>1198</v>
      </c>
      <c r="C586" s="8" t="s">
        <v>70</v>
      </c>
      <c r="D586" s="8" t="str">
        <f t="shared" si="134"/>
        <v>Male</v>
      </c>
      <c r="E586" s="8">
        <v>47</v>
      </c>
      <c r="F586" s="8">
        <f t="shared" si="138"/>
        <v>47</v>
      </c>
      <c r="G586" s="8" t="s">
        <v>38</v>
      </c>
      <c r="H586" s="8" t="s">
        <v>9</v>
      </c>
      <c r="I586" s="8" t="s">
        <v>52</v>
      </c>
      <c r="J586" s="8">
        <v>4</v>
      </c>
      <c r="K586" s="8">
        <f t="shared" si="139"/>
        <v>4</v>
      </c>
      <c r="L586" s="8">
        <v>20</v>
      </c>
      <c r="M586" s="9">
        <f t="shared" si="140"/>
        <v>20</v>
      </c>
      <c r="N586" s="8">
        <v>4.2</v>
      </c>
      <c r="O586" s="10">
        <f t="shared" si="141"/>
        <v>4.2</v>
      </c>
      <c r="P586" s="13" t="s">
        <v>2050</v>
      </c>
      <c r="Q586" s="14">
        <v>0.82</v>
      </c>
      <c r="R586" s="12">
        <f t="shared" si="144"/>
        <v>0.82</v>
      </c>
      <c r="S586" s="12">
        <f t="shared" si="142"/>
        <v>0.82</v>
      </c>
    </row>
    <row r="587" spans="1:19" x14ac:dyDescent="0.35">
      <c r="A587" s="8" t="s">
        <v>1199</v>
      </c>
      <c r="B587" s="8" t="s">
        <v>1200</v>
      </c>
      <c r="C587" s="8" t="s">
        <v>70</v>
      </c>
      <c r="D587" s="8" t="str">
        <f t="shared" si="134"/>
        <v>Male</v>
      </c>
      <c r="E587" s="8">
        <v>32</v>
      </c>
      <c r="F587" s="8">
        <f t="shared" si="138"/>
        <v>32</v>
      </c>
      <c r="G587" s="8" t="s">
        <v>151</v>
      </c>
      <c r="H587" s="8" t="s">
        <v>51</v>
      </c>
      <c r="I587" s="8" t="s">
        <v>52</v>
      </c>
      <c r="J587" s="8">
        <v>9</v>
      </c>
      <c r="K587" s="8">
        <f t="shared" si="139"/>
        <v>9</v>
      </c>
      <c r="L587" s="8">
        <v>40</v>
      </c>
      <c r="M587" s="9">
        <f t="shared" si="140"/>
        <v>40</v>
      </c>
      <c r="N587" s="8">
        <v>1.3</v>
      </c>
      <c r="O587" s="10">
        <f t="shared" si="141"/>
        <v>1.3</v>
      </c>
      <c r="P587" s="8" t="s">
        <v>2051</v>
      </c>
      <c r="Q587" s="14">
        <v>0.83</v>
      </c>
      <c r="R587" s="12">
        <f t="shared" si="144"/>
        <v>0.83</v>
      </c>
      <c r="S587" s="12">
        <f t="shared" si="142"/>
        <v>0.83</v>
      </c>
    </row>
    <row r="588" spans="1:19" x14ac:dyDescent="0.35">
      <c r="A588" s="8" t="s">
        <v>1201</v>
      </c>
      <c r="B588" s="8" t="s">
        <v>1202</v>
      </c>
      <c r="C588" s="8" t="s">
        <v>70</v>
      </c>
      <c r="D588" s="8" t="str">
        <f t="shared" si="134"/>
        <v>Male</v>
      </c>
      <c r="E588" s="8">
        <v>28</v>
      </c>
      <c r="F588" s="8">
        <f t="shared" si="138"/>
        <v>28</v>
      </c>
      <c r="G588" s="8" t="s">
        <v>46</v>
      </c>
      <c r="H588" s="8" t="s">
        <v>9</v>
      </c>
      <c r="I588" s="8" t="s">
        <v>10</v>
      </c>
      <c r="J588" s="8">
        <v>2</v>
      </c>
      <c r="K588" s="8">
        <f t="shared" si="139"/>
        <v>2</v>
      </c>
      <c r="L588" s="8">
        <v>100</v>
      </c>
      <c r="M588" s="9">
        <f t="shared" si="140"/>
        <v>100</v>
      </c>
      <c r="N588" s="8">
        <v>4.4000000000000004</v>
      </c>
      <c r="O588" s="10">
        <f t="shared" si="141"/>
        <v>4.4000000000000004</v>
      </c>
      <c r="P588" s="8" t="s">
        <v>2051</v>
      </c>
      <c r="Q588" s="13"/>
      <c r="S588" s="12">
        <f t="shared" si="142"/>
        <v>0.79269417475728277</v>
      </c>
    </row>
    <row r="589" spans="1:19" x14ac:dyDescent="0.35">
      <c r="A589" s="8" t="s">
        <v>1203</v>
      </c>
      <c r="B589" s="8" t="s">
        <v>1204</v>
      </c>
      <c r="C589" s="8" t="s">
        <v>30</v>
      </c>
      <c r="D589" s="8" t="str">
        <f t="shared" si="134"/>
        <v>Male</v>
      </c>
      <c r="E589" s="8">
        <v>32</v>
      </c>
      <c r="F589" s="8">
        <f t="shared" si="138"/>
        <v>32</v>
      </c>
      <c r="G589" s="8" t="s">
        <v>8</v>
      </c>
      <c r="H589" s="8" t="s">
        <v>9</v>
      </c>
      <c r="I589" s="8" t="s">
        <v>67</v>
      </c>
      <c r="J589" s="8">
        <v>1</v>
      </c>
      <c r="K589" s="8">
        <f t="shared" si="139"/>
        <v>1</v>
      </c>
      <c r="L589" s="8">
        <v>100</v>
      </c>
      <c r="M589" s="9">
        <f t="shared" si="140"/>
        <v>100</v>
      </c>
      <c r="N589" s="8">
        <v>3.4</v>
      </c>
      <c r="O589" s="10">
        <f t="shared" si="141"/>
        <v>3.4</v>
      </c>
      <c r="P589" s="8" t="s">
        <v>2051</v>
      </c>
      <c r="Q589" s="13"/>
      <c r="S589" s="12">
        <f t="shared" si="142"/>
        <v>0.79269417475728277</v>
      </c>
    </row>
    <row r="590" spans="1:19" x14ac:dyDescent="0.35">
      <c r="A590" s="8" t="s">
        <v>1205</v>
      </c>
      <c r="B590" s="8" t="s">
        <v>1206</v>
      </c>
      <c r="C590" s="8" t="s">
        <v>19</v>
      </c>
      <c r="D590" s="8" t="str">
        <f t="shared" si="134"/>
        <v>Female</v>
      </c>
      <c r="E590" s="8">
        <v>49</v>
      </c>
      <c r="F590" s="8">
        <f t="shared" si="138"/>
        <v>49</v>
      </c>
      <c r="G590" s="8" t="s">
        <v>25</v>
      </c>
      <c r="H590" s="8" t="s">
        <v>26</v>
      </c>
      <c r="I590" s="8" t="s">
        <v>27</v>
      </c>
      <c r="J590" s="8">
        <v>2</v>
      </c>
      <c r="K590" s="8">
        <f t="shared" si="139"/>
        <v>2</v>
      </c>
      <c r="L590" s="8">
        <v>100</v>
      </c>
      <c r="M590" s="9">
        <f t="shared" si="140"/>
        <v>100</v>
      </c>
      <c r="N590" s="8">
        <v>3.4</v>
      </c>
      <c r="O590" s="10">
        <f t="shared" si="141"/>
        <v>3.4</v>
      </c>
      <c r="P590" s="8" t="s">
        <v>2051</v>
      </c>
      <c r="Q590" s="14">
        <v>0.85</v>
      </c>
      <c r="R590" s="12">
        <f>Q590</f>
        <v>0.85</v>
      </c>
      <c r="S590" s="12">
        <f t="shared" si="142"/>
        <v>0.85</v>
      </c>
    </row>
    <row r="591" spans="1:19" x14ac:dyDescent="0.35">
      <c r="A591" s="8" t="s">
        <v>1207</v>
      </c>
      <c r="B591" s="8" t="s">
        <v>1208</v>
      </c>
      <c r="C591" s="8" t="s">
        <v>1</v>
      </c>
      <c r="D591" s="8" t="str">
        <f t="shared" si="134"/>
        <v>Female</v>
      </c>
      <c r="E591" s="8">
        <v>36</v>
      </c>
      <c r="F591" s="8">
        <f t="shared" si="138"/>
        <v>36</v>
      </c>
      <c r="G591" s="8" t="s">
        <v>50</v>
      </c>
      <c r="H591" s="8" t="s">
        <v>51</v>
      </c>
      <c r="I591" s="8" t="s">
        <v>10</v>
      </c>
      <c r="J591" s="8">
        <v>16</v>
      </c>
      <c r="K591" s="8">
        <f t="shared" si="139"/>
        <v>16</v>
      </c>
      <c r="L591" s="8">
        <v>20</v>
      </c>
      <c r="M591" s="9">
        <f t="shared" si="140"/>
        <v>20</v>
      </c>
      <c r="N591" s="8">
        <v>3.2</v>
      </c>
      <c r="O591" s="10">
        <f t="shared" si="141"/>
        <v>3.2</v>
      </c>
      <c r="P591" s="13" t="s">
        <v>2050</v>
      </c>
      <c r="Q591" s="13"/>
      <c r="S591" s="12">
        <f t="shared" si="142"/>
        <v>0.79269417475728277</v>
      </c>
    </row>
    <row r="592" spans="1:19" x14ac:dyDescent="0.35">
      <c r="A592" s="8" t="s">
        <v>1209</v>
      </c>
      <c r="B592" s="8" t="s">
        <v>1210</v>
      </c>
      <c r="C592" s="8" t="s">
        <v>70</v>
      </c>
      <c r="D592" s="8" t="str">
        <f t="shared" si="134"/>
        <v>Male</v>
      </c>
      <c r="E592" s="8">
        <v>59</v>
      </c>
      <c r="F592" s="8">
        <f t="shared" si="138"/>
        <v>59</v>
      </c>
      <c r="G592" s="8" t="s">
        <v>151</v>
      </c>
      <c r="H592" s="8" t="s">
        <v>51</v>
      </c>
      <c r="I592" s="8" t="s">
        <v>4</v>
      </c>
      <c r="J592" s="8">
        <v>22</v>
      </c>
      <c r="K592" s="8">
        <f t="shared" si="139"/>
        <v>22</v>
      </c>
      <c r="L592" s="8">
        <v>20</v>
      </c>
      <c r="M592" s="9">
        <f t="shared" si="140"/>
        <v>20</v>
      </c>
      <c r="N592" s="8">
        <v>3.6</v>
      </c>
      <c r="O592" s="10">
        <f t="shared" si="141"/>
        <v>3.6</v>
      </c>
      <c r="P592" s="8" t="s">
        <v>2050</v>
      </c>
      <c r="Q592" s="14">
        <v>0.63</v>
      </c>
      <c r="R592" s="12">
        <f>Q592</f>
        <v>0.63</v>
      </c>
      <c r="S592" s="12">
        <f t="shared" si="142"/>
        <v>0.63</v>
      </c>
    </row>
    <row r="593" spans="1:19" x14ac:dyDescent="0.35">
      <c r="A593" s="8" t="s">
        <v>1211</v>
      </c>
      <c r="B593" s="8" t="s">
        <v>1212</v>
      </c>
      <c r="C593" s="8" t="s">
        <v>22</v>
      </c>
      <c r="D593" s="8" t="str">
        <f t="shared" si="134"/>
        <v>Female</v>
      </c>
      <c r="E593" s="8">
        <v>52</v>
      </c>
      <c r="F593" s="8">
        <f t="shared" si="138"/>
        <v>52</v>
      </c>
      <c r="G593" s="8" t="s">
        <v>103</v>
      </c>
      <c r="H593" s="8" t="s">
        <v>9</v>
      </c>
      <c r="I593" s="8" t="s">
        <v>56</v>
      </c>
      <c r="J593" s="8">
        <v>22</v>
      </c>
      <c r="K593" s="8">
        <f t="shared" si="139"/>
        <v>22</v>
      </c>
      <c r="L593" s="8">
        <v>20</v>
      </c>
      <c r="M593" s="9">
        <f t="shared" si="140"/>
        <v>20</v>
      </c>
      <c r="N593" s="8">
        <v>0</v>
      </c>
      <c r="O593" s="11">
        <f t="shared" si="141"/>
        <v>0</v>
      </c>
      <c r="P593" s="8" t="s">
        <v>2050</v>
      </c>
      <c r="Q593" s="13"/>
      <c r="S593" s="12">
        <f t="shared" si="142"/>
        <v>0.79269417475728277</v>
      </c>
    </row>
    <row r="594" spans="1:19" x14ac:dyDescent="0.35">
      <c r="A594" s="8" t="s">
        <v>1213</v>
      </c>
      <c r="B594" s="8" t="s">
        <v>1214</v>
      </c>
      <c r="C594" s="8" t="s">
        <v>22</v>
      </c>
      <c r="D594" s="8" t="str">
        <f t="shared" si="134"/>
        <v>Female</v>
      </c>
      <c r="E594" s="8">
        <v>24</v>
      </c>
      <c r="F594" s="8">
        <f t="shared" si="138"/>
        <v>24</v>
      </c>
      <c r="G594" s="8" t="s">
        <v>147</v>
      </c>
      <c r="H594" s="8" t="s">
        <v>148</v>
      </c>
      <c r="I594" s="8" t="s">
        <v>4</v>
      </c>
      <c r="J594" s="8">
        <v>5</v>
      </c>
      <c r="K594" s="8">
        <f t="shared" si="139"/>
        <v>5</v>
      </c>
      <c r="L594" s="8">
        <v>40</v>
      </c>
      <c r="M594" s="9">
        <f t="shared" si="140"/>
        <v>40</v>
      </c>
      <c r="N594" s="8">
        <v>1.8</v>
      </c>
      <c r="O594" s="10">
        <f t="shared" si="141"/>
        <v>1.8</v>
      </c>
      <c r="P594" s="8" t="s">
        <v>2051</v>
      </c>
      <c r="Q594" s="14">
        <v>0.86</v>
      </c>
      <c r="R594" s="12">
        <f>Q594</f>
        <v>0.86</v>
      </c>
      <c r="S594" s="12">
        <f t="shared" si="142"/>
        <v>0.86</v>
      </c>
    </row>
    <row r="595" spans="1:19" x14ac:dyDescent="0.35">
      <c r="A595" s="8" t="s">
        <v>1215</v>
      </c>
      <c r="B595" s="8" t="s">
        <v>1216</v>
      </c>
      <c r="C595" s="8" t="s">
        <v>7</v>
      </c>
      <c r="D595" s="8" t="str">
        <f t="shared" si="134"/>
        <v>Female</v>
      </c>
      <c r="E595" s="8">
        <v>26</v>
      </c>
      <c r="F595" s="8">
        <f t="shared" si="138"/>
        <v>26</v>
      </c>
      <c r="G595" s="8" t="s">
        <v>8</v>
      </c>
      <c r="H595" s="8" t="s">
        <v>9</v>
      </c>
      <c r="I595" s="8" t="s">
        <v>16</v>
      </c>
      <c r="J595" s="8">
        <v>2</v>
      </c>
      <c r="K595" s="8">
        <f t="shared" si="139"/>
        <v>2</v>
      </c>
      <c r="L595" s="8">
        <v>75</v>
      </c>
      <c r="M595" s="9">
        <f t="shared" si="140"/>
        <v>75</v>
      </c>
      <c r="N595" s="8">
        <v>2.5</v>
      </c>
      <c r="O595" s="10">
        <f t="shared" si="141"/>
        <v>2.5</v>
      </c>
      <c r="P595" s="8" t="s">
        <v>2051</v>
      </c>
      <c r="Q595" s="8">
        <v>60</v>
      </c>
      <c r="R595" s="12">
        <v>0.6</v>
      </c>
      <c r="S595" s="12">
        <f t="shared" si="142"/>
        <v>0.6</v>
      </c>
    </row>
    <row r="596" spans="1:19" x14ac:dyDescent="0.35">
      <c r="A596" s="8" t="s">
        <v>1217</v>
      </c>
      <c r="B596" s="8" t="s">
        <v>1218</v>
      </c>
      <c r="C596" s="8" t="s">
        <v>70</v>
      </c>
      <c r="D596" s="8" t="str">
        <f t="shared" si="134"/>
        <v>Male</v>
      </c>
      <c r="E596" s="8">
        <v>55</v>
      </c>
      <c r="F596" s="8">
        <f t="shared" si="138"/>
        <v>55</v>
      </c>
      <c r="G596" s="8" t="s">
        <v>103</v>
      </c>
      <c r="H596" s="8" t="s">
        <v>9</v>
      </c>
      <c r="I596" s="8" t="s">
        <v>56</v>
      </c>
      <c r="J596" s="8">
        <v>24</v>
      </c>
      <c r="K596" s="8">
        <f t="shared" si="139"/>
        <v>24</v>
      </c>
      <c r="L596" s="8">
        <v>40</v>
      </c>
      <c r="M596" s="9">
        <f t="shared" si="140"/>
        <v>40</v>
      </c>
      <c r="N596" s="8">
        <v>2</v>
      </c>
      <c r="O596" s="10">
        <f t="shared" si="141"/>
        <v>2</v>
      </c>
      <c r="P596" s="8" t="s">
        <v>2051</v>
      </c>
      <c r="Q596" s="8">
        <v>88</v>
      </c>
      <c r="R596" s="12">
        <v>0.88</v>
      </c>
      <c r="S596" s="12">
        <f t="shared" si="142"/>
        <v>0.88</v>
      </c>
    </row>
    <row r="597" spans="1:19" x14ac:dyDescent="0.35">
      <c r="A597" s="8" t="s">
        <v>1219</v>
      </c>
      <c r="B597" s="8" t="s">
        <v>1220</v>
      </c>
      <c r="C597" s="8" t="s">
        <v>7</v>
      </c>
      <c r="D597" s="8" t="str">
        <f t="shared" si="134"/>
        <v>Female</v>
      </c>
      <c r="E597" s="8">
        <v>56</v>
      </c>
      <c r="F597" s="8">
        <f t="shared" si="138"/>
        <v>56</v>
      </c>
      <c r="G597" s="8" t="s">
        <v>2</v>
      </c>
      <c r="H597" s="8" t="s">
        <v>3</v>
      </c>
      <c r="I597" s="8" t="s">
        <v>10</v>
      </c>
      <c r="J597" s="8">
        <v>37</v>
      </c>
      <c r="K597" s="8">
        <f t="shared" si="139"/>
        <v>37</v>
      </c>
      <c r="L597" s="8">
        <v>40</v>
      </c>
      <c r="M597" s="9">
        <f t="shared" si="140"/>
        <v>40</v>
      </c>
      <c r="N597" s="8">
        <v>0</v>
      </c>
      <c r="O597" s="11">
        <f t="shared" si="141"/>
        <v>0</v>
      </c>
      <c r="P597" s="8" t="s">
        <v>2050</v>
      </c>
      <c r="Q597" s="14">
        <v>0.7</v>
      </c>
      <c r="R597" s="12">
        <f t="shared" ref="R597:R599" si="145">Q597</f>
        <v>0.7</v>
      </c>
      <c r="S597" s="12">
        <f t="shared" si="142"/>
        <v>0.7</v>
      </c>
    </row>
    <row r="598" spans="1:19" x14ac:dyDescent="0.35">
      <c r="A598" s="8" t="s">
        <v>1221</v>
      </c>
      <c r="B598" s="8" t="s">
        <v>1222</v>
      </c>
      <c r="C598" s="8" t="s">
        <v>30</v>
      </c>
      <c r="D598" s="8" t="str">
        <f t="shared" si="134"/>
        <v>Male</v>
      </c>
      <c r="E598" s="8">
        <v>36</v>
      </c>
      <c r="F598" s="8">
        <f t="shared" si="138"/>
        <v>36</v>
      </c>
      <c r="G598" s="8" t="s">
        <v>110</v>
      </c>
      <c r="H598" s="8" t="s">
        <v>111</v>
      </c>
      <c r="I598" s="8" t="s">
        <v>16</v>
      </c>
      <c r="J598" s="8">
        <v>3</v>
      </c>
      <c r="K598" s="8">
        <f t="shared" si="139"/>
        <v>3</v>
      </c>
      <c r="L598" s="8">
        <v>50</v>
      </c>
      <c r="M598" s="9">
        <f t="shared" si="140"/>
        <v>50</v>
      </c>
      <c r="N598" s="8">
        <v>1.3</v>
      </c>
      <c r="O598" s="10">
        <f t="shared" si="141"/>
        <v>1.3</v>
      </c>
      <c r="P598" s="8" t="s">
        <v>2051</v>
      </c>
      <c r="Q598" s="14">
        <v>0.77</v>
      </c>
      <c r="R598" s="12">
        <f t="shared" si="145"/>
        <v>0.77</v>
      </c>
      <c r="S598" s="12">
        <f t="shared" si="142"/>
        <v>0.77</v>
      </c>
    </row>
    <row r="599" spans="1:19" x14ac:dyDescent="0.35">
      <c r="A599" s="8" t="s">
        <v>1223</v>
      </c>
      <c r="B599" s="8" t="s">
        <v>1224</v>
      </c>
      <c r="C599" s="8" t="s">
        <v>70</v>
      </c>
      <c r="D599" s="8" t="str">
        <f t="shared" si="134"/>
        <v>Male</v>
      </c>
      <c r="E599" s="8">
        <v>48</v>
      </c>
      <c r="F599" s="8">
        <f t="shared" si="138"/>
        <v>48</v>
      </c>
      <c r="G599" s="8" t="s">
        <v>50</v>
      </c>
      <c r="H599" s="8" t="s">
        <v>51</v>
      </c>
      <c r="I599" s="8" t="s">
        <v>20</v>
      </c>
      <c r="J599" s="8">
        <v>18</v>
      </c>
      <c r="K599" s="8">
        <f t="shared" si="139"/>
        <v>18</v>
      </c>
      <c r="L599" s="8">
        <v>75</v>
      </c>
      <c r="M599" s="9">
        <f t="shared" si="140"/>
        <v>75</v>
      </c>
      <c r="N599" s="8">
        <v>0</v>
      </c>
      <c r="O599" s="11">
        <f t="shared" si="141"/>
        <v>0</v>
      </c>
      <c r="P599" s="8" t="s">
        <v>2050</v>
      </c>
      <c r="Q599" s="14">
        <v>0.8</v>
      </c>
      <c r="R599" s="12">
        <f t="shared" si="145"/>
        <v>0.8</v>
      </c>
      <c r="S599" s="12">
        <f t="shared" si="142"/>
        <v>0.8</v>
      </c>
    </row>
    <row r="600" spans="1:19" x14ac:dyDescent="0.35">
      <c r="A600" s="8" t="s">
        <v>1225</v>
      </c>
      <c r="B600" s="8" t="s">
        <v>1226</v>
      </c>
      <c r="C600" s="8" t="s">
        <v>75</v>
      </c>
      <c r="D600" s="8" t="str">
        <f t="shared" si="134"/>
        <v>Male</v>
      </c>
      <c r="E600" s="8">
        <v>55</v>
      </c>
      <c r="F600" s="8">
        <f t="shared" si="138"/>
        <v>55</v>
      </c>
      <c r="G600" s="8" t="s">
        <v>114</v>
      </c>
      <c r="H600" s="8" t="s">
        <v>115</v>
      </c>
      <c r="I600" s="8" t="s">
        <v>90</v>
      </c>
      <c r="J600" s="8">
        <v>6</v>
      </c>
      <c r="K600" s="8">
        <f t="shared" si="139"/>
        <v>6</v>
      </c>
      <c r="L600" s="8">
        <v>40</v>
      </c>
      <c r="M600" s="9">
        <f t="shared" si="140"/>
        <v>40</v>
      </c>
      <c r="N600" s="8">
        <v>3.6</v>
      </c>
      <c r="O600" s="10">
        <f t="shared" si="141"/>
        <v>3.6</v>
      </c>
      <c r="P600" s="8" t="s">
        <v>2051</v>
      </c>
      <c r="Q600" s="13"/>
      <c r="S600" s="12">
        <f t="shared" si="142"/>
        <v>0.79269417475728277</v>
      </c>
    </row>
    <row r="601" spans="1:19" x14ac:dyDescent="0.35">
      <c r="A601" s="8" t="s">
        <v>1227</v>
      </c>
      <c r="B601" s="8" t="s">
        <v>1228</v>
      </c>
      <c r="C601" s="8" t="s">
        <v>22</v>
      </c>
      <c r="D601" s="8" t="str">
        <f t="shared" si="134"/>
        <v>Female</v>
      </c>
      <c r="E601" s="8">
        <v>56</v>
      </c>
      <c r="F601" s="8">
        <f t="shared" si="138"/>
        <v>56</v>
      </c>
      <c r="G601" s="8" t="s">
        <v>162</v>
      </c>
      <c r="H601" s="8" t="s">
        <v>51</v>
      </c>
      <c r="I601" s="8" t="s">
        <v>67</v>
      </c>
      <c r="J601" s="8">
        <v>17</v>
      </c>
      <c r="K601" s="8">
        <f t="shared" si="139"/>
        <v>17</v>
      </c>
      <c r="L601" s="13"/>
      <c r="M601" s="9">
        <f t="shared" si="140"/>
        <v>40</v>
      </c>
      <c r="N601" s="8">
        <v>1.3</v>
      </c>
      <c r="O601" s="10">
        <f t="shared" si="141"/>
        <v>1.3</v>
      </c>
      <c r="P601" s="13" t="s">
        <v>2050</v>
      </c>
      <c r="Q601" s="14">
        <v>0.87</v>
      </c>
      <c r="R601" s="12">
        <f t="shared" ref="R601:R602" si="146">Q601</f>
        <v>0.87</v>
      </c>
      <c r="S601" s="12">
        <f t="shared" si="142"/>
        <v>0.87</v>
      </c>
    </row>
    <row r="602" spans="1:19" x14ac:dyDescent="0.35">
      <c r="A602" s="8" t="s">
        <v>1229</v>
      </c>
      <c r="B602" s="8" t="s">
        <v>2020</v>
      </c>
      <c r="C602" s="8" t="s">
        <v>55</v>
      </c>
      <c r="D602" s="8" t="str">
        <f t="shared" si="134"/>
        <v>Female</v>
      </c>
      <c r="E602" s="8">
        <v>28</v>
      </c>
      <c r="F602" s="8">
        <f t="shared" si="138"/>
        <v>28</v>
      </c>
      <c r="G602" s="8" t="s">
        <v>103</v>
      </c>
      <c r="H602" s="8" t="s">
        <v>9</v>
      </c>
      <c r="I602" s="8" t="s">
        <v>4</v>
      </c>
      <c r="J602" s="8">
        <v>1</v>
      </c>
      <c r="K602" s="8">
        <f t="shared" si="139"/>
        <v>1</v>
      </c>
      <c r="L602" s="8">
        <v>75</v>
      </c>
      <c r="M602" s="9">
        <f t="shared" si="140"/>
        <v>75</v>
      </c>
      <c r="N602" s="8">
        <v>2.7</v>
      </c>
      <c r="O602" s="10">
        <f t="shared" si="141"/>
        <v>2.7</v>
      </c>
      <c r="P602" s="8" t="s">
        <v>2051</v>
      </c>
      <c r="Q602" s="14">
        <v>0.93</v>
      </c>
      <c r="R602" s="12">
        <f t="shared" si="146"/>
        <v>0.93</v>
      </c>
      <c r="S602" s="12">
        <f t="shared" si="142"/>
        <v>0.93</v>
      </c>
    </row>
    <row r="603" spans="1:19" x14ac:dyDescent="0.35">
      <c r="A603" s="8" t="s">
        <v>1230</v>
      </c>
      <c r="B603" s="8" t="s">
        <v>1231</v>
      </c>
      <c r="C603" s="8" t="s">
        <v>13</v>
      </c>
      <c r="D603" s="8" t="str">
        <f t="shared" si="134"/>
        <v>Male</v>
      </c>
      <c r="E603" s="8">
        <v>60</v>
      </c>
      <c r="F603" s="8">
        <f t="shared" si="138"/>
        <v>60</v>
      </c>
      <c r="G603" s="8" t="s">
        <v>38</v>
      </c>
      <c r="H603" s="8" t="s">
        <v>9</v>
      </c>
      <c r="I603" s="8" t="s">
        <v>27</v>
      </c>
      <c r="J603" s="8">
        <v>39</v>
      </c>
      <c r="K603" s="8">
        <f t="shared" si="139"/>
        <v>39</v>
      </c>
      <c r="L603" s="8">
        <v>100</v>
      </c>
      <c r="M603" s="9">
        <f t="shared" si="140"/>
        <v>100</v>
      </c>
      <c r="N603" s="8">
        <v>1.5</v>
      </c>
      <c r="O603" s="10">
        <f t="shared" si="141"/>
        <v>1.5</v>
      </c>
      <c r="P603" s="13" t="s">
        <v>2050</v>
      </c>
      <c r="Q603" s="8">
        <v>88</v>
      </c>
      <c r="R603" s="12">
        <v>0.88</v>
      </c>
      <c r="S603" s="12">
        <f t="shared" si="142"/>
        <v>0.88</v>
      </c>
    </row>
    <row r="604" spans="1:19" x14ac:dyDescent="0.35">
      <c r="A604" s="8" t="s">
        <v>1232</v>
      </c>
      <c r="B604" s="8" t="s">
        <v>1233</v>
      </c>
      <c r="C604" s="8" t="s">
        <v>13</v>
      </c>
      <c r="D604" s="8" t="str">
        <f t="shared" si="134"/>
        <v>Male</v>
      </c>
      <c r="E604" s="8">
        <v>34</v>
      </c>
      <c r="F604" s="8">
        <f t="shared" si="138"/>
        <v>34</v>
      </c>
      <c r="G604" s="8" t="s">
        <v>88</v>
      </c>
      <c r="H604" s="8" t="s">
        <v>89</v>
      </c>
      <c r="I604" s="8" t="s">
        <v>4</v>
      </c>
      <c r="J604" s="8">
        <v>15</v>
      </c>
      <c r="K604" s="8">
        <f t="shared" si="139"/>
        <v>15</v>
      </c>
      <c r="L604" s="8">
        <v>20</v>
      </c>
      <c r="M604" s="9">
        <f t="shared" si="140"/>
        <v>20</v>
      </c>
      <c r="N604" s="8">
        <v>0</v>
      </c>
      <c r="O604" s="11">
        <f t="shared" si="141"/>
        <v>0</v>
      </c>
      <c r="P604" s="8" t="s">
        <v>2050</v>
      </c>
      <c r="Q604" s="14">
        <v>1</v>
      </c>
      <c r="R604" s="12">
        <f>Q604</f>
        <v>1</v>
      </c>
      <c r="S604" s="12">
        <f t="shared" si="142"/>
        <v>1</v>
      </c>
    </row>
    <row r="605" spans="1:19" x14ac:dyDescent="0.35">
      <c r="A605" s="8" t="s">
        <v>1234</v>
      </c>
      <c r="B605" s="8" t="s">
        <v>1235</v>
      </c>
      <c r="C605" s="8" t="s">
        <v>22</v>
      </c>
      <c r="D605" s="8" t="str">
        <f t="shared" si="134"/>
        <v>Female</v>
      </c>
      <c r="E605" s="8">
        <v>38</v>
      </c>
      <c r="F605" s="8">
        <f t="shared" si="138"/>
        <v>38</v>
      </c>
      <c r="G605" s="8" t="s">
        <v>31</v>
      </c>
      <c r="H605" s="8" t="s">
        <v>32</v>
      </c>
      <c r="I605" s="8" t="s">
        <v>27</v>
      </c>
      <c r="J605" s="8">
        <v>13</v>
      </c>
      <c r="K605" s="8">
        <f t="shared" si="139"/>
        <v>13</v>
      </c>
      <c r="L605" s="8">
        <v>40</v>
      </c>
      <c r="M605" s="9">
        <f t="shared" si="140"/>
        <v>40</v>
      </c>
      <c r="N605" s="8">
        <v>0</v>
      </c>
      <c r="O605" s="11">
        <f t="shared" si="141"/>
        <v>0</v>
      </c>
      <c r="P605" s="8" t="s">
        <v>2051</v>
      </c>
      <c r="Q605" s="8">
        <v>61</v>
      </c>
      <c r="R605" s="12">
        <v>0.61</v>
      </c>
      <c r="S605" s="12">
        <f t="shared" si="142"/>
        <v>0.61</v>
      </c>
    </row>
    <row r="606" spans="1:19" x14ac:dyDescent="0.35">
      <c r="A606" s="8" t="s">
        <v>1236</v>
      </c>
      <c r="B606" s="8" t="s">
        <v>1237</v>
      </c>
      <c r="C606" s="8" t="s">
        <v>7</v>
      </c>
      <c r="D606" s="8" t="str">
        <f t="shared" si="134"/>
        <v>Female</v>
      </c>
      <c r="E606" s="8">
        <v>51</v>
      </c>
      <c r="F606" s="8">
        <f t="shared" si="138"/>
        <v>51</v>
      </c>
      <c r="G606" s="8" t="s">
        <v>88</v>
      </c>
      <c r="H606" s="8" t="s">
        <v>89</v>
      </c>
      <c r="I606" s="8" t="s">
        <v>20</v>
      </c>
      <c r="J606" s="8">
        <v>17</v>
      </c>
      <c r="K606" s="8">
        <f t="shared" si="139"/>
        <v>17</v>
      </c>
      <c r="L606" s="8">
        <v>100</v>
      </c>
      <c r="M606" s="9">
        <f t="shared" si="140"/>
        <v>100</v>
      </c>
      <c r="N606" s="8">
        <v>3</v>
      </c>
      <c r="O606" s="10">
        <f t="shared" si="141"/>
        <v>3</v>
      </c>
      <c r="P606" s="8" t="s">
        <v>2050</v>
      </c>
      <c r="Q606" s="14">
        <v>0.79</v>
      </c>
      <c r="R606" s="12">
        <f t="shared" ref="R606:R608" si="147">Q606</f>
        <v>0.79</v>
      </c>
      <c r="S606" s="12">
        <f t="shared" si="142"/>
        <v>0.79</v>
      </c>
    </row>
    <row r="607" spans="1:19" x14ac:dyDescent="0.35">
      <c r="A607" s="8" t="s">
        <v>1238</v>
      </c>
      <c r="B607" s="8" t="s">
        <v>1239</v>
      </c>
      <c r="C607" s="8" t="s">
        <v>1</v>
      </c>
      <c r="D607" s="8" t="str">
        <f t="shared" si="134"/>
        <v>Female</v>
      </c>
      <c r="E607" s="8">
        <v>21</v>
      </c>
      <c r="F607" s="8">
        <f t="shared" si="138"/>
        <v>21</v>
      </c>
      <c r="G607" s="8" t="s">
        <v>63</v>
      </c>
      <c r="H607" s="8" t="s">
        <v>64</v>
      </c>
      <c r="I607" s="8" t="s">
        <v>10</v>
      </c>
      <c r="J607" s="8">
        <v>1</v>
      </c>
      <c r="K607" s="8">
        <f t="shared" si="139"/>
        <v>1</v>
      </c>
      <c r="L607" s="8">
        <v>30</v>
      </c>
      <c r="M607" s="9">
        <f t="shared" si="140"/>
        <v>30</v>
      </c>
      <c r="N607" s="8">
        <v>1.2</v>
      </c>
      <c r="O607" s="10">
        <f t="shared" si="141"/>
        <v>1.2</v>
      </c>
      <c r="P607" s="13" t="s">
        <v>2050</v>
      </c>
      <c r="Q607" s="14">
        <v>0.73</v>
      </c>
      <c r="R607" s="12">
        <f t="shared" si="147"/>
        <v>0.73</v>
      </c>
      <c r="S607" s="12">
        <f t="shared" si="142"/>
        <v>0.73</v>
      </c>
    </row>
    <row r="608" spans="1:19" x14ac:dyDescent="0.35">
      <c r="A608" s="8" t="s">
        <v>1240</v>
      </c>
      <c r="B608" s="8" t="s">
        <v>1241</v>
      </c>
      <c r="C608" s="8" t="s">
        <v>70</v>
      </c>
      <c r="D608" s="8" t="str">
        <f t="shared" si="134"/>
        <v>Male</v>
      </c>
      <c r="E608" s="8">
        <v>35</v>
      </c>
      <c r="F608" s="8">
        <f t="shared" si="138"/>
        <v>35</v>
      </c>
      <c r="G608" s="8" t="s">
        <v>2</v>
      </c>
      <c r="H608" s="8" t="s">
        <v>3</v>
      </c>
      <c r="I608" s="8" t="s">
        <v>52</v>
      </c>
      <c r="J608" s="8">
        <v>16</v>
      </c>
      <c r="K608" s="8">
        <f t="shared" si="139"/>
        <v>16</v>
      </c>
      <c r="L608" s="13"/>
      <c r="M608" s="9">
        <f t="shared" si="140"/>
        <v>40</v>
      </c>
      <c r="N608" s="8">
        <v>1.3</v>
      </c>
      <c r="O608" s="10">
        <f t="shared" si="141"/>
        <v>1.3</v>
      </c>
      <c r="P608" s="8" t="s">
        <v>2051</v>
      </c>
      <c r="Q608" s="14">
        <v>0.64</v>
      </c>
      <c r="R608" s="12">
        <f t="shared" si="147"/>
        <v>0.64</v>
      </c>
      <c r="S608" s="12">
        <f t="shared" si="142"/>
        <v>0.64</v>
      </c>
    </row>
    <row r="609" spans="1:19" x14ac:dyDescent="0.35">
      <c r="A609" s="8" t="s">
        <v>1242</v>
      </c>
      <c r="B609" s="8" t="s">
        <v>1243</v>
      </c>
      <c r="C609" s="8" t="s">
        <v>70</v>
      </c>
      <c r="D609" s="8" t="str">
        <f t="shared" si="134"/>
        <v>Male</v>
      </c>
      <c r="E609" s="8">
        <v>27</v>
      </c>
      <c r="F609" s="8">
        <f t="shared" si="138"/>
        <v>27</v>
      </c>
      <c r="G609" s="8" t="s">
        <v>84</v>
      </c>
      <c r="H609" s="8" t="s">
        <v>85</v>
      </c>
      <c r="I609" s="8" t="s">
        <v>20</v>
      </c>
      <c r="J609" s="8">
        <v>9</v>
      </c>
      <c r="K609" s="8">
        <f t="shared" si="139"/>
        <v>9</v>
      </c>
      <c r="L609" s="8">
        <v>100</v>
      </c>
      <c r="M609" s="9">
        <f t="shared" si="140"/>
        <v>100</v>
      </c>
      <c r="O609" s="10">
        <f t="shared" si="141"/>
        <v>2.5125695216907653</v>
      </c>
      <c r="P609" s="8" t="s">
        <v>2051</v>
      </c>
      <c r="Q609" s="13"/>
      <c r="S609" s="12">
        <f t="shared" si="142"/>
        <v>0.79269417475728277</v>
      </c>
    </row>
    <row r="610" spans="1:19" x14ac:dyDescent="0.35">
      <c r="A610" s="8" t="s">
        <v>1244</v>
      </c>
      <c r="B610" s="8" t="s">
        <v>1245</v>
      </c>
      <c r="C610" s="8" t="s">
        <v>7</v>
      </c>
      <c r="D610" s="8" t="str">
        <f t="shared" si="134"/>
        <v>Female</v>
      </c>
      <c r="E610" s="8">
        <v>42</v>
      </c>
      <c r="F610" s="8">
        <f t="shared" si="138"/>
        <v>42</v>
      </c>
      <c r="G610" s="8" t="s">
        <v>42</v>
      </c>
      <c r="H610" s="8" t="s">
        <v>43</v>
      </c>
      <c r="I610" s="8" t="s">
        <v>10</v>
      </c>
      <c r="J610" s="8">
        <v>20</v>
      </c>
      <c r="K610" s="8">
        <f t="shared" si="139"/>
        <v>20</v>
      </c>
      <c r="L610" s="8">
        <v>50</v>
      </c>
      <c r="M610" s="9">
        <f t="shared" si="140"/>
        <v>50</v>
      </c>
      <c r="N610" s="8">
        <v>3.8</v>
      </c>
      <c r="O610" s="10">
        <f t="shared" si="141"/>
        <v>3.8</v>
      </c>
      <c r="P610" s="8" t="s">
        <v>2050</v>
      </c>
      <c r="Q610" s="14">
        <v>0.93</v>
      </c>
      <c r="R610" s="12">
        <f t="shared" ref="R610:R612" si="148">Q610</f>
        <v>0.93</v>
      </c>
      <c r="S610" s="12">
        <f t="shared" si="142"/>
        <v>0.93</v>
      </c>
    </row>
    <row r="611" spans="1:19" x14ac:dyDescent="0.35">
      <c r="A611" s="8" t="s">
        <v>1246</v>
      </c>
      <c r="B611" s="8" t="s">
        <v>1247</v>
      </c>
      <c r="C611" s="8" t="s">
        <v>19</v>
      </c>
      <c r="D611" s="8" t="str">
        <f t="shared" si="134"/>
        <v>Female</v>
      </c>
      <c r="E611" s="8">
        <v>52</v>
      </c>
      <c r="F611" s="8">
        <f t="shared" si="138"/>
        <v>52</v>
      </c>
      <c r="G611" s="8" t="s">
        <v>103</v>
      </c>
      <c r="H611" s="8" t="s">
        <v>9</v>
      </c>
      <c r="I611" s="8" t="s">
        <v>4</v>
      </c>
      <c r="J611" s="8">
        <v>29</v>
      </c>
      <c r="K611" s="8">
        <f t="shared" si="139"/>
        <v>29</v>
      </c>
      <c r="L611" s="8">
        <v>30</v>
      </c>
      <c r="M611" s="9">
        <f t="shared" si="140"/>
        <v>30</v>
      </c>
      <c r="N611" s="8">
        <v>3.8</v>
      </c>
      <c r="O611" s="10">
        <f t="shared" si="141"/>
        <v>3.8</v>
      </c>
      <c r="P611" s="8" t="s">
        <v>2050</v>
      </c>
      <c r="Q611" s="14">
        <v>0.68</v>
      </c>
      <c r="R611" s="12">
        <f t="shared" si="148"/>
        <v>0.68</v>
      </c>
      <c r="S611" s="12">
        <f t="shared" si="142"/>
        <v>0.68</v>
      </c>
    </row>
    <row r="612" spans="1:19" x14ac:dyDescent="0.35">
      <c r="A612" s="8" t="s">
        <v>1248</v>
      </c>
      <c r="B612" s="8" t="s">
        <v>1249</v>
      </c>
      <c r="C612" s="8" t="s">
        <v>13</v>
      </c>
      <c r="D612" s="8" t="str">
        <f t="shared" si="134"/>
        <v>Male</v>
      </c>
      <c r="E612" s="8">
        <v>53</v>
      </c>
      <c r="F612" s="8">
        <f t="shared" si="138"/>
        <v>53</v>
      </c>
      <c r="G612" s="8" t="s">
        <v>88</v>
      </c>
      <c r="H612" s="8" t="s">
        <v>89</v>
      </c>
      <c r="I612" s="8" t="s">
        <v>20</v>
      </c>
      <c r="J612" s="8">
        <v>21</v>
      </c>
      <c r="K612" s="8">
        <f t="shared" si="139"/>
        <v>21</v>
      </c>
      <c r="L612" s="8">
        <v>40</v>
      </c>
      <c r="M612" s="9">
        <f t="shared" si="140"/>
        <v>40</v>
      </c>
      <c r="N612" s="8">
        <v>4.7</v>
      </c>
      <c r="O612" s="10">
        <f t="shared" si="141"/>
        <v>4.7</v>
      </c>
      <c r="P612" s="8" t="s">
        <v>2051</v>
      </c>
      <c r="Q612" s="14">
        <v>0.62</v>
      </c>
      <c r="R612" s="12">
        <f t="shared" si="148"/>
        <v>0.62</v>
      </c>
      <c r="S612" s="12">
        <f t="shared" si="142"/>
        <v>0.62</v>
      </c>
    </row>
    <row r="613" spans="1:19" x14ac:dyDescent="0.35">
      <c r="A613" s="8" t="s">
        <v>1250</v>
      </c>
      <c r="B613" s="8" t="s">
        <v>1251</v>
      </c>
      <c r="C613" s="8" t="s">
        <v>7</v>
      </c>
      <c r="D613" s="8" t="str">
        <f t="shared" si="134"/>
        <v>Female</v>
      </c>
      <c r="E613" s="8">
        <v>54</v>
      </c>
      <c r="F613" s="8">
        <f t="shared" si="138"/>
        <v>54</v>
      </c>
      <c r="G613" s="8" t="s">
        <v>2</v>
      </c>
      <c r="H613" s="8" t="s">
        <v>3</v>
      </c>
      <c r="I613" s="8" t="s">
        <v>10</v>
      </c>
      <c r="J613" s="8">
        <v>28</v>
      </c>
      <c r="K613" s="8">
        <f t="shared" si="139"/>
        <v>28</v>
      </c>
      <c r="L613" s="8">
        <v>40</v>
      </c>
      <c r="M613" s="9">
        <f t="shared" si="140"/>
        <v>40</v>
      </c>
      <c r="N613" s="8">
        <v>1.1000000000000001</v>
      </c>
      <c r="O613" s="10">
        <f t="shared" si="141"/>
        <v>1.1000000000000001</v>
      </c>
      <c r="P613" s="8" t="s">
        <v>2050</v>
      </c>
      <c r="Q613" s="13"/>
      <c r="S613" s="12">
        <f t="shared" si="142"/>
        <v>0.79269417475728277</v>
      </c>
    </row>
    <row r="614" spans="1:19" x14ac:dyDescent="0.35">
      <c r="A614" s="8" t="s">
        <v>1252</v>
      </c>
      <c r="B614" s="8" t="s">
        <v>1253</v>
      </c>
      <c r="C614" s="8" t="s">
        <v>41</v>
      </c>
      <c r="D614" s="8" t="str">
        <f t="shared" si="134"/>
        <v>Male</v>
      </c>
      <c r="E614" s="8">
        <v>51</v>
      </c>
      <c r="F614" s="8">
        <f t="shared" si="138"/>
        <v>51</v>
      </c>
      <c r="G614" s="8" t="s">
        <v>63</v>
      </c>
      <c r="H614" s="8" t="s">
        <v>64</v>
      </c>
      <c r="I614" s="8" t="s">
        <v>16</v>
      </c>
      <c r="J614" s="8">
        <v>5</v>
      </c>
      <c r="K614" s="8">
        <f t="shared" si="139"/>
        <v>5</v>
      </c>
      <c r="L614" s="8">
        <v>50</v>
      </c>
      <c r="M614" s="9">
        <f t="shared" si="140"/>
        <v>50</v>
      </c>
      <c r="N614" s="8">
        <v>4.2</v>
      </c>
      <c r="O614" s="10">
        <f t="shared" si="141"/>
        <v>4.2</v>
      </c>
      <c r="P614" s="8" t="s">
        <v>2051</v>
      </c>
      <c r="Q614" s="14">
        <v>0.82</v>
      </c>
      <c r="R614" s="12">
        <f>Q614</f>
        <v>0.82</v>
      </c>
      <c r="S614" s="12">
        <f t="shared" si="142"/>
        <v>0.82</v>
      </c>
    </row>
    <row r="615" spans="1:19" x14ac:dyDescent="0.35">
      <c r="A615" s="8" t="s">
        <v>1254</v>
      </c>
      <c r="B615" s="8" t="s">
        <v>1255</v>
      </c>
      <c r="C615" s="8" t="s">
        <v>1</v>
      </c>
      <c r="D615" s="8" t="str">
        <f t="shared" si="134"/>
        <v>Female</v>
      </c>
      <c r="E615" s="8">
        <v>30</v>
      </c>
      <c r="F615" s="8">
        <f t="shared" si="138"/>
        <v>30</v>
      </c>
      <c r="G615" s="8" t="s">
        <v>88</v>
      </c>
      <c r="H615" s="8" t="s">
        <v>89</v>
      </c>
      <c r="I615" s="8" t="s">
        <v>20</v>
      </c>
      <c r="J615" s="8">
        <v>0</v>
      </c>
      <c r="K615" s="8">
        <f t="shared" si="139"/>
        <v>0</v>
      </c>
      <c r="L615" s="13"/>
      <c r="M615" s="9">
        <f t="shared" si="140"/>
        <v>40</v>
      </c>
      <c r="N615" s="8">
        <v>0</v>
      </c>
      <c r="O615" s="11">
        <f t="shared" si="141"/>
        <v>0</v>
      </c>
      <c r="P615" s="8" t="s">
        <v>2050</v>
      </c>
      <c r="Q615" s="13"/>
      <c r="S615" s="12">
        <f t="shared" si="142"/>
        <v>0.79269417475728277</v>
      </c>
    </row>
    <row r="616" spans="1:19" x14ac:dyDescent="0.35">
      <c r="A616" s="8" t="s">
        <v>1256</v>
      </c>
      <c r="B616" s="8" t="s">
        <v>1257</v>
      </c>
      <c r="C616" s="8" t="s">
        <v>55</v>
      </c>
      <c r="D616" s="8" t="str">
        <f t="shared" si="134"/>
        <v>Female</v>
      </c>
      <c r="E616" s="8">
        <v>45</v>
      </c>
      <c r="F616" s="8">
        <f t="shared" si="138"/>
        <v>45</v>
      </c>
      <c r="G616" s="8" t="s">
        <v>25</v>
      </c>
      <c r="H616" s="8" t="s">
        <v>26</v>
      </c>
      <c r="I616" s="8" t="s">
        <v>90</v>
      </c>
      <c r="J616" s="8">
        <v>27</v>
      </c>
      <c r="K616" s="8">
        <f t="shared" si="139"/>
        <v>27</v>
      </c>
      <c r="L616" s="8">
        <v>75</v>
      </c>
      <c r="M616" s="9">
        <f t="shared" si="140"/>
        <v>75</v>
      </c>
      <c r="N616" s="8">
        <v>0</v>
      </c>
      <c r="O616" s="11">
        <f t="shared" si="141"/>
        <v>0</v>
      </c>
      <c r="P616" s="13" t="s">
        <v>2050</v>
      </c>
      <c r="Q616" s="14">
        <v>0.85</v>
      </c>
      <c r="R616" s="12">
        <f t="shared" ref="R616:R622" si="149">Q616</f>
        <v>0.85</v>
      </c>
      <c r="S616" s="12">
        <f t="shared" si="142"/>
        <v>0.85</v>
      </c>
    </row>
    <row r="617" spans="1:19" x14ac:dyDescent="0.35">
      <c r="A617" s="8" t="s">
        <v>1258</v>
      </c>
      <c r="B617" s="8" t="s">
        <v>1259</v>
      </c>
      <c r="C617" s="8" t="s">
        <v>13</v>
      </c>
      <c r="D617" s="8" t="str">
        <f t="shared" si="134"/>
        <v>Male</v>
      </c>
      <c r="E617" s="8">
        <v>57</v>
      </c>
      <c r="F617" s="8">
        <f t="shared" si="138"/>
        <v>57</v>
      </c>
      <c r="G617" s="8" t="s">
        <v>31</v>
      </c>
      <c r="H617" s="8" t="s">
        <v>32</v>
      </c>
      <c r="I617" s="8" t="s">
        <v>16</v>
      </c>
      <c r="J617" s="8">
        <v>26</v>
      </c>
      <c r="K617" s="8">
        <f t="shared" si="139"/>
        <v>26</v>
      </c>
      <c r="L617" s="8">
        <v>100</v>
      </c>
      <c r="M617" s="9">
        <f t="shared" si="140"/>
        <v>100</v>
      </c>
      <c r="N617" s="8">
        <v>2.4</v>
      </c>
      <c r="O617" s="10">
        <f t="shared" si="141"/>
        <v>2.4</v>
      </c>
      <c r="P617" s="8" t="s">
        <v>2051</v>
      </c>
      <c r="Q617" s="14">
        <v>0.78</v>
      </c>
      <c r="R617" s="12">
        <f t="shared" si="149"/>
        <v>0.78</v>
      </c>
      <c r="S617" s="12">
        <f t="shared" si="142"/>
        <v>0.78</v>
      </c>
    </row>
    <row r="618" spans="1:19" x14ac:dyDescent="0.35">
      <c r="A618" s="8" t="s">
        <v>1260</v>
      </c>
      <c r="B618" s="8" t="s">
        <v>1261</v>
      </c>
      <c r="C618" s="8" t="s">
        <v>75</v>
      </c>
      <c r="D618" s="8" t="str">
        <f t="shared" ref="D618:D681" si="150">IF(LEFT(C618,1)="f","Female","Male")</f>
        <v>Male</v>
      </c>
      <c r="E618" s="8">
        <v>38</v>
      </c>
      <c r="F618" s="8">
        <f t="shared" si="138"/>
        <v>38</v>
      </c>
      <c r="G618" s="8" t="s">
        <v>42</v>
      </c>
      <c r="H618" s="8" t="s">
        <v>43</v>
      </c>
      <c r="I618" s="8" t="s">
        <v>4</v>
      </c>
      <c r="J618" s="8">
        <v>19</v>
      </c>
      <c r="K618" s="8">
        <f t="shared" si="139"/>
        <v>19</v>
      </c>
      <c r="L618" s="8">
        <v>40</v>
      </c>
      <c r="M618" s="9">
        <f t="shared" si="140"/>
        <v>40</v>
      </c>
      <c r="N618" s="8">
        <v>0</v>
      </c>
      <c r="O618" s="11">
        <f t="shared" si="141"/>
        <v>0</v>
      </c>
      <c r="P618" s="8" t="s">
        <v>2051</v>
      </c>
      <c r="Q618" s="14">
        <v>0.86</v>
      </c>
      <c r="R618" s="12">
        <f t="shared" si="149"/>
        <v>0.86</v>
      </c>
      <c r="S618" s="12">
        <f t="shared" si="142"/>
        <v>0.86</v>
      </c>
    </row>
    <row r="619" spans="1:19" x14ac:dyDescent="0.35">
      <c r="A619" s="8" t="s">
        <v>1262</v>
      </c>
      <c r="B619" s="8" t="s">
        <v>1263</v>
      </c>
      <c r="C619" s="8" t="s">
        <v>7</v>
      </c>
      <c r="D619" s="8" t="str">
        <f t="shared" si="150"/>
        <v>Female</v>
      </c>
      <c r="E619" s="8">
        <v>42</v>
      </c>
      <c r="F619" s="8">
        <f t="shared" si="138"/>
        <v>42</v>
      </c>
      <c r="G619" s="8" t="s">
        <v>99</v>
      </c>
      <c r="H619" s="8" t="s">
        <v>100</v>
      </c>
      <c r="I619" s="8" t="s">
        <v>67</v>
      </c>
      <c r="J619" s="8">
        <v>24</v>
      </c>
      <c r="K619" s="8">
        <f t="shared" si="139"/>
        <v>24</v>
      </c>
      <c r="L619" s="8">
        <v>40</v>
      </c>
      <c r="M619" s="9">
        <f t="shared" si="140"/>
        <v>40</v>
      </c>
      <c r="O619" s="10">
        <f t="shared" si="141"/>
        <v>2.5125695216907653</v>
      </c>
      <c r="P619" s="8" t="s">
        <v>2050</v>
      </c>
      <c r="Q619" s="14">
        <v>0.88</v>
      </c>
      <c r="R619" s="12">
        <f t="shared" si="149"/>
        <v>0.88</v>
      </c>
      <c r="S619" s="12">
        <f t="shared" si="142"/>
        <v>0.88</v>
      </c>
    </row>
    <row r="620" spans="1:19" x14ac:dyDescent="0.35">
      <c r="A620" s="8" t="s">
        <v>1264</v>
      </c>
      <c r="B620" s="8" t="s">
        <v>1265</v>
      </c>
      <c r="C620" s="8" t="s">
        <v>55</v>
      </c>
      <c r="D620" s="8" t="str">
        <f t="shared" si="150"/>
        <v>Female</v>
      </c>
      <c r="E620" s="8">
        <v>30</v>
      </c>
      <c r="F620" s="8">
        <f t="shared" si="138"/>
        <v>30</v>
      </c>
      <c r="G620" s="8" t="s">
        <v>128</v>
      </c>
      <c r="H620" s="8" t="s">
        <v>129</v>
      </c>
      <c r="I620" s="8" t="s">
        <v>67</v>
      </c>
      <c r="J620" s="8">
        <v>7</v>
      </c>
      <c r="K620" s="8">
        <f t="shared" si="139"/>
        <v>7</v>
      </c>
      <c r="L620" s="8">
        <v>30</v>
      </c>
      <c r="M620" s="9">
        <f t="shared" si="140"/>
        <v>30</v>
      </c>
      <c r="N620" s="8">
        <v>3.3</v>
      </c>
      <c r="O620" s="10">
        <f t="shared" si="141"/>
        <v>3.3</v>
      </c>
      <c r="P620" s="13" t="s">
        <v>2050</v>
      </c>
      <c r="Q620" s="14">
        <v>0.68</v>
      </c>
      <c r="R620" s="12">
        <f t="shared" si="149"/>
        <v>0.68</v>
      </c>
      <c r="S620" s="12">
        <f t="shared" si="142"/>
        <v>0.68</v>
      </c>
    </row>
    <row r="621" spans="1:19" x14ac:dyDescent="0.35">
      <c r="A621" s="8" t="s">
        <v>1266</v>
      </c>
      <c r="B621" s="8" t="s">
        <v>1267</v>
      </c>
      <c r="C621" s="8" t="s">
        <v>22</v>
      </c>
      <c r="D621" s="8" t="str">
        <f t="shared" si="150"/>
        <v>Female</v>
      </c>
      <c r="E621" s="8">
        <v>43</v>
      </c>
      <c r="F621" s="8">
        <f t="shared" si="138"/>
        <v>43</v>
      </c>
      <c r="G621" s="8" t="s">
        <v>8</v>
      </c>
      <c r="H621" s="8" t="s">
        <v>9</v>
      </c>
      <c r="I621" s="8" t="s">
        <v>20</v>
      </c>
      <c r="J621" s="8">
        <v>13</v>
      </c>
      <c r="K621" s="8">
        <f t="shared" si="139"/>
        <v>13</v>
      </c>
      <c r="L621" s="8">
        <v>100</v>
      </c>
      <c r="M621" s="9">
        <f t="shared" si="140"/>
        <v>100</v>
      </c>
      <c r="N621" s="8">
        <v>1.4</v>
      </c>
      <c r="O621" s="10">
        <f t="shared" si="141"/>
        <v>1.4</v>
      </c>
      <c r="P621" s="8" t="s">
        <v>2051</v>
      </c>
      <c r="Q621" s="14">
        <v>0.97</v>
      </c>
      <c r="R621" s="12">
        <f t="shared" si="149"/>
        <v>0.97</v>
      </c>
      <c r="S621" s="12">
        <f t="shared" si="142"/>
        <v>0.97</v>
      </c>
    </row>
    <row r="622" spans="1:19" x14ac:dyDescent="0.35">
      <c r="A622" s="8" t="s">
        <v>1268</v>
      </c>
      <c r="B622" s="8" t="s">
        <v>1269</v>
      </c>
      <c r="C622" s="8" t="s">
        <v>75</v>
      </c>
      <c r="D622" s="8" t="str">
        <f t="shared" si="150"/>
        <v>Male</v>
      </c>
      <c r="E622" s="8">
        <v>22</v>
      </c>
      <c r="F622" s="8">
        <f t="shared" si="138"/>
        <v>22</v>
      </c>
      <c r="G622" s="8" t="s">
        <v>114</v>
      </c>
      <c r="H622" s="8" t="s">
        <v>115</v>
      </c>
      <c r="I622" s="8" t="s">
        <v>52</v>
      </c>
      <c r="J622" s="8">
        <v>2</v>
      </c>
      <c r="K622" s="8">
        <f t="shared" si="139"/>
        <v>2</v>
      </c>
      <c r="L622" s="8">
        <v>75</v>
      </c>
      <c r="M622" s="9">
        <f t="shared" si="140"/>
        <v>75</v>
      </c>
      <c r="N622" s="8">
        <v>1.7</v>
      </c>
      <c r="O622" s="10">
        <f t="shared" si="141"/>
        <v>1.7</v>
      </c>
      <c r="P622" s="8" t="s">
        <v>2050</v>
      </c>
      <c r="Q622" s="14">
        <v>0.91</v>
      </c>
      <c r="R622" s="12">
        <f t="shared" si="149"/>
        <v>0.91</v>
      </c>
      <c r="S622" s="12">
        <f t="shared" si="142"/>
        <v>0.91</v>
      </c>
    </row>
    <row r="623" spans="1:19" x14ac:dyDescent="0.35">
      <c r="A623" s="8" t="s">
        <v>1270</v>
      </c>
      <c r="B623" s="8" t="s">
        <v>1271</v>
      </c>
      <c r="C623" s="8" t="s">
        <v>70</v>
      </c>
      <c r="D623" s="8" t="str">
        <f t="shared" si="150"/>
        <v>Male</v>
      </c>
      <c r="E623" s="8">
        <v>57</v>
      </c>
      <c r="F623" s="8">
        <f t="shared" si="138"/>
        <v>57</v>
      </c>
      <c r="G623" s="8" t="s">
        <v>151</v>
      </c>
      <c r="H623" s="8" t="s">
        <v>51</v>
      </c>
      <c r="I623" s="8" t="s">
        <v>90</v>
      </c>
      <c r="J623" s="8">
        <v>37</v>
      </c>
      <c r="K623" s="8">
        <f t="shared" si="139"/>
        <v>37</v>
      </c>
      <c r="L623" s="8">
        <v>30</v>
      </c>
      <c r="M623" s="9">
        <f t="shared" si="140"/>
        <v>30</v>
      </c>
      <c r="N623" s="8">
        <v>4.8</v>
      </c>
      <c r="O623" s="10">
        <f t="shared" si="141"/>
        <v>4.8</v>
      </c>
      <c r="P623" s="8" t="s">
        <v>2050</v>
      </c>
      <c r="Q623" s="13"/>
      <c r="S623" s="12">
        <f t="shared" si="142"/>
        <v>0.79269417475728277</v>
      </c>
    </row>
    <row r="624" spans="1:19" x14ac:dyDescent="0.35">
      <c r="A624" s="8" t="s">
        <v>1272</v>
      </c>
      <c r="B624" s="8" t="s">
        <v>1273</v>
      </c>
      <c r="C624" s="8" t="s">
        <v>41</v>
      </c>
      <c r="D624" s="8" t="str">
        <f t="shared" si="150"/>
        <v>Male</v>
      </c>
      <c r="E624" s="8">
        <v>44</v>
      </c>
      <c r="F624" s="8">
        <f t="shared" si="138"/>
        <v>44</v>
      </c>
      <c r="G624" s="8" t="s">
        <v>46</v>
      </c>
      <c r="H624" s="8" t="s">
        <v>9</v>
      </c>
      <c r="I624" s="8" t="s">
        <v>16</v>
      </c>
      <c r="J624" s="8">
        <v>1</v>
      </c>
      <c r="K624" s="8">
        <f t="shared" si="139"/>
        <v>1</v>
      </c>
      <c r="L624" s="13"/>
      <c r="M624" s="9">
        <f t="shared" si="140"/>
        <v>40</v>
      </c>
      <c r="N624" s="8">
        <v>4.8</v>
      </c>
      <c r="O624" s="10">
        <f t="shared" si="141"/>
        <v>4.8</v>
      </c>
      <c r="P624" s="8" t="s">
        <v>2050</v>
      </c>
      <c r="Q624" s="14">
        <v>0.97</v>
      </c>
      <c r="R624" s="12">
        <f t="shared" ref="R624:R626" si="151">Q624</f>
        <v>0.97</v>
      </c>
      <c r="S624" s="12">
        <f t="shared" si="142"/>
        <v>0.97</v>
      </c>
    </row>
    <row r="625" spans="1:19" x14ac:dyDescent="0.35">
      <c r="A625" s="8" t="s">
        <v>1274</v>
      </c>
      <c r="B625" s="8" t="s">
        <v>1275</v>
      </c>
      <c r="C625" s="8" t="s">
        <v>22</v>
      </c>
      <c r="D625" s="8" t="str">
        <f t="shared" si="150"/>
        <v>Female</v>
      </c>
      <c r="E625" s="8">
        <v>46</v>
      </c>
      <c r="F625" s="8">
        <f t="shared" si="138"/>
        <v>46</v>
      </c>
      <c r="G625" s="8" t="s">
        <v>147</v>
      </c>
      <c r="H625" s="8" t="s">
        <v>148</v>
      </c>
      <c r="I625" s="8" t="s">
        <v>67</v>
      </c>
      <c r="J625" s="8">
        <v>5</v>
      </c>
      <c r="K625" s="8">
        <f t="shared" si="139"/>
        <v>5</v>
      </c>
      <c r="L625" s="8">
        <v>30</v>
      </c>
      <c r="M625" s="9">
        <f t="shared" si="140"/>
        <v>30</v>
      </c>
      <c r="N625" s="8">
        <v>2</v>
      </c>
      <c r="O625" s="10">
        <f t="shared" si="141"/>
        <v>2</v>
      </c>
      <c r="P625" s="8" t="s">
        <v>2051</v>
      </c>
      <c r="Q625" s="14">
        <v>0.64</v>
      </c>
      <c r="R625" s="12">
        <f t="shared" si="151"/>
        <v>0.64</v>
      </c>
      <c r="S625" s="12">
        <f t="shared" si="142"/>
        <v>0.64</v>
      </c>
    </row>
    <row r="626" spans="1:19" x14ac:dyDescent="0.35">
      <c r="A626" s="8" t="s">
        <v>1276</v>
      </c>
      <c r="B626" s="8" t="s">
        <v>1277</v>
      </c>
      <c r="C626" s="8" t="s">
        <v>75</v>
      </c>
      <c r="D626" s="8" t="str">
        <f t="shared" si="150"/>
        <v>Male</v>
      </c>
      <c r="E626" s="13"/>
      <c r="F626" s="8">
        <f t="shared" si="138"/>
        <v>41</v>
      </c>
      <c r="G626" s="8" t="s">
        <v>162</v>
      </c>
      <c r="H626" s="8" t="s">
        <v>51</v>
      </c>
      <c r="I626" s="8" t="s">
        <v>4</v>
      </c>
      <c r="J626" s="8">
        <v>1</v>
      </c>
      <c r="K626" s="8">
        <f t="shared" si="139"/>
        <v>1</v>
      </c>
      <c r="L626" s="8">
        <v>50</v>
      </c>
      <c r="M626" s="9">
        <f t="shared" si="140"/>
        <v>50</v>
      </c>
      <c r="N626" s="8">
        <v>2.8</v>
      </c>
      <c r="O626" s="10">
        <f t="shared" si="141"/>
        <v>2.8</v>
      </c>
      <c r="P626" s="8" t="s">
        <v>2050</v>
      </c>
      <c r="Q626" s="14">
        <v>0.87</v>
      </c>
      <c r="R626" s="12">
        <f t="shared" si="151"/>
        <v>0.87</v>
      </c>
      <c r="S626" s="12">
        <f t="shared" si="142"/>
        <v>0.87</v>
      </c>
    </row>
    <row r="627" spans="1:19" x14ac:dyDescent="0.35">
      <c r="A627" s="8" t="s">
        <v>1278</v>
      </c>
      <c r="B627" s="8" t="s">
        <v>1279</v>
      </c>
      <c r="C627" s="8" t="s">
        <v>55</v>
      </c>
      <c r="D627" s="8" t="str">
        <f t="shared" si="150"/>
        <v>Female</v>
      </c>
      <c r="E627" s="8">
        <v>34</v>
      </c>
      <c r="F627" s="8">
        <f t="shared" si="138"/>
        <v>34</v>
      </c>
      <c r="G627" s="8" t="s">
        <v>8</v>
      </c>
      <c r="H627" s="8" t="s">
        <v>9</v>
      </c>
      <c r="I627" s="8" t="s">
        <v>33</v>
      </c>
      <c r="J627" s="8">
        <v>2</v>
      </c>
      <c r="K627" s="8">
        <f t="shared" si="139"/>
        <v>2</v>
      </c>
      <c r="L627" s="8">
        <v>100</v>
      </c>
      <c r="M627" s="9">
        <f t="shared" si="140"/>
        <v>100</v>
      </c>
      <c r="N627" s="8">
        <v>0</v>
      </c>
      <c r="O627" s="11">
        <f t="shared" si="141"/>
        <v>0</v>
      </c>
      <c r="P627" s="8" t="s">
        <v>2050</v>
      </c>
      <c r="Q627" s="8">
        <v>86</v>
      </c>
      <c r="R627" s="12">
        <v>0.86</v>
      </c>
      <c r="S627" s="12">
        <f t="shared" si="142"/>
        <v>0.86</v>
      </c>
    </row>
    <row r="628" spans="1:19" x14ac:dyDescent="0.35">
      <c r="A628" s="8" t="s">
        <v>1280</v>
      </c>
      <c r="B628" s="8" t="s">
        <v>1281</v>
      </c>
      <c r="C628" s="8" t="s">
        <v>19</v>
      </c>
      <c r="D628" s="8" t="str">
        <f t="shared" si="150"/>
        <v>Female</v>
      </c>
      <c r="E628" s="8">
        <v>46</v>
      </c>
      <c r="F628" s="8">
        <f t="shared" si="138"/>
        <v>46</v>
      </c>
      <c r="G628" s="8" t="s">
        <v>2</v>
      </c>
      <c r="H628" s="8" t="s">
        <v>3</v>
      </c>
      <c r="I628" s="8" t="s">
        <v>10</v>
      </c>
      <c r="J628" s="13"/>
      <c r="K628" s="8">
        <f t="shared" si="139"/>
        <v>9</v>
      </c>
      <c r="L628" s="8">
        <v>100</v>
      </c>
      <c r="M628" s="9">
        <f t="shared" si="140"/>
        <v>100</v>
      </c>
      <c r="N628" s="8">
        <v>4.4000000000000004</v>
      </c>
      <c r="O628" s="10">
        <f t="shared" si="141"/>
        <v>4.4000000000000004</v>
      </c>
      <c r="P628" s="8" t="s">
        <v>2051</v>
      </c>
      <c r="Q628" s="8">
        <v>97</v>
      </c>
      <c r="R628" s="12">
        <v>0.97</v>
      </c>
      <c r="S628" s="12">
        <f t="shared" si="142"/>
        <v>0.97</v>
      </c>
    </row>
    <row r="629" spans="1:19" x14ac:dyDescent="0.35">
      <c r="A629" s="8" t="s">
        <v>1282</v>
      </c>
      <c r="B629" s="8" t="s">
        <v>1283</v>
      </c>
      <c r="C629" s="8" t="s">
        <v>1</v>
      </c>
      <c r="D629" s="8" t="str">
        <f t="shared" si="150"/>
        <v>Female</v>
      </c>
      <c r="E629" s="8">
        <v>22</v>
      </c>
      <c r="F629" s="8">
        <f t="shared" si="138"/>
        <v>22</v>
      </c>
      <c r="G629" s="8" t="s">
        <v>110</v>
      </c>
      <c r="H629" s="8" t="s">
        <v>111</v>
      </c>
      <c r="I629" s="8" t="s">
        <v>4</v>
      </c>
      <c r="J629" s="8">
        <v>0</v>
      </c>
      <c r="K629" s="8">
        <f t="shared" si="139"/>
        <v>0</v>
      </c>
      <c r="L629" s="8">
        <v>30</v>
      </c>
      <c r="M629" s="9">
        <f t="shared" si="140"/>
        <v>30</v>
      </c>
      <c r="N629" s="8">
        <v>4.9000000000000004</v>
      </c>
      <c r="O629" s="10">
        <f t="shared" si="141"/>
        <v>4.9000000000000004</v>
      </c>
      <c r="P629" s="8" t="s">
        <v>2050</v>
      </c>
      <c r="Q629" s="14">
        <v>0.73</v>
      </c>
      <c r="R629" s="12">
        <f t="shared" ref="R629:R630" si="152">Q629</f>
        <v>0.73</v>
      </c>
      <c r="S629" s="12">
        <f t="shared" si="142"/>
        <v>0.73</v>
      </c>
    </row>
    <row r="630" spans="1:19" x14ac:dyDescent="0.35">
      <c r="A630" s="8" t="s">
        <v>1284</v>
      </c>
      <c r="B630" s="8" t="s">
        <v>1285</v>
      </c>
      <c r="C630" s="8" t="s">
        <v>22</v>
      </c>
      <c r="D630" s="8" t="str">
        <f t="shared" si="150"/>
        <v>Female</v>
      </c>
      <c r="E630" s="8">
        <v>23</v>
      </c>
      <c r="F630" s="8">
        <f t="shared" si="138"/>
        <v>23</v>
      </c>
      <c r="G630" s="8" t="s">
        <v>128</v>
      </c>
      <c r="H630" s="8" t="s">
        <v>129</v>
      </c>
      <c r="I630" s="8" t="s">
        <v>27</v>
      </c>
      <c r="J630" s="8">
        <v>0</v>
      </c>
      <c r="K630" s="8">
        <f t="shared" si="139"/>
        <v>0</v>
      </c>
      <c r="L630" s="8">
        <v>75</v>
      </c>
      <c r="M630" s="9">
        <f t="shared" si="140"/>
        <v>75</v>
      </c>
      <c r="N630" s="8">
        <v>2.2999999999999998</v>
      </c>
      <c r="O630" s="10">
        <f t="shared" si="141"/>
        <v>2.2999999999999998</v>
      </c>
      <c r="P630" s="13" t="s">
        <v>2050</v>
      </c>
      <c r="Q630" s="14">
        <v>0.6</v>
      </c>
      <c r="R630" s="12">
        <f t="shared" si="152"/>
        <v>0.6</v>
      </c>
      <c r="S630" s="12">
        <f t="shared" si="142"/>
        <v>0.6</v>
      </c>
    </row>
    <row r="631" spans="1:19" x14ac:dyDescent="0.35">
      <c r="A631" s="8" t="s">
        <v>1286</v>
      </c>
      <c r="B631" s="8" t="s">
        <v>1287</v>
      </c>
      <c r="C631" s="8" t="s">
        <v>19</v>
      </c>
      <c r="D631" s="8" t="str">
        <f t="shared" si="150"/>
        <v>Female</v>
      </c>
      <c r="E631" s="8">
        <v>60</v>
      </c>
      <c r="F631" s="8">
        <f t="shared" si="138"/>
        <v>60</v>
      </c>
      <c r="G631" s="8" t="s">
        <v>42</v>
      </c>
      <c r="H631" s="8" t="s">
        <v>43</v>
      </c>
      <c r="I631" s="8" t="s">
        <v>20</v>
      </c>
      <c r="J631" s="8">
        <v>41</v>
      </c>
      <c r="K631" s="8">
        <f t="shared" si="139"/>
        <v>41</v>
      </c>
      <c r="L631" s="8">
        <v>40</v>
      </c>
      <c r="M631" s="9">
        <f t="shared" si="140"/>
        <v>40</v>
      </c>
      <c r="N631" s="8">
        <v>4.9000000000000004</v>
      </c>
      <c r="O631" s="10">
        <f t="shared" si="141"/>
        <v>4.9000000000000004</v>
      </c>
      <c r="P631" s="8" t="s">
        <v>2051</v>
      </c>
      <c r="Q631" s="8">
        <v>66</v>
      </c>
      <c r="R631" s="12">
        <v>0.66</v>
      </c>
      <c r="S631" s="12">
        <f t="shared" si="142"/>
        <v>0.66</v>
      </c>
    </row>
    <row r="632" spans="1:19" x14ac:dyDescent="0.35">
      <c r="A632" s="8" t="s">
        <v>1288</v>
      </c>
      <c r="B632" s="8" t="s">
        <v>1289</v>
      </c>
      <c r="C632" s="8" t="s">
        <v>30</v>
      </c>
      <c r="D632" s="8" t="str">
        <f t="shared" si="150"/>
        <v>Male</v>
      </c>
      <c r="E632" s="8">
        <v>20</v>
      </c>
      <c r="F632" s="8">
        <f t="shared" si="138"/>
        <v>20</v>
      </c>
      <c r="G632" s="8" t="s">
        <v>103</v>
      </c>
      <c r="H632" s="8" t="s">
        <v>9</v>
      </c>
      <c r="I632" s="8" t="s">
        <v>67</v>
      </c>
      <c r="J632" s="13"/>
      <c r="K632" s="8">
        <f t="shared" si="139"/>
        <v>9</v>
      </c>
      <c r="L632" s="8">
        <v>75</v>
      </c>
      <c r="M632" s="9">
        <f t="shared" si="140"/>
        <v>75</v>
      </c>
      <c r="N632" s="8">
        <v>4.3</v>
      </c>
      <c r="O632" s="10">
        <f t="shared" si="141"/>
        <v>4.3</v>
      </c>
      <c r="P632" s="8" t="s">
        <v>2050</v>
      </c>
      <c r="Q632" s="14">
        <v>0.9</v>
      </c>
      <c r="R632" s="12">
        <f>Q632</f>
        <v>0.9</v>
      </c>
      <c r="S632" s="12">
        <f t="shared" si="142"/>
        <v>0.9</v>
      </c>
    </row>
    <row r="633" spans="1:19" x14ac:dyDescent="0.35">
      <c r="A633" s="8" t="s">
        <v>1290</v>
      </c>
      <c r="B633" s="8" t="s">
        <v>1291</v>
      </c>
      <c r="C633" s="8" t="s">
        <v>1</v>
      </c>
      <c r="D633" s="8" t="str">
        <f t="shared" si="150"/>
        <v>Female</v>
      </c>
      <c r="E633" s="8">
        <v>41</v>
      </c>
      <c r="F633" s="8">
        <f t="shared" si="138"/>
        <v>41</v>
      </c>
      <c r="G633" s="8" t="s">
        <v>88</v>
      </c>
      <c r="H633" s="8" t="s">
        <v>89</v>
      </c>
      <c r="I633" s="8" t="s">
        <v>52</v>
      </c>
      <c r="J633" s="8">
        <v>23</v>
      </c>
      <c r="K633" s="8">
        <f t="shared" si="139"/>
        <v>23</v>
      </c>
      <c r="L633" s="8">
        <v>75</v>
      </c>
      <c r="M633" s="9">
        <f t="shared" si="140"/>
        <v>75</v>
      </c>
      <c r="N633" s="8">
        <v>1.4</v>
      </c>
      <c r="O633" s="10">
        <f t="shared" si="141"/>
        <v>1.4</v>
      </c>
      <c r="P633" s="8" t="s">
        <v>2050</v>
      </c>
      <c r="Q633" s="13"/>
      <c r="S633" s="12">
        <f t="shared" si="142"/>
        <v>0.79269417475728277</v>
      </c>
    </row>
    <row r="634" spans="1:19" x14ac:dyDescent="0.35">
      <c r="A634" s="8" t="s">
        <v>1292</v>
      </c>
      <c r="B634" s="8" t="s">
        <v>1293</v>
      </c>
      <c r="C634" s="8" t="s">
        <v>30</v>
      </c>
      <c r="D634" s="8" t="str">
        <f t="shared" si="150"/>
        <v>Male</v>
      </c>
      <c r="E634" s="8">
        <v>24</v>
      </c>
      <c r="F634" s="8">
        <f t="shared" si="138"/>
        <v>24</v>
      </c>
      <c r="G634" s="8" t="s">
        <v>110</v>
      </c>
      <c r="H634" s="8" t="s">
        <v>111</v>
      </c>
      <c r="I634" s="8" t="s">
        <v>10</v>
      </c>
      <c r="J634" s="8">
        <v>0</v>
      </c>
      <c r="K634" s="8">
        <f t="shared" si="139"/>
        <v>0</v>
      </c>
      <c r="L634" s="8">
        <v>100</v>
      </c>
      <c r="M634" s="9">
        <f t="shared" si="140"/>
        <v>100</v>
      </c>
      <c r="O634" s="10">
        <f t="shared" si="141"/>
        <v>2.5125695216907653</v>
      </c>
      <c r="P634" s="8" t="s">
        <v>2050</v>
      </c>
      <c r="Q634" s="13"/>
      <c r="S634" s="12">
        <f t="shared" si="142"/>
        <v>0.79269417475728277</v>
      </c>
    </row>
    <row r="635" spans="1:19" x14ac:dyDescent="0.35">
      <c r="A635" s="8" t="s">
        <v>1294</v>
      </c>
      <c r="B635" s="8" t="s">
        <v>1295</v>
      </c>
      <c r="C635" s="8" t="s">
        <v>30</v>
      </c>
      <c r="D635" s="8" t="str">
        <f t="shared" si="150"/>
        <v>Male</v>
      </c>
      <c r="E635" s="8">
        <v>44</v>
      </c>
      <c r="F635" s="8">
        <f t="shared" si="138"/>
        <v>44</v>
      </c>
      <c r="G635" s="8" t="s">
        <v>25</v>
      </c>
      <c r="H635" s="8" t="s">
        <v>26</v>
      </c>
      <c r="I635" s="8" t="s">
        <v>90</v>
      </c>
      <c r="J635" s="8">
        <v>4</v>
      </c>
      <c r="K635" s="8">
        <f t="shared" si="139"/>
        <v>4</v>
      </c>
      <c r="L635" s="13"/>
      <c r="M635" s="9">
        <f t="shared" si="140"/>
        <v>40</v>
      </c>
      <c r="N635" s="8">
        <v>1.3</v>
      </c>
      <c r="O635" s="10">
        <f t="shared" si="141"/>
        <v>1.3</v>
      </c>
      <c r="P635" s="8" t="s">
        <v>2051</v>
      </c>
      <c r="Q635" s="8">
        <v>77</v>
      </c>
      <c r="R635" s="12">
        <v>0.77</v>
      </c>
      <c r="S635" s="12">
        <f t="shared" si="142"/>
        <v>0.77</v>
      </c>
    </row>
    <row r="636" spans="1:19" x14ac:dyDescent="0.35">
      <c r="A636" s="8" t="s">
        <v>1296</v>
      </c>
      <c r="B636" s="8" t="s">
        <v>1297</v>
      </c>
      <c r="C636" s="8" t="s">
        <v>41</v>
      </c>
      <c r="D636" s="8" t="str">
        <f t="shared" si="150"/>
        <v>Male</v>
      </c>
      <c r="E636" s="8">
        <v>52</v>
      </c>
      <c r="F636" s="8">
        <f t="shared" si="138"/>
        <v>52</v>
      </c>
      <c r="G636" s="8" t="s">
        <v>147</v>
      </c>
      <c r="H636" s="8" t="s">
        <v>148</v>
      </c>
      <c r="I636" s="8" t="s">
        <v>52</v>
      </c>
      <c r="J636" s="8">
        <v>4</v>
      </c>
      <c r="K636" s="8">
        <f t="shared" si="139"/>
        <v>4</v>
      </c>
      <c r="L636" s="8">
        <v>75</v>
      </c>
      <c r="M636" s="9">
        <f t="shared" si="140"/>
        <v>75</v>
      </c>
      <c r="N636" s="8">
        <v>2.2999999999999998</v>
      </c>
      <c r="O636" s="10">
        <f t="shared" si="141"/>
        <v>2.2999999999999998</v>
      </c>
      <c r="P636" s="8" t="s">
        <v>2051</v>
      </c>
      <c r="Q636" s="14">
        <v>0.79</v>
      </c>
      <c r="R636" s="12">
        <f t="shared" ref="R636:R644" si="153">Q636</f>
        <v>0.79</v>
      </c>
      <c r="S636" s="12">
        <f t="shared" si="142"/>
        <v>0.79</v>
      </c>
    </row>
    <row r="637" spans="1:19" x14ac:dyDescent="0.35">
      <c r="A637" s="8" t="s">
        <v>1298</v>
      </c>
      <c r="B637" s="8" t="s">
        <v>1299</v>
      </c>
      <c r="C637" s="8" t="s">
        <v>70</v>
      </c>
      <c r="D637" s="8" t="str">
        <f t="shared" si="150"/>
        <v>Male</v>
      </c>
      <c r="E637" s="8">
        <v>35</v>
      </c>
      <c r="F637" s="8">
        <f t="shared" si="138"/>
        <v>35</v>
      </c>
      <c r="G637" s="8" t="s">
        <v>162</v>
      </c>
      <c r="H637" s="8" t="s">
        <v>51</v>
      </c>
      <c r="I637" s="8" t="s">
        <v>90</v>
      </c>
      <c r="J637" s="8">
        <v>13</v>
      </c>
      <c r="K637" s="8">
        <f t="shared" si="139"/>
        <v>13</v>
      </c>
      <c r="L637" s="8">
        <v>40</v>
      </c>
      <c r="M637" s="9">
        <f t="shared" si="140"/>
        <v>40</v>
      </c>
      <c r="N637" s="8">
        <v>3.6</v>
      </c>
      <c r="O637" s="10">
        <f t="shared" si="141"/>
        <v>3.6</v>
      </c>
      <c r="P637" s="8" t="s">
        <v>2050</v>
      </c>
      <c r="Q637" s="14">
        <v>0.83</v>
      </c>
      <c r="R637" s="12">
        <f t="shared" si="153"/>
        <v>0.83</v>
      </c>
      <c r="S637" s="12">
        <f t="shared" si="142"/>
        <v>0.83</v>
      </c>
    </row>
    <row r="638" spans="1:19" x14ac:dyDescent="0.35">
      <c r="A638" s="8" t="s">
        <v>1300</v>
      </c>
      <c r="B638" s="8" t="s">
        <v>1301</v>
      </c>
      <c r="C638" s="8" t="s">
        <v>55</v>
      </c>
      <c r="D638" s="8" t="str">
        <f t="shared" si="150"/>
        <v>Female</v>
      </c>
      <c r="E638" s="8">
        <v>24</v>
      </c>
      <c r="F638" s="8">
        <f t="shared" si="138"/>
        <v>24</v>
      </c>
      <c r="G638" s="8" t="s">
        <v>25</v>
      </c>
      <c r="H638" s="8" t="s">
        <v>26</v>
      </c>
      <c r="I638" s="8" t="s">
        <v>67</v>
      </c>
      <c r="J638" s="8">
        <v>2</v>
      </c>
      <c r="K638" s="8">
        <f t="shared" si="139"/>
        <v>2</v>
      </c>
      <c r="L638" s="8">
        <v>50</v>
      </c>
      <c r="M638" s="9">
        <f t="shared" si="140"/>
        <v>50</v>
      </c>
      <c r="O638" s="10">
        <f t="shared" si="141"/>
        <v>2.5125695216907653</v>
      </c>
      <c r="P638" s="8" t="s">
        <v>2050</v>
      </c>
      <c r="Q638" s="14">
        <v>0.64</v>
      </c>
      <c r="R638" s="12">
        <f t="shared" si="153"/>
        <v>0.64</v>
      </c>
      <c r="S638" s="12">
        <f t="shared" si="142"/>
        <v>0.64</v>
      </c>
    </row>
    <row r="639" spans="1:19" x14ac:dyDescent="0.35">
      <c r="A639" s="8" t="s">
        <v>1302</v>
      </c>
      <c r="B639" s="8" t="s">
        <v>1303</v>
      </c>
      <c r="C639" s="8" t="s">
        <v>7</v>
      </c>
      <c r="D639" s="8" t="str">
        <f t="shared" si="150"/>
        <v>Female</v>
      </c>
      <c r="E639" s="8">
        <v>46</v>
      </c>
      <c r="F639" s="8">
        <f t="shared" si="138"/>
        <v>46</v>
      </c>
      <c r="G639" s="8" t="s">
        <v>8</v>
      </c>
      <c r="H639" s="8" t="s">
        <v>9</v>
      </c>
      <c r="I639" s="8" t="s">
        <v>56</v>
      </c>
      <c r="J639" s="8">
        <v>25</v>
      </c>
      <c r="K639" s="8">
        <f t="shared" si="139"/>
        <v>25</v>
      </c>
      <c r="L639" s="8">
        <v>100</v>
      </c>
      <c r="M639" s="9">
        <f t="shared" si="140"/>
        <v>100</v>
      </c>
      <c r="N639" s="8">
        <v>1.3</v>
      </c>
      <c r="O639" s="10">
        <f t="shared" si="141"/>
        <v>1.3</v>
      </c>
      <c r="P639" s="8" t="s">
        <v>2050</v>
      </c>
      <c r="Q639" s="14">
        <v>0.8</v>
      </c>
      <c r="R639" s="12">
        <f t="shared" si="153"/>
        <v>0.8</v>
      </c>
      <c r="S639" s="12">
        <f t="shared" si="142"/>
        <v>0.8</v>
      </c>
    </row>
    <row r="640" spans="1:19" x14ac:dyDescent="0.35">
      <c r="A640" s="8" t="s">
        <v>1304</v>
      </c>
      <c r="B640" s="8" t="s">
        <v>1305</v>
      </c>
      <c r="C640" s="8" t="s">
        <v>70</v>
      </c>
      <c r="D640" s="8" t="str">
        <f t="shared" si="150"/>
        <v>Male</v>
      </c>
      <c r="E640" s="8">
        <v>57</v>
      </c>
      <c r="F640" s="8">
        <f t="shared" si="138"/>
        <v>57</v>
      </c>
      <c r="G640" s="8" t="s">
        <v>151</v>
      </c>
      <c r="H640" s="8" t="s">
        <v>51</v>
      </c>
      <c r="I640" s="8" t="s">
        <v>10</v>
      </c>
      <c r="J640" s="8">
        <v>18</v>
      </c>
      <c r="K640" s="8">
        <f t="shared" si="139"/>
        <v>18</v>
      </c>
      <c r="L640" s="8">
        <v>30</v>
      </c>
      <c r="M640" s="9">
        <f t="shared" si="140"/>
        <v>30</v>
      </c>
      <c r="N640" s="8">
        <v>1.1000000000000001</v>
      </c>
      <c r="O640" s="10">
        <f t="shared" si="141"/>
        <v>1.1000000000000001</v>
      </c>
      <c r="P640" s="8" t="s">
        <v>2050</v>
      </c>
      <c r="Q640" s="14">
        <v>0.9</v>
      </c>
      <c r="R640" s="12">
        <f t="shared" si="153"/>
        <v>0.9</v>
      </c>
      <c r="S640" s="12">
        <f t="shared" si="142"/>
        <v>0.9</v>
      </c>
    </row>
    <row r="641" spans="1:19" x14ac:dyDescent="0.35">
      <c r="A641" s="8" t="s">
        <v>1306</v>
      </c>
      <c r="B641" s="8" t="s">
        <v>1307</v>
      </c>
      <c r="C641" s="8" t="s">
        <v>19</v>
      </c>
      <c r="D641" s="8" t="str">
        <f t="shared" si="150"/>
        <v>Female</v>
      </c>
      <c r="E641" s="8">
        <v>49</v>
      </c>
      <c r="F641" s="8">
        <f t="shared" si="138"/>
        <v>49</v>
      </c>
      <c r="G641" s="8" t="s">
        <v>151</v>
      </c>
      <c r="H641" s="8" t="s">
        <v>51</v>
      </c>
      <c r="I641" s="8" t="s">
        <v>20</v>
      </c>
      <c r="J641" s="8">
        <v>24</v>
      </c>
      <c r="K641" s="8">
        <f t="shared" si="139"/>
        <v>24</v>
      </c>
      <c r="L641" s="8">
        <v>50</v>
      </c>
      <c r="M641" s="9">
        <f t="shared" si="140"/>
        <v>50</v>
      </c>
      <c r="N641" s="8">
        <v>0</v>
      </c>
      <c r="O641" s="11">
        <f t="shared" si="141"/>
        <v>0</v>
      </c>
      <c r="P641" s="8" t="s">
        <v>2050</v>
      </c>
      <c r="Q641" s="14">
        <v>0.94</v>
      </c>
      <c r="R641" s="12">
        <f t="shared" si="153"/>
        <v>0.94</v>
      </c>
      <c r="S641" s="12">
        <f t="shared" si="142"/>
        <v>0.94</v>
      </c>
    </row>
    <row r="642" spans="1:19" x14ac:dyDescent="0.35">
      <c r="A642" s="8" t="s">
        <v>1308</v>
      </c>
      <c r="B642" s="8" t="s">
        <v>1309</v>
      </c>
      <c r="C642" s="8" t="s">
        <v>41</v>
      </c>
      <c r="D642" s="8" t="str">
        <f t="shared" si="150"/>
        <v>Male</v>
      </c>
      <c r="E642" s="8">
        <v>41</v>
      </c>
      <c r="F642" s="8">
        <f t="shared" si="138"/>
        <v>41</v>
      </c>
      <c r="G642" s="8" t="s">
        <v>63</v>
      </c>
      <c r="H642" s="8" t="s">
        <v>64</v>
      </c>
      <c r="I642" s="8" t="s">
        <v>27</v>
      </c>
      <c r="J642" s="8">
        <v>7</v>
      </c>
      <c r="K642" s="8">
        <f t="shared" si="139"/>
        <v>7</v>
      </c>
      <c r="L642" s="8">
        <v>40</v>
      </c>
      <c r="M642" s="9">
        <f t="shared" si="140"/>
        <v>40</v>
      </c>
      <c r="N642" s="8">
        <v>1.8</v>
      </c>
      <c r="O642" s="10">
        <f t="shared" si="141"/>
        <v>1.8</v>
      </c>
      <c r="P642" s="8" t="s">
        <v>2050</v>
      </c>
      <c r="Q642" s="14">
        <v>0.7</v>
      </c>
      <c r="R642" s="12">
        <f t="shared" si="153"/>
        <v>0.7</v>
      </c>
      <c r="S642" s="12">
        <f t="shared" si="142"/>
        <v>0.7</v>
      </c>
    </row>
    <row r="643" spans="1:19" x14ac:dyDescent="0.35">
      <c r="A643" s="8" t="s">
        <v>1310</v>
      </c>
      <c r="B643" s="8" t="s">
        <v>1311</v>
      </c>
      <c r="C643" s="8" t="s">
        <v>13</v>
      </c>
      <c r="D643" s="8" t="str">
        <f t="shared" si="150"/>
        <v>Male</v>
      </c>
      <c r="E643" s="8">
        <v>22</v>
      </c>
      <c r="F643" s="8">
        <f t="shared" ref="F643:F706" si="154">IF(ISBLANK(E643),MEDIAN($E$2:$E$1001),E643)</f>
        <v>22</v>
      </c>
      <c r="G643" s="8" t="s">
        <v>151</v>
      </c>
      <c r="H643" s="8" t="s">
        <v>51</v>
      </c>
      <c r="I643" s="8" t="s">
        <v>90</v>
      </c>
      <c r="J643" s="8">
        <v>1</v>
      </c>
      <c r="K643" s="8">
        <f t="shared" ref="K643:K706" si="155">IF(ISBLANK(J643),MEDIAN($J$2:$J$1001),J643)</f>
        <v>1</v>
      </c>
      <c r="L643" s="8">
        <v>20</v>
      </c>
      <c r="M643" s="9">
        <f t="shared" ref="M643:M706" si="156">IF(ISBLANK(L643),MEDIAN($L$2:$L$1001),L643)</f>
        <v>20</v>
      </c>
      <c r="O643" s="10">
        <f t="shared" ref="O643:O706" si="157">IF(ISBLANK(N643),AVERAGE($N$2:$N$1001),N643)</f>
        <v>2.5125695216907653</v>
      </c>
      <c r="P643" s="8" t="s">
        <v>2051</v>
      </c>
      <c r="Q643" s="14">
        <v>0.75</v>
      </c>
      <c r="R643" s="12">
        <f t="shared" si="153"/>
        <v>0.75</v>
      </c>
      <c r="S643" s="12">
        <f t="shared" si="142"/>
        <v>0.75</v>
      </c>
    </row>
    <row r="644" spans="1:19" x14ac:dyDescent="0.35">
      <c r="A644" s="8" t="s">
        <v>1312</v>
      </c>
      <c r="B644" s="8" t="s">
        <v>1313</v>
      </c>
      <c r="C644" s="8" t="s">
        <v>13</v>
      </c>
      <c r="D644" s="8" t="str">
        <f t="shared" si="150"/>
        <v>Male</v>
      </c>
      <c r="E644" s="8">
        <v>50</v>
      </c>
      <c r="F644" s="8">
        <f t="shared" si="154"/>
        <v>50</v>
      </c>
      <c r="G644" s="8" t="s">
        <v>8</v>
      </c>
      <c r="H644" s="8" t="s">
        <v>9</v>
      </c>
      <c r="I644" s="8" t="s">
        <v>4</v>
      </c>
      <c r="J644" s="8">
        <v>17</v>
      </c>
      <c r="K644" s="8">
        <f t="shared" si="155"/>
        <v>17</v>
      </c>
      <c r="L644" s="8">
        <v>75</v>
      </c>
      <c r="M644" s="9">
        <f t="shared" si="156"/>
        <v>75</v>
      </c>
      <c r="N644" s="8">
        <v>3.3</v>
      </c>
      <c r="O644" s="10">
        <f t="shared" si="157"/>
        <v>3.3</v>
      </c>
      <c r="P644" s="8" t="s">
        <v>2051</v>
      </c>
      <c r="Q644" s="14">
        <v>0.69</v>
      </c>
      <c r="R644" s="12">
        <f t="shared" si="153"/>
        <v>0.69</v>
      </c>
      <c r="S644" s="12">
        <f t="shared" ref="S644:S707" si="158">IF(ISBLANK(R644),AVERAGE($R$2:$R$1001),R644)</f>
        <v>0.69</v>
      </c>
    </row>
    <row r="645" spans="1:19" x14ac:dyDescent="0.35">
      <c r="A645" s="8" t="s">
        <v>1314</v>
      </c>
      <c r="B645" s="8" t="s">
        <v>1315</v>
      </c>
      <c r="C645" s="8" t="s">
        <v>13</v>
      </c>
      <c r="D645" s="8" t="str">
        <f t="shared" si="150"/>
        <v>Male</v>
      </c>
      <c r="E645" s="8">
        <v>57</v>
      </c>
      <c r="F645" s="8">
        <f t="shared" si="154"/>
        <v>57</v>
      </c>
      <c r="G645" s="8" t="s">
        <v>14</v>
      </c>
      <c r="H645" s="8" t="s">
        <v>15</v>
      </c>
      <c r="I645" s="8" t="s">
        <v>16</v>
      </c>
      <c r="J645" s="8">
        <v>4</v>
      </c>
      <c r="K645" s="8">
        <f t="shared" si="155"/>
        <v>4</v>
      </c>
      <c r="L645" s="8">
        <v>30</v>
      </c>
      <c r="M645" s="9">
        <f t="shared" si="156"/>
        <v>30</v>
      </c>
      <c r="N645" s="8">
        <v>4.2</v>
      </c>
      <c r="O645" s="10">
        <f t="shared" si="157"/>
        <v>4.2</v>
      </c>
      <c r="P645" s="8" t="s">
        <v>2050</v>
      </c>
      <c r="Q645" s="13"/>
      <c r="S645" s="12">
        <f t="shared" si="158"/>
        <v>0.79269417475728277</v>
      </c>
    </row>
    <row r="646" spans="1:19" x14ac:dyDescent="0.35">
      <c r="A646" s="8" t="s">
        <v>1316</v>
      </c>
      <c r="B646" s="8" t="s">
        <v>1317</v>
      </c>
      <c r="C646" s="8" t="s">
        <v>7</v>
      </c>
      <c r="D646" s="8" t="str">
        <f t="shared" si="150"/>
        <v>Female</v>
      </c>
      <c r="E646" s="8">
        <v>47</v>
      </c>
      <c r="F646" s="8">
        <f t="shared" si="154"/>
        <v>47</v>
      </c>
      <c r="G646" s="8" t="s">
        <v>151</v>
      </c>
      <c r="H646" s="8" t="s">
        <v>51</v>
      </c>
      <c r="I646" s="8" t="s">
        <v>27</v>
      </c>
      <c r="J646" s="8">
        <v>29</v>
      </c>
      <c r="K646" s="8">
        <f t="shared" si="155"/>
        <v>29</v>
      </c>
      <c r="L646" s="8">
        <v>50</v>
      </c>
      <c r="M646" s="9">
        <f t="shared" si="156"/>
        <v>50</v>
      </c>
      <c r="O646" s="10">
        <f t="shared" si="157"/>
        <v>2.5125695216907653</v>
      </c>
      <c r="P646" s="8" t="s">
        <v>2051</v>
      </c>
      <c r="Q646" s="14">
        <v>0.79</v>
      </c>
      <c r="R646" s="12">
        <f t="shared" ref="R646:R650" si="159">Q646</f>
        <v>0.79</v>
      </c>
      <c r="S646" s="12">
        <f t="shared" si="158"/>
        <v>0.79</v>
      </c>
    </row>
    <row r="647" spans="1:19" x14ac:dyDescent="0.35">
      <c r="A647" s="8" t="s">
        <v>1318</v>
      </c>
      <c r="B647" s="8" t="s">
        <v>1319</v>
      </c>
      <c r="C647" s="8" t="s">
        <v>70</v>
      </c>
      <c r="D647" s="8" t="str">
        <f t="shared" si="150"/>
        <v>Male</v>
      </c>
      <c r="E647" s="8">
        <v>24</v>
      </c>
      <c r="F647" s="8">
        <f t="shared" si="154"/>
        <v>24</v>
      </c>
      <c r="G647" s="8" t="s">
        <v>128</v>
      </c>
      <c r="H647" s="8" t="s">
        <v>129</v>
      </c>
      <c r="I647" s="8" t="s">
        <v>33</v>
      </c>
      <c r="J647" s="8">
        <v>2</v>
      </c>
      <c r="K647" s="8">
        <f t="shared" si="155"/>
        <v>2</v>
      </c>
      <c r="L647" s="8">
        <v>100</v>
      </c>
      <c r="M647" s="9">
        <f t="shared" si="156"/>
        <v>100</v>
      </c>
      <c r="N647" s="8">
        <v>3.8</v>
      </c>
      <c r="O647" s="10">
        <f t="shared" si="157"/>
        <v>3.8</v>
      </c>
      <c r="P647" s="8" t="s">
        <v>2051</v>
      </c>
      <c r="Q647" s="14">
        <v>0.71</v>
      </c>
      <c r="R647" s="12">
        <f t="shared" si="159"/>
        <v>0.71</v>
      </c>
      <c r="S647" s="12">
        <f t="shared" si="158"/>
        <v>0.71</v>
      </c>
    </row>
    <row r="648" spans="1:19" x14ac:dyDescent="0.35">
      <c r="A648" s="8" t="s">
        <v>1320</v>
      </c>
      <c r="B648" s="8" t="s">
        <v>1321</v>
      </c>
      <c r="C648" s="8" t="s">
        <v>13</v>
      </c>
      <c r="D648" s="8" t="str">
        <f t="shared" si="150"/>
        <v>Male</v>
      </c>
      <c r="E648" s="13"/>
      <c r="F648" s="8">
        <f t="shared" si="154"/>
        <v>41</v>
      </c>
      <c r="G648" s="8" t="s">
        <v>71</v>
      </c>
      <c r="H648" s="8" t="s">
        <v>72</v>
      </c>
      <c r="I648" s="8" t="s">
        <v>56</v>
      </c>
      <c r="J648" s="8">
        <v>9</v>
      </c>
      <c r="K648" s="8">
        <f t="shared" si="155"/>
        <v>9</v>
      </c>
      <c r="L648" s="8">
        <v>100</v>
      </c>
      <c r="M648" s="9">
        <f t="shared" si="156"/>
        <v>100</v>
      </c>
      <c r="N648" s="8">
        <v>4.8</v>
      </c>
      <c r="O648" s="10">
        <f t="shared" si="157"/>
        <v>4.8</v>
      </c>
      <c r="P648" s="8" t="s">
        <v>2051</v>
      </c>
      <c r="Q648" s="14">
        <v>0.72</v>
      </c>
      <c r="R648" s="12">
        <f t="shared" si="159"/>
        <v>0.72</v>
      </c>
      <c r="S648" s="12">
        <f t="shared" si="158"/>
        <v>0.72</v>
      </c>
    </row>
    <row r="649" spans="1:19" x14ac:dyDescent="0.35">
      <c r="A649" s="8" t="s">
        <v>1322</v>
      </c>
      <c r="B649" s="8" t="s">
        <v>1323</v>
      </c>
      <c r="C649" s="8" t="s">
        <v>7</v>
      </c>
      <c r="D649" s="8" t="str">
        <f t="shared" si="150"/>
        <v>Female</v>
      </c>
      <c r="E649" s="8">
        <v>50</v>
      </c>
      <c r="F649" s="8">
        <f t="shared" si="154"/>
        <v>50</v>
      </c>
      <c r="G649" s="8" t="s">
        <v>14</v>
      </c>
      <c r="H649" s="8" t="s">
        <v>15</v>
      </c>
      <c r="I649" s="8" t="s">
        <v>67</v>
      </c>
      <c r="J649" s="8">
        <v>10</v>
      </c>
      <c r="K649" s="8">
        <f t="shared" si="155"/>
        <v>10</v>
      </c>
      <c r="L649" s="8">
        <v>100</v>
      </c>
      <c r="M649" s="9">
        <f t="shared" si="156"/>
        <v>100</v>
      </c>
      <c r="N649" s="8">
        <v>4.3</v>
      </c>
      <c r="O649" s="10">
        <f t="shared" si="157"/>
        <v>4.3</v>
      </c>
      <c r="P649" s="8" t="s">
        <v>2050</v>
      </c>
      <c r="Q649" s="14">
        <v>0.93</v>
      </c>
      <c r="R649" s="12">
        <f t="shared" si="159"/>
        <v>0.93</v>
      </c>
      <c r="S649" s="12">
        <f t="shared" si="158"/>
        <v>0.93</v>
      </c>
    </row>
    <row r="650" spans="1:19" x14ac:dyDescent="0.35">
      <c r="A650" s="8" t="s">
        <v>1324</v>
      </c>
      <c r="B650" s="8" t="s">
        <v>1325</v>
      </c>
      <c r="C650" s="8" t="s">
        <v>70</v>
      </c>
      <c r="D650" s="8" t="str">
        <f t="shared" si="150"/>
        <v>Male</v>
      </c>
      <c r="E650" s="8">
        <v>46</v>
      </c>
      <c r="F650" s="8">
        <f t="shared" si="154"/>
        <v>46</v>
      </c>
      <c r="G650" s="8" t="s">
        <v>84</v>
      </c>
      <c r="H650" s="8" t="s">
        <v>85</v>
      </c>
      <c r="I650" s="8" t="s">
        <v>90</v>
      </c>
      <c r="J650" s="8">
        <v>20</v>
      </c>
      <c r="K650" s="8">
        <f t="shared" si="155"/>
        <v>20</v>
      </c>
      <c r="L650" s="13"/>
      <c r="M650" s="9">
        <f t="shared" si="156"/>
        <v>40</v>
      </c>
      <c r="N650" s="8">
        <v>4.8</v>
      </c>
      <c r="O650" s="10">
        <f t="shared" si="157"/>
        <v>4.8</v>
      </c>
      <c r="P650" s="8" t="s">
        <v>2051</v>
      </c>
      <c r="Q650" s="14">
        <v>0.82</v>
      </c>
      <c r="R650" s="12">
        <f t="shared" si="159"/>
        <v>0.82</v>
      </c>
      <c r="S650" s="12">
        <f t="shared" si="158"/>
        <v>0.82</v>
      </c>
    </row>
    <row r="651" spans="1:19" x14ac:dyDescent="0.35">
      <c r="A651" s="8" t="s">
        <v>1326</v>
      </c>
      <c r="B651" s="8" t="s">
        <v>1327</v>
      </c>
      <c r="C651" s="8" t="s">
        <v>13</v>
      </c>
      <c r="D651" s="8" t="str">
        <f t="shared" si="150"/>
        <v>Male</v>
      </c>
      <c r="E651" s="8">
        <v>51</v>
      </c>
      <c r="F651" s="8">
        <f t="shared" si="154"/>
        <v>51</v>
      </c>
      <c r="G651" s="8" t="s">
        <v>8</v>
      </c>
      <c r="H651" s="8" t="s">
        <v>9</v>
      </c>
      <c r="I651" s="8" t="s">
        <v>56</v>
      </c>
      <c r="J651" s="8">
        <v>9</v>
      </c>
      <c r="K651" s="8">
        <f t="shared" si="155"/>
        <v>9</v>
      </c>
      <c r="L651" s="8">
        <v>40</v>
      </c>
      <c r="M651" s="9">
        <f t="shared" si="156"/>
        <v>40</v>
      </c>
      <c r="O651" s="10">
        <f t="shared" si="157"/>
        <v>2.5125695216907653</v>
      </c>
      <c r="P651" s="8" t="s">
        <v>2050</v>
      </c>
      <c r="Q651" s="8">
        <v>60</v>
      </c>
      <c r="R651" s="12">
        <v>0.6</v>
      </c>
      <c r="S651" s="12">
        <f t="shared" si="158"/>
        <v>0.6</v>
      </c>
    </row>
    <row r="652" spans="1:19" x14ac:dyDescent="0.35">
      <c r="A652" s="8" t="s">
        <v>1328</v>
      </c>
      <c r="B652" s="8" t="s">
        <v>1329</v>
      </c>
      <c r="C652" s="8" t="s">
        <v>41</v>
      </c>
      <c r="D652" s="8" t="str">
        <f t="shared" si="150"/>
        <v>Male</v>
      </c>
      <c r="E652" s="8">
        <v>51</v>
      </c>
      <c r="F652" s="8">
        <f t="shared" si="154"/>
        <v>51</v>
      </c>
      <c r="G652" s="8" t="s">
        <v>46</v>
      </c>
      <c r="H652" s="8" t="s">
        <v>9</v>
      </c>
      <c r="I652" s="8" t="s">
        <v>27</v>
      </c>
      <c r="J652" s="8">
        <v>12</v>
      </c>
      <c r="K652" s="8">
        <f t="shared" si="155"/>
        <v>12</v>
      </c>
      <c r="L652" s="8">
        <v>20</v>
      </c>
      <c r="M652" s="9">
        <f t="shared" si="156"/>
        <v>20</v>
      </c>
      <c r="N652" s="8">
        <v>4</v>
      </c>
      <c r="O652" s="10">
        <f t="shared" si="157"/>
        <v>4</v>
      </c>
      <c r="P652" s="8" t="s">
        <v>2050</v>
      </c>
      <c r="Q652" s="8">
        <v>93</v>
      </c>
      <c r="R652" s="12">
        <v>0.93</v>
      </c>
      <c r="S652" s="12">
        <f t="shared" si="158"/>
        <v>0.93</v>
      </c>
    </row>
    <row r="653" spans="1:19" x14ac:dyDescent="0.35">
      <c r="A653" s="8" t="s">
        <v>1330</v>
      </c>
      <c r="B653" s="8" t="s">
        <v>1331</v>
      </c>
      <c r="C653" s="8" t="s">
        <v>30</v>
      </c>
      <c r="D653" s="8" t="str">
        <f t="shared" si="150"/>
        <v>Male</v>
      </c>
      <c r="E653" s="8">
        <v>27</v>
      </c>
      <c r="F653" s="8">
        <f t="shared" si="154"/>
        <v>27</v>
      </c>
      <c r="G653" s="8" t="s">
        <v>46</v>
      </c>
      <c r="H653" s="8" t="s">
        <v>9</v>
      </c>
      <c r="I653" s="8" t="s">
        <v>27</v>
      </c>
      <c r="J653" s="8">
        <v>3</v>
      </c>
      <c r="K653" s="8">
        <f t="shared" si="155"/>
        <v>3</v>
      </c>
      <c r="L653" s="8">
        <v>50</v>
      </c>
      <c r="M653" s="9">
        <f t="shared" si="156"/>
        <v>50</v>
      </c>
      <c r="O653" s="10">
        <f t="shared" si="157"/>
        <v>2.5125695216907653</v>
      </c>
      <c r="P653" s="8" t="s">
        <v>2050</v>
      </c>
      <c r="Q653" s="13"/>
      <c r="S653" s="12">
        <f t="shared" si="158"/>
        <v>0.79269417475728277</v>
      </c>
    </row>
    <row r="654" spans="1:19" x14ac:dyDescent="0.35">
      <c r="A654" s="8" t="s">
        <v>1332</v>
      </c>
      <c r="B654" s="8" t="s">
        <v>1333</v>
      </c>
      <c r="C654" s="8" t="s">
        <v>41</v>
      </c>
      <c r="D654" s="8" t="str">
        <f t="shared" si="150"/>
        <v>Male</v>
      </c>
      <c r="E654" s="8">
        <v>42</v>
      </c>
      <c r="F654" s="8">
        <f t="shared" si="154"/>
        <v>42</v>
      </c>
      <c r="G654" s="8" t="s">
        <v>162</v>
      </c>
      <c r="H654" s="8" t="s">
        <v>51</v>
      </c>
      <c r="I654" s="8" t="s">
        <v>20</v>
      </c>
      <c r="J654" s="8">
        <v>13</v>
      </c>
      <c r="K654" s="8">
        <f t="shared" si="155"/>
        <v>13</v>
      </c>
      <c r="L654" s="8">
        <v>30</v>
      </c>
      <c r="M654" s="9">
        <f t="shared" si="156"/>
        <v>30</v>
      </c>
      <c r="N654" s="8">
        <v>0</v>
      </c>
      <c r="O654" s="11">
        <f t="shared" si="157"/>
        <v>0</v>
      </c>
      <c r="P654" s="8" t="s">
        <v>2050</v>
      </c>
      <c r="Q654" s="14">
        <v>0.74</v>
      </c>
      <c r="R654" s="12">
        <f>Q654</f>
        <v>0.74</v>
      </c>
      <c r="S654" s="12">
        <f t="shared" si="158"/>
        <v>0.74</v>
      </c>
    </row>
    <row r="655" spans="1:19" x14ac:dyDescent="0.35">
      <c r="A655" s="8" t="s">
        <v>1334</v>
      </c>
      <c r="B655" s="8" t="s">
        <v>1335</v>
      </c>
      <c r="C655" s="8" t="s">
        <v>41</v>
      </c>
      <c r="D655" s="8" t="str">
        <f t="shared" si="150"/>
        <v>Male</v>
      </c>
      <c r="E655" s="8">
        <v>25</v>
      </c>
      <c r="F655" s="8">
        <f t="shared" si="154"/>
        <v>25</v>
      </c>
      <c r="G655" s="8" t="s">
        <v>14</v>
      </c>
      <c r="H655" s="8" t="s">
        <v>15</v>
      </c>
      <c r="I655" s="8" t="s">
        <v>52</v>
      </c>
      <c r="J655" s="8">
        <v>4</v>
      </c>
      <c r="K655" s="8">
        <f t="shared" si="155"/>
        <v>4</v>
      </c>
      <c r="L655" s="8">
        <v>40</v>
      </c>
      <c r="M655" s="9">
        <f t="shared" si="156"/>
        <v>40</v>
      </c>
      <c r="N655" s="8">
        <v>2.2999999999999998</v>
      </c>
      <c r="O655" s="10">
        <f t="shared" si="157"/>
        <v>2.2999999999999998</v>
      </c>
      <c r="P655" s="8" t="s">
        <v>2051</v>
      </c>
      <c r="Q655" s="8">
        <v>73</v>
      </c>
      <c r="R655" s="12">
        <v>0.73</v>
      </c>
      <c r="S655" s="12">
        <f t="shared" si="158"/>
        <v>0.73</v>
      </c>
    </row>
    <row r="656" spans="1:19" x14ac:dyDescent="0.35">
      <c r="A656" s="8" t="s">
        <v>1336</v>
      </c>
      <c r="B656" s="8" t="s">
        <v>1337</v>
      </c>
      <c r="C656" s="8" t="s">
        <v>55</v>
      </c>
      <c r="D656" s="8" t="str">
        <f t="shared" si="150"/>
        <v>Female</v>
      </c>
      <c r="E656" s="8">
        <v>32</v>
      </c>
      <c r="F656" s="8">
        <f t="shared" si="154"/>
        <v>32</v>
      </c>
      <c r="G656" s="8" t="s">
        <v>14</v>
      </c>
      <c r="H656" s="8" t="s">
        <v>15</v>
      </c>
      <c r="I656" s="8" t="s">
        <v>33</v>
      </c>
      <c r="J656" s="8">
        <v>9</v>
      </c>
      <c r="K656" s="8">
        <f t="shared" si="155"/>
        <v>9</v>
      </c>
      <c r="L656" s="8">
        <v>75</v>
      </c>
      <c r="M656" s="9">
        <f t="shared" si="156"/>
        <v>75</v>
      </c>
      <c r="O656" s="10">
        <f t="shared" si="157"/>
        <v>2.5125695216907653</v>
      </c>
      <c r="P656" s="8" t="s">
        <v>2050</v>
      </c>
      <c r="Q656" s="14">
        <v>0.96</v>
      </c>
      <c r="R656" s="12">
        <f t="shared" ref="R656:R661" si="160">Q656</f>
        <v>0.96</v>
      </c>
      <c r="S656" s="12">
        <f t="shared" si="158"/>
        <v>0.96</v>
      </c>
    </row>
    <row r="657" spans="1:19" x14ac:dyDescent="0.35">
      <c r="A657" s="8" t="s">
        <v>1338</v>
      </c>
      <c r="B657" s="8" t="s">
        <v>1339</v>
      </c>
      <c r="C657" s="8" t="s">
        <v>22</v>
      </c>
      <c r="D657" s="8" t="str">
        <f t="shared" si="150"/>
        <v>Female</v>
      </c>
      <c r="E657" s="8">
        <v>59</v>
      </c>
      <c r="F657" s="8">
        <f t="shared" si="154"/>
        <v>59</v>
      </c>
      <c r="G657" s="8" t="s">
        <v>103</v>
      </c>
      <c r="H657" s="8" t="s">
        <v>9</v>
      </c>
      <c r="I657" s="8" t="s">
        <v>16</v>
      </c>
      <c r="J657" s="8">
        <v>14</v>
      </c>
      <c r="K657" s="8">
        <f t="shared" si="155"/>
        <v>14</v>
      </c>
      <c r="L657" s="8">
        <v>30</v>
      </c>
      <c r="M657" s="9">
        <f t="shared" si="156"/>
        <v>30</v>
      </c>
      <c r="N657" s="8">
        <v>3.8</v>
      </c>
      <c r="O657" s="10">
        <f t="shared" si="157"/>
        <v>3.8</v>
      </c>
      <c r="P657" s="13" t="s">
        <v>2050</v>
      </c>
      <c r="Q657" s="14">
        <v>0.66</v>
      </c>
      <c r="R657" s="12">
        <f t="shared" si="160"/>
        <v>0.66</v>
      </c>
      <c r="S657" s="12">
        <f t="shared" si="158"/>
        <v>0.66</v>
      </c>
    </row>
    <row r="658" spans="1:19" x14ac:dyDescent="0.35">
      <c r="A658" s="8" t="s">
        <v>1340</v>
      </c>
      <c r="B658" s="8" t="s">
        <v>1341</v>
      </c>
      <c r="C658" s="8" t="s">
        <v>7</v>
      </c>
      <c r="D658" s="8" t="str">
        <f t="shared" si="150"/>
        <v>Female</v>
      </c>
      <c r="E658" s="8">
        <v>59</v>
      </c>
      <c r="F658" s="8">
        <f t="shared" si="154"/>
        <v>59</v>
      </c>
      <c r="G658" s="8" t="s">
        <v>110</v>
      </c>
      <c r="H658" s="8" t="s">
        <v>111</v>
      </c>
      <c r="I658" s="8" t="s">
        <v>56</v>
      </c>
      <c r="J658" s="8">
        <v>37</v>
      </c>
      <c r="K658" s="8">
        <f t="shared" si="155"/>
        <v>37</v>
      </c>
      <c r="L658" s="8">
        <v>30</v>
      </c>
      <c r="M658" s="9">
        <f t="shared" si="156"/>
        <v>30</v>
      </c>
      <c r="N658" s="8">
        <v>4</v>
      </c>
      <c r="O658" s="10">
        <f t="shared" si="157"/>
        <v>4</v>
      </c>
      <c r="P658" s="8" t="s">
        <v>2050</v>
      </c>
      <c r="Q658" s="14">
        <v>0.62</v>
      </c>
      <c r="R658" s="12">
        <f t="shared" si="160"/>
        <v>0.62</v>
      </c>
      <c r="S658" s="12">
        <f t="shared" si="158"/>
        <v>0.62</v>
      </c>
    </row>
    <row r="659" spans="1:19" x14ac:dyDescent="0.35">
      <c r="A659" s="8" t="s">
        <v>1342</v>
      </c>
      <c r="B659" s="8" t="s">
        <v>1343</v>
      </c>
      <c r="C659" s="8" t="s">
        <v>75</v>
      </c>
      <c r="D659" s="8" t="str">
        <f t="shared" si="150"/>
        <v>Male</v>
      </c>
      <c r="E659" s="8">
        <v>29</v>
      </c>
      <c r="F659" s="8">
        <f t="shared" si="154"/>
        <v>29</v>
      </c>
      <c r="G659" s="8" t="s">
        <v>14</v>
      </c>
      <c r="H659" s="8" t="s">
        <v>15</v>
      </c>
      <c r="I659" s="8" t="s">
        <v>16</v>
      </c>
      <c r="J659" s="8">
        <v>2</v>
      </c>
      <c r="K659" s="8">
        <f t="shared" si="155"/>
        <v>2</v>
      </c>
      <c r="L659" s="8">
        <v>75</v>
      </c>
      <c r="M659" s="9">
        <f t="shared" si="156"/>
        <v>75</v>
      </c>
      <c r="N659" s="8">
        <v>2.2000000000000002</v>
      </c>
      <c r="O659" s="10">
        <f t="shared" si="157"/>
        <v>2.2000000000000002</v>
      </c>
      <c r="P659" s="8" t="s">
        <v>2051</v>
      </c>
      <c r="Q659" s="14">
        <v>0.85</v>
      </c>
      <c r="R659" s="12">
        <f t="shared" si="160"/>
        <v>0.85</v>
      </c>
      <c r="S659" s="12">
        <f t="shared" si="158"/>
        <v>0.85</v>
      </c>
    </row>
    <row r="660" spans="1:19" x14ac:dyDescent="0.35">
      <c r="A660" s="8" t="s">
        <v>1344</v>
      </c>
      <c r="B660" s="8" t="s">
        <v>1345</v>
      </c>
      <c r="C660" s="8" t="s">
        <v>41</v>
      </c>
      <c r="D660" s="8" t="str">
        <f t="shared" si="150"/>
        <v>Male</v>
      </c>
      <c r="E660" s="8">
        <v>58</v>
      </c>
      <c r="F660" s="8">
        <f t="shared" si="154"/>
        <v>58</v>
      </c>
      <c r="G660" s="8" t="s">
        <v>147</v>
      </c>
      <c r="H660" s="8" t="s">
        <v>148</v>
      </c>
      <c r="I660" s="8" t="s">
        <v>27</v>
      </c>
      <c r="J660" s="8">
        <v>11</v>
      </c>
      <c r="K660" s="8">
        <f t="shared" si="155"/>
        <v>11</v>
      </c>
      <c r="L660" s="8">
        <v>100</v>
      </c>
      <c r="M660" s="9">
        <f t="shared" si="156"/>
        <v>100</v>
      </c>
      <c r="N660" s="8">
        <v>4.3</v>
      </c>
      <c r="O660" s="10">
        <f t="shared" si="157"/>
        <v>4.3</v>
      </c>
      <c r="P660" s="8" t="s">
        <v>2050</v>
      </c>
      <c r="Q660" s="14">
        <v>0.66</v>
      </c>
      <c r="R660" s="12">
        <f t="shared" si="160"/>
        <v>0.66</v>
      </c>
      <c r="S660" s="12">
        <f t="shared" si="158"/>
        <v>0.66</v>
      </c>
    </row>
    <row r="661" spans="1:19" x14ac:dyDescent="0.35">
      <c r="A661" s="8" t="s">
        <v>1346</v>
      </c>
      <c r="B661" s="8" t="s">
        <v>1347</v>
      </c>
      <c r="C661" s="8" t="s">
        <v>1</v>
      </c>
      <c r="D661" s="8" t="str">
        <f t="shared" si="150"/>
        <v>Female</v>
      </c>
      <c r="E661" s="8">
        <v>56</v>
      </c>
      <c r="F661" s="8">
        <f t="shared" si="154"/>
        <v>56</v>
      </c>
      <c r="G661" s="8" t="s">
        <v>103</v>
      </c>
      <c r="H661" s="8" t="s">
        <v>9</v>
      </c>
      <c r="I661" s="8" t="s">
        <v>56</v>
      </c>
      <c r="J661" s="8">
        <v>19</v>
      </c>
      <c r="K661" s="8">
        <f t="shared" si="155"/>
        <v>19</v>
      </c>
      <c r="L661" s="8">
        <v>20</v>
      </c>
      <c r="M661" s="9">
        <f t="shared" si="156"/>
        <v>20</v>
      </c>
      <c r="N661" s="8">
        <v>0</v>
      </c>
      <c r="O661" s="11">
        <f t="shared" si="157"/>
        <v>0</v>
      </c>
      <c r="P661" s="8" t="s">
        <v>2050</v>
      </c>
      <c r="Q661" s="14">
        <v>0.87</v>
      </c>
      <c r="R661" s="12">
        <f t="shared" si="160"/>
        <v>0.87</v>
      </c>
      <c r="S661" s="12">
        <f t="shared" si="158"/>
        <v>0.87</v>
      </c>
    </row>
    <row r="662" spans="1:19" x14ac:dyDescent="0.35">
      <c r="A662" s="8" t="s">
        <v>1348</v>
      </c>
      <c r="B662" s="8" t="s">
        <v>1349</v>
      </c>
      <c r="C662" s="8" t="s">
        <v>19</v>
      </c>
      <c r="D662" s="8" t="str">
        <f t="shared" si="150"/>
        <v>Female</v>
      </c>
      <c r="E662" s="8">
        <v>36</v>
      </c>
      <c r="F662" s="8">
        <f t="shared" si="154"/>
        <v>36</v>
      </c>
      <c r="G662" s="8" t="s">
        <v>38</v>
      </c>
      <c r="H662" s="8" t="s">
        <v>9</v>
      </c>
      <c r="I662" s="8" t="s">
        <v>90</v>
      </c>
      <c r="J662" s="8">
        <v>9</v>
      </c>
      <c r="K662" s="8">
        <f t="shared" si="155"/>
        <v>9</v>
      </c>
      <c r="L662" s="8">
        <v>20</v>
      </c>
      <c r="M662" s="9">
        <f t="shared" si="156"/>
        <v>20</v>
      </c>
      <c r="N662" s="8">
        <v>0</v>
      </c>
      <c r="O662" s="11">
        <f t="shared" si="157"/>
        <v>0</v>
      </c>
      <c r="P662" s="8" t="s">
        <v>2051</v>
      </c>
      <c r="Q662" s="8">
        <v>68</v>
      </c>
      <c r="R662" s="12">
        <v>0.68</v>
      </c>
      <c r="S662" s="12">
        <f t="shared" si="158"/>
        <v>0.68</v>
      </c>
    </row>
    <row r="663" spans="1:19" x14ac:dyDescent="0.35">
      <c r="A663" s="8" t="s">
        <v>1350</v>
      </c>
      <c r="B663" s="8" t="s">
        <v>1351</v>
      </c>
      <c r="C663" s="8" t="s">
        <v>55</v>
      </c>
      <c r="D663" s="8" t="str">
        <f t="shared" si="150"/>
        <v>Female</v>
      </c>
      <c r="E663" s="8">
        <v>52</v>
      </c>
      <c r="F663" s="8">
        <f t="shared" si="154"/>
        <v>52</v>
      </c>
      <c r="G663" s="8" t="s">
        <v>103</v>
      </c>
      <c r="H663" s="8" t="s">
        <v>9</v>
      </c>
      <c r="I663" s="8" t="s">
        <v>52</v>
      </c>
      <c r="J663" s="8">
        <v>16</v>
      </c>
      <c r="K663" s="8">
        <f t="shared" si="155"/>
        <v>16</v>
      </c>
      <c r="L663" s="8">
        <v>100</v>
      </c>
      <c r="M663" s="9">
        <f t="shared" si="156"/>
        <v>100</v>
      </c>
      <c r="N663" s="8">
        <v>4</v>
      </c>
      <c r="O663" s="10">
        <f t="shared" si="157"/>
        <v>4</v>
      </c>
      <c r="P663" s="8" t="s">
        <v>2051</v>
      </c>
      <c r="Q663" s="13"/>
      <c r="S663" s="12">
        <f t="shared" si="158"/>
        <v>0.79269417475728277</v>
      </c>
    </row>
    <row r="664" spans="1:19" x14ac:dyDescent="0.35">
      <c r="A664" s="8" t="s">
        <v>1352</v>
      </c>
      <c r="B664" s="8" t="s">
        <v>1353</v>
      </c>
      <c r="C664" s="8" t="s">
        <v>55</v>
      </c>
      <c r="D664" s="8" t="str">
        <f t="shared" si="150"/>
        <v>Female</v>
      </c>
      <c r="E664" s="8">
        <v>42</v>
      </c>
      <c r="F664" s="8">
        <f t="shared" si="154"/>
        <v>42</v>
      </c>
      <c r="G664" s="8" t="s">
        <v>25</v>
      </c>
      <c r="H664" s="8" t="s">
        <v>26</v>
      </c>
      <c r="I664" s="8" t="s">
        <v>10</v>
      </c>
      <c r="J664" s="8">
        <v>8</v>
      </c>
      <c r="K664" s="8">
        <f t="shared" si="155"/>
        <v>8</v>
      </c>
      <c r="L664" s="8">
        <v>50</v>
      </c>
      <c r="M664" s="9">
        <f t="shared" si="156"/>
        <v>50</v>
      </c>
      <c r="O664" s="10">
        <f t="shared" si="157"/>
        <v>2.5125695216907653</v>
      </c>
      <c r="P664" s="13" t="s">
        <v>2050</v>
      </c>
      <c r="Q664" s="13"/>
      <c r="S664" s="12">
        <f t="shared" si="158"/>
        <v>0.79269417475728277</v>
      </c>
    </row>
    <row r="665" spans="1:19" x14ac:dyDescent="0.35">
      <c r="A665" s="8" t="s">
        <v>1354</v>
      </c>
      <c r="B665" s="8" t="s">
        <v>1355</v>
      </c>
      <c r="C665" s="8" t="s">
        <v>7</v>
      </c>
      <c r="D665" s="8" t="str">
        <f t="shared" si="150"/>
        <v>Female</v>
      </c>
      <c r="E665" s="8">
        <v>59</v>
      </c>
      <c r="F665" s="8">
        <f t="shared" si="154"/>
        <v>59</v>
      </c>
      <c r="G665" s="8" t="s">
        <v>71</v>
      </c>
      <c r="H665" s="8" t="s">
        <v>72</v>
      </c>
      <c r="I665" s="8" t="s">
        <v>10</v>
      </c>
      <c r="J665" s="8">
        <v>34</v>
      </c>
      <c r="K665" s="8">
        <f t="shared" si="155"/>
        <v>34</v>
      </c>
      <c r="L665" s="8">
        <v>100</v>
      </c>
      <c r="M665" s="9">
        <f t="shared" si="156"/>
        <v>100</v>
      </c>
      <c r="N665" s="8">
        <v>2</v>
      </c>
      <c r="O665" s="10">
        <f t="shared" si="157"/>
        <v>2</v>
      </c>
      <c r="P665" s="8" t="s">
        <v>2051</v>
      </c>
      <c r="Q665" s="14">
        <v>0.79</v>
      </c>
      <c r="R665" s="12">
        <f t="shared" ref="R665:R667" si="161">Q665</f>
        <v>0.79</v>
      </c>
      <c r="S665" s="12">
        <f t="shared" si="158"/>
        <v>0.79</v>
      </c>
    </row>
    <row r="666" spans="1:19" x14ac:dyDescent="0.35">
      <c r="A666" s="8" t="s">
        <v>1356</v>
      </c>
      <c r="B666" s="8" t="s">
        <v>1357</v>
      </c>
      <c r="C666" s="8" t="s">
        <v>13</v>
      </c>
      <c r="D666" s="8" t="str">
        <f t="shared" si="150"/>
        <v>Male</v>
      </c>
      <c r="E666" s="8">
        <v>33</v>
      </c>
      <c r="F666" s="8">
        <f t="shared" si="154"/>
        <v>33</v>
      </c>
      <c r="G666" s="8" t="s">
        <v>25</v>
      </c>
      <c r="H666" s="8" t="s">
        <v>26</v>
      </c>
      <c r="I666" s="8" t="s">
        <v>10</v>
      </c>
      <c r="J666" s="8">
        <v>5</v>
      </c>
      <c r="K666" s="8">
        <f t="shared" si="155"/>
        <v>5</v>
      </c>
      <c r="L666" s="8">
        <v>50</v>
      </c>
      <c r="M666" s="9">
        <f t="shared" si="156"/>
        <v>50</v>
      </c>
      <c r="N666" s="8">
        <v>4.7</v>
      </c>
      <c r="O666" s="10">
        <f t="shared" si="157"/>
        <v>4.7</v>
      </c>
      <c r="P666" s="8" t="s">
        <v>2051</v>
      </c>
      <c r="Q666" s="14">
        <v>0.88</v>
      </c>
      <c r="R666" s="12">
        <f t="shared" si="161"/>
        <v>0.88</v>
      </c>
      <c r="S666" s="12">
        <f t="shared" si="158"/>
        <v>0.88</v>
      </c>
    </row>
    <row r="667" spans="1:19" x14ac:dyDescent="0.35">
      <c r="A667" s="8" t="s">
        <v>1358</v>
      </c>
      <c r="B667" s="8" t="s">
        <v>1359</v>
      </c>
      <c r="C667" s="8" t="s">
        <v>19</v>
      </c>
      <c r="D667" s="8" t="str">
        <f t="shared" si="150"/>
        <v>Female</v>
      </c>
      <c r="E667" s="8">
        <v>55</v>
      </c>
      <c r="F667" s="8">
        <f t="shared" si="154"/>
        <v>55</v>
      </c>
      <c r="G667" s="8" t="s">
        <v>103</v>
      </c>
      <c r="H667" s="8" t="s">
        <v>9</v>
      </c>
      <c r="I667" s="8" t="s">
        <v>20</v>
      </c>
      <c r="J667" s="8">
        <v>14</v>
      </c>
      <c r="K667" s="8">
        <f t="shared" si="155"/>
        <v>14</v>
      </c>
      <c r="L667" s="8">
        <v>50</v>
      </c>
      <c r="M667" s="9">
        <f t="shared" si="156"/>
        <v>50</v>
      </c>
      <c r="N667" s="8">
        <v>3.6</v>
      </c>
      <c r="O667" s="10">
        <f t="shared" si="157"/>
        <v>3.6</v>
      </c>
      <c r="P667" s="8" t="s">
        <v>2051</v>
      </c>
      <c r="Q667" s="14">
        <v>0.81</v>
      </c>
      <c r="R667" s="12">
        <f t="shared" si="161"/>
        <v>0.81</v>
      </c>
      <c r="S667" s="12">
        <f t="shared" si="158"/>
        <v>0.81</v>
      </c>
    </row>
    <row r="668" spans="1:19" x14ac:dyDescent="0.35">
      <c r="A668" s="8" t="s">
        <v>1360</v>
      </c>
      <c r="B668" s="8" t="s">
        <v>1361</v>
      </c>
      <c r="C668" s="8" t="s">
        <v>13</v>
      </c>
      <c r="D668" s="8" t="str">
        <f t="shared" si="150"/>
        <v>Male</v>
      </c>
      <c r="E668" s="8">
        <v>47</v>
      </c>
      <c r="F668" s="8">
        <f t="shared" si="154"/>
        <v>47</v>
      </c>
      <c r="G668" s="8" t="s">
        <v>88</v>
      </c>
      <c r="H668" s="8" t="s">
        <v>89</v>
      </c>
      <c r="I668" s="8" t="s">
        <v>52</v>
      </c>
      <c r="J668" s="8">
        <v>17</v>
      </c>
      <c r="K668" s="8">
        <f t="shared" si="155"/>
        <v>17</v>
      </c>
      <c r="L668" s="8">
        <v>50</v>
      </c>
      <c r="M668" s="9">
        <f t="shared" si="156"/>
        <v>50</v>
      </c>
      <c r="N668" s="8">
        <v>1.2</v>
      </c>
      <c r="O668" s="10">
        <f t="shared" si="157"/>
        <v>1.2</v>
      </c>
      <c r="P668" s="8" t="s">
        <v>2050</v>
      </c>
      <c r="Q668" s="13"/>
      <c r="S668" s="12">
        <f t="shared" si="158"/>
        <v>0.79269417475728277</v>
      </c>
    </row>
    <row r="669" spans="1:19" x14ac:dyDescent="0.35">
      <c r="A669" s="8" t="s">
        <v>1362</v>
      </c>
      <c r="B669" s="8" t="s">
        <v>1363</v>
      </c>
      <c r="C669" s="8" t="s">
        <v>7</v>
      </c>
      <c r="D669" s="8" t="str">
        <f t="shared" si="150"/>
        <v>Female</v>
      </c>
      <c r="E669" s="8">
        <v>29</v>
      </c>
      <c r="F669" s="8">
        <f t="shared" si="154"/>
        <v>29</v>
      </c>
      <c r="G669" s="8" t="s">
        <v>151</v>
      </c>
      <c r="H669" s="8" t="s">
        <v>51</v>
      </c>
      <c r="I669" s="8" t="s">
        <v>27</v>
      </c>
      <c r="J669" s="8">
        <v>10</v>
      </c>
      <c r="K669" s="8">
        <f t="shared" si="155"/>
        <v>10</v>
      </c>
      <c r="L669" s="13"/>
      <c r="M669" s="9">
        <f t="shared" si="156"/>
        <v>40</v>
      </c>
      <c r="N669" s="8">
        <v>4.4000000000000004</v>
      </c>
      <c r="O669" s="10">
        <f t="shared" si="157"/>
        <v>4.4000000000000004</v>
      </c>
      <c r="P669" s="8" t="s">
        <v>2051</v>
      </c>
      <c r="Q669" s="14">
        <v>0.67</v>
      </c>
      <c r="R669" s="12">
        <f>Q669</f>
        <v>0.67</v>
      </c>
      <c r="S669" s="12">
        <f t="shared" si="158"/>
        <v>0.67</v>
      </c>
    </row>
    <row r="670" spans="1:19" x14ac:dyDescent="0.35">
      <c r="A670" s="8" t="s">
        <v>1364</v>
      </c>
      <c r="B670" s="8" t="s">
        <v>1365</v>
      </c>
      <c r="C670" s="8" t="s">
        <v>55</v>
      </c>
      <c r="D670" s="8" t="str">
        <f t="shared" si="150"/>
        <v>Female</v>
      </c>
      <c r="E670" s="8">
        <v>30</v>
      </c>
      <c r="F670" s="8">
        <f t="shared" si="154"/>
        <v>30</v>
      </c>
      <c r="G670" s="8" t="s">
        <v>46</v>
      </c>
      <c r="H670" s="8" t="s">
        <v>9</v>
      </c>
      <c r="I670" s="8" t="s">
        <v>67</v>
      </c>
      <c r="J670" s="8">
        <v>8</v>
      </c>
      <c r="K670" s="8">
        <f t="shared" si="155"/>
        <v>8</v>
      </c>
      <c r="L670" s="8">
        <v>100</v>
      </c>
      <c r="M670" s="9">
        <f t="shared" si="156"/>
        <v>100</v>
      </c>
      <c r="N670" s="8">
        <v>1.4</v>
      </c>
      <c r="O670" s="10">
        <f t="shared" si="157"/>
        <v>1.4</v>
      </c>
      <c r="P670" s="8" t="s">
        <v>2051</v>
      </c>
      <c r="Q670" s="8">
        <v>62</v>
      </c>
      <c r="R670" s="12">
        <v>0.62</v>
      </c>
      <c r="S670" s="12">
        <f t="shared" si="158"/>
        <v>0.62</v>
      </c>
    </row>
    <row r="671" spans="1:19" x14ac:dyDescent="0.35">
      <c r="A671" s="8" t="s">
        <v>1366</v>
      </c>
      <c r="B671" s="8" t="s">
        <v>1367</v>
      </c>
      <c r="C671" s="8" t="s">
        <v>7</v>
      </c>
      <c r="D671" s="8" t="str">
        <f t="shared" si="150"/>
        <v>Female</v>
      </c>
      <c r="E671" s="8">
        <v>25</v>
      </c>
      <c r="F671" s="8">
        <f t="shared" si="154"/>
        <v>25</v>
      </c>
      <c r="G671" s="8" t="s">
        <v>103</v>
      </c>
      <c r="H671" s="8" t="s">
        <v>9</v>
      </c>
      <c r="I671" s="8" t="s">
        <v>67</v>
      </c>
      <c r="J671" s="8">
        <v>1</v>
      </c>
      <c r="K671" s="8">
        <f t="shared" si="155"/>
        <v>1</v>
      </c>
      <c r="L671" s="8">
        <v>30</v>
      </c>
      <c r="M671" s="9">
        <f t="shared" si="156"/>
        <v>30</v>
      </c>
      <c r="N671" s="8">
        <v>3.2</v>
      </c>
      <c r="O671" s="10">
        <f t="shared" si="157"/>
        <v>3.2</v>
      </c>
      <c r="P671" s="8" t="s">
        <v>2050</v>
      </c>
      <c r="Q671" s="14">
        <v>0.87</v>
      </c>
      <c r="R671" s="12">
        <f t="shared" ref="R671:R674" si="162">Q671</f>
        <v>0.87</v>
      </c>
      <c r="S671" s="12">
        <f t="shared" si="158"/>
        <v>0.87</v>
      </c>
    </row>
    <row r="672" spans="1:19" x14ac:dyDescent="0.35">
      <c r="A672" s="8" t="s">
        <v>1368</v>
      </c>
      <c r="B672" s="8" t="s">
        <v>1369</v>
      </c>
      <c r="C672" s="8" t="s">
        <v>22</v>
      </c>
      <c r="D672" s="8" t="str">
        <f t="shared" si="150"/>
        <v>Female</v>
      </c>
      <c r="E672" s="8">
        <v>28</v>
      </c>
      <c r="F672" s="8">
        <f t="shared" si="154"/>
        <v>28</v>
      </c>
      <c r="G672" s="8" t="s">
        <v>114</v>
      </c>
      <c r="H672" s="8" t="s">
        <v>115</v>
      </c>
      <c r="I672" s="8" t="s">
        <v>56</v>
      </c>
      <c r="J672" s="8">
        <v>10</v>
      </c>
      <c r="K672" s="8">
        <f t="shared" si="155"/>
        <v>10</v>
      </c>
      <c r="L672" s="13"/>
      <c r="M672" s="9">
        <f t="shared" si="156"/>
        <v>40</v>
      </c>
      <c r="N672" s="8">
        <v>3.8</v>
      </c>
      <c r="O672" s="10">
        <f t="shared" si="157"/>
        <v>3.8</v>
      </c>
      <c r="P672" s="8" t="s">
        <v>2051</v>
      </c>
      <c r="Q672" s="14">
        <v>0.98</v>
      </c>
      <c r="R672" s="12">
        <f t="shared" si="162"/>
        <v>0.98</v>
      </c>
      <c r="S672" s="12">
        <f t="shared" si="158"/>
        <v>0.98</v>
      </c>
    </row>
    <row r="673" spans="1:19" x14ac:dyDescent="0.35">
      <c r="A673" s="8" t="s">
        <v>1370</v>
      </c>
      <c r="B673" s="8" t="s">
        <v>1371</v>
      </c>
      <c r="C673" s="8" t="s">
        <v>13</v>
      </c>
      <c r="D673" s="8" t="str">
        <f t="shared" si="150"/>
        <v>Male</v>
      </c>
      <c r="E673" s="8">
        <v>29</v>
      </c>
      <c r="F673" s="8">
        <f t="shared" si="154"/>
        <v>29</v>
      </c>
      <c r="G673" s="8" t="s">
        <v>88</v>
      </c>
      <c r="H673" s="8" t="s">
        <v>89</v>
      </c>
      <c r="I673" s="8" t="s">
        <v>4</v>
      </c>
      <c r="J673" s="8">
        <v>0</v>
      </c>
      <c r="K673" s="8">
        <f t="shared" si="155"/>
        <v>0</v>
      </c>
      <c r="L673" s="8">
        <v>75</v>
      </c>
      <c r="M673" s="9">
        <f t="shared" si="156"/>
        <v>75</v>
      </c>
      <c r="N673" s="8">
        <v>1.5</v>
      </c>
      <c r="O673" s="10">
        <f t="shared" si="157"/>
        <v>1.5</v>
      </c>
      <c r="P673" s="8" t="s">
        <v>2051</v>
      </c>
      <c r="Q673" s="14">
        <v>0.64</v>
      </c>
      <c r="R673" s="12">
        <f t="shared" si="162"/>
        <v>0.64</v>
      </c>
      <c r="S673" s="12">
        <f t="shared" si="158"/>
        <v>0.64</v>
      </c>
    </row>
    <row r="674" spans="1:19" x14ac:dyDescent="0.35">
      <c r="A674" s="8" t="s">
        <v>1372</v>
      </c>
      <c r="B674" s="8" t="s">
        <v>1373</v>
      </c>
      <c r="C674" s="8" t="s">
        <v>75</v>
      </c>
      <c r="D674" s="8" t="str">
        <f t="shared" si="150"/>
        <v>Male</v>
      </c>
      <c r="E674" s="8">
        <v>30</v>
      </c>
      <c r="F674" s="8">
        <f t="shared" si="154"/>
        <v>30</v>
      </c>
      <c r="G674" s="8" t="s">
        <v>162</v>
      </c>
      <c r="H674" s="8" t="s">
        <v>51</v>
      </c>
      <c r="I674" s="8" t="s">
        <v>16</v>
      </c>
      <c r="J674" s="8">
        <v>4</v>
      </c>
      <c r="K674" s="8">
        <f t="shared" si="155"/>
        <v>4</v>
      </c>
      <c r="L674" s="13"/>
      <c r="M674" s="9">
        <f t="shared" si="156"/>
        <v>40</v>
      </c>
      <c r="N674" s="8">
        <v>2.8</v>
      </c>
      <c r="O674" s="10">
        <f t="shared" si="157"/>
        <v>2.8</v>
      </c>
      <c r="P674" s="8" t="s">
        <v>2051</v>
      </c>
      <c r="Q674" s="14">
        <v>0.71</v>
      </c>
      <c r="R674" s="12">
        <f t="shared" si="162"/>
        <v>0.71</v>
      </c>
      <c r="S674" s="12">
        <f t="shared" si="158"/>
        <v>0.71</v>
      </c>
    </row>
    <row r="675" spans="1:19" x14ac:dyDescent="0.35">
      <c r="A675" s="8" t="s">
        <v>1374</v>
      </c>
      <c r="B675" s="8" t="s">
        <v>1375</v>
      </c>
      <c r="C675" s="8" t="s">
        <v>13</v>
      </c>
      <c r="D675" s="8" t="str">
        <f t="shared" si="150"/>
        <v>Male</v>
      </c>
      <c r="E675" s="8">
        <v>47</v>
      </c>
      <c r="F675" s="8">
        <f t="shared" si="154"/>
        <v>47</v>
      </c>
      <c r="G675" s="8" t="s">
        <v>114</v>
      </c>
      <c r="H675" s="8" t="s">
        <v>115</v>
      </c>
      <c r="I675" s="8" t="s">
        <v>27</v>
      </c>
      <c r="J675" s="8">
        <v>2</v>
      </c>
      <c r="K675" s="8">
        <f t="shared" si="155"/>
        <v>2</v>
      </c>
      <c r="L675" s="8">
        <v>50</v>
      </c>
      <c r="M675" s="9">
        <f t="shared" si="156"/>
        <v>50</v>
      </c>
      <c r="N675" s="8">
        <v>2.7</v>
      </c>
      <c r="O675" s="10">
        <f t="shared" si="157"/>
        <v>2.7</v>
      </c>
      <c r="P675" s="8" t="s">
        <v>2050</v>
      </c>
      <c r="Q675" s="8">
        <v>96</v>
      </c>
      <c r="R675" s="12">
        <v>0.96</v>
      </c>
      <c r="S675" s="12">
        <f t="shared" si="158"/>
        <v>0.96</v>
      </c>
    </row>
    <row r="676" spans="1:19" x14ac:dyDescent="0.35">
      <c r="A676" s="8" t="s">
        <v>1376</v>
      </c>
      <c r="B676" s="8" t="s">
        <v>1377</v>
      </c>
      <c r="C676" s="8" t="s">
        <v>41</v>
      </c>
      <c r="D676" s="8" t="str">
        <f t="shared" si="150"/>
        <v>Male</v>
      </c>
      <c r="E676" s="8">
        <v>34</v>
      </c>
      <c r="F676" s="8">
        <f t="shared" si="154"/>
        <v>34</v>
      </c>
      <c r="G676" s="8" t="s">
        <v>8</v>
      </c>
      <c r="H676" s="8" t="s">
        <v>9</v>
      </c>
      <c r="I676" s="8" t="s">
        <v>4</v>
      </c>
      <c r="J676" s="8">
        <v>10</v>
      </c>
      <c r="K676" s="8">
        <f t="shared" si="155"/>
        <v>10</v>
      </c>
      <c r="L676" s="8">
        <v>30</v>
      </c>
      <c r="M676" s="9">
        <f t="shared" si="156"/>
        <v>30</v>
      </c>
      <c r="N676" s="8">
        <v>3.9</v>
      </c>
      <c r="O676" s="10">
        <f t="shared" si="157"/>
        <v>3.9</v>
      </c>
      <c r="P676" s="13" t="s">
        <v>2050</v>
      </c>
      <c r="Q676" s="13"/>
      <c r="S676" s="12">
        <f t="shared" si="158"/>
        <v>0.79269417475728277</v>
      </c>
    </row>
    <row r="677" spans="1:19" x14ac:dyDescent="0.35">
      <c r="A677" s="8" t="s">
        <v>1378</v>
      </c>
      <c r="B677" s="8" t="s">
        <v>1379</v>
      </c>
      <c r="C677" s="8" t="s">
        <v>70</v>
      </c>
      <c r="D677" s="8" t="str">
        <f t="shared" si="150"/>
        <v>Male</v>
      </c>
      <c r="E677" s="8">
        <v>45</v>
      </c>
      <c r="F677" s="8">
        <f t="shared" si="154"/>
        <v>45</v>
      </c>
      <c r="G677" s="8" t="s">
        <v>38</v>
      </c>
      <c r="H677" s="8" t="s">
        <v>9</v>
      </c>
      <c r="I677" s="8" t="s">
        <v>16</v>
      </c>
      <c r="J677" s="8">
        <v>16</v>
      </c>
      <c r="K677" s="8">
        <f t="shared" si="155"/>
        <v>16</v>
      </c>
      <c r="L677" s="8">
        <v>100</v>
      </c>
      <c r="M677" s="9">
        <f t="shared" si="156"/>
        <v>100</v>
      </c>
      <c r="N677" s="8">
        <v>4.5999999999999996</v>
      </c>
      <c r="O677" s="10">
        <f t="shared" si="157"/>
        <v>4.5999999999999996</v>
      </c>
      <c r="P677" s="8" t="s">
        <v>2050</v>
      </c>
      <c r="Q677" s="14">
        <v>0.78</v>
      </c>
      <c r="R677" s="12">
        <f t="shared" ref="R677:R679" si="163">Q677</f>
        <v>0.78</v>
      </c>
      <c r="S677" s="12">
        <f t="shared" si="158"/>
        <v>0.78</v>
      </c>
    </row>
    <row r="678" spans="1:19" x14ac:dyDescent="0.35">
      <c r="A678" s="8" t="s">
        <v>1380</v>
      </c>
      <c r="B678" s="8" t="s">
        <v>1381</v>
      </c>
      <c r="C678" s="8" t="s">
        <v>19</v>
      </c>
      <c r="D678" s="8" t="str">
        <f t="shared" si="150"/>
        <v>Female</v>
      </c>
      <c r="E678" s="8">
        <v>56</v>
      </c>
      <c r="F678" s="8">
        <f t="shared" si="154"/>
        <v>56</v>
      </c>
      <c r="G678" s="8" t="s">
        <v>162</v>
      </c>
      <c r="H678" s="8" t="s">
        <v>51</v>
      </c>
      <c r="I678" s="8" t="s">
        <v>56</v>
      </c>
      <c r="J678" s="8">
        <v>27</v>
      </c>
      <c r="K678" s="8">
        <f t="shared" si="155"/>
        <v>27</v>
      </c>
      <c r="L678" s="8">
        <v>20</v>
      </c>
      <c r="M678" s="9">
        <f t="shared" si="156"/>
        <v>20</v>
      </c>
      <c r="N678" s="8">
        <v>2.2000000000000002</v>
      </c>
      <c r="O678" s="10">
        <f t="shared" si="157"/>
        <v>2.2000000000000002</v>
      </c>
      <c r="P678" s="8" t="s">
        <v>2050</v>
      </c>
      <c r="Q678" s="14">
        <v>0.7</v>
      </c>
      <c r="R678" s="12">
        <f t="shared" si="163"/>
        <v>0.7</v>
      </c>
      <c r="S678" s="12">
        <f t="shared" si="158"/>
        <v>0.7</v>
      </c>
    </row>
    <row r="679" spans="1:19" x14ac:dyDescent="0.35">
      <c r="A679" s="8" t="s">
        <v>1382</v>
      </c>
      <c r="B679" s="8" t="s">
        <v>1383</v>
      </c>
      <c r="C679" s="8" t="s">
        <v>22</v>
      </c>
      <c r="D679" s="8" t="str">
        <f t="shared" si="150"/>
        <v>Female</v>
      </c>
      <c r="E679" s="8">
        <v>49</v>
      </c>
      <c r="F679" s="8">
        <f t="shared" si="154"/>
        <v>49</v>
      </c>
      <c r="G679" s="8" t="s">
        <v>147</v>
      </c>
      <c r="H679" s="8" t="s">
        <v>148</v>
      </c>
      <c r="I679" s="8" t="s">
        <v>67</v>
      </c>
      <c r="J679" s="8">
        <v>20</v>
      </c>
      <c r="K679" s="8">
        <f t="shared" si="155"/>
        <v>20</v>
      </c>
      <c r="L679" s="8">
        <v>50</v>
      </c>
      <c r="M679" s="9">
        <f t="shared" si="156"/>
        <v>50</v>
      </c>
      <c r="N679" s="8">
        <v>2.5</v>
      </c>
      <c r="O679" s="10">
        <f t="shared" si="157"/>
        <v>2.5</v>
      </c>
      <c r="P679" s="8" t="s">
        <v>2050</v>
      </c>
      <c r="Q679" s="14">
        <v>0.82</v>
      </c>
      <c r="R679" s="12">
        <f t="shared" si="163"/>
        <v>0.82</v>
      </c>
      <c r="S679" s="12">
        <f t="shared" si="158"/>
        <v>0.82</v>
      </c>
    </row>
    <row r="680" spans="1:19" x14ac:dyDescent="0.35">
      <c r="A680" s="8" t="s">
        <v>1384</v>
      </c>
      <c r="B680" s="8" t="s">
        <v>1385</v>
      </c>
      <c r="C680" s="8" t="s">
        <v>41</v>
      </c>
      <c r="D680" s="8" t="str">
        <f t="shared" si="150"/>
        <v>Male</v>
      </c>
      <c r="E680" s="8">
        <v>48</v>
      </c>
      <c r="F680" s="8">
        <f t="shared" si="154"/>
        <v>48</v>
      </c>
      <c r="G680" s="8" t="s">
        <v>110</v>
      </c>
      <c r="H680" s="8" t="s">
        <v>111</v>
      </c>
      <c r="I680" s="8" t="s">
        <v>27</v>
      </c>
      <c r="J680" s="8">
        <v>10</v>
      </c>
      <c r="K680" s="8">
        <f t="shared" si="155"/>
        <v>10</v>
      </c>
      <c r="L680" s="13"/>
      <c r="M680" s="9">
        <f t="shared" si="156"/>
        <v>40</v>
      </c>
      <c r="N680" s="8">
        <v>3.1</v>
      </c>
      <c r="O680" s="10">
        <f t="shared" si="157"/>
        <v>3.1</v>
      </c>
      <c r="P680" s="8" t="s">
        <v>2050</v>
      </c>
      <c r="Q680" s="13"/>
      <c r="S680" s="12">
        <f t="shared" si="158"/>
        <v>0.79269417475728277</v>
      </c>
    </row>
    <row r="681" spans="1:19" x14ac:dyDescent="0.35">
      <c r="A681" s="8" t="s">
        <v>1386</v>
      </c>
      <c r="B681" s="8" t="s">
        <v>1387</v>
      </c>
      <c r="C681" s="8" t="s">
        <v>22</v>
      </c>
      <c r="D681" s="8" t="str">
        <f t="shared" si="150"/>
        <v>Female</v>
      </c>
      <c r="E681" s="8">
        <v>29</v>
      </c>
      <c r="F681" s="8">
        <f t="shared" si="154"/>
        <v>29</v>
      </c>
      <c r="G681" s="8" t="s">
        <v>88</v>
      </c>
      <c r="H681" s="8" t="s">
        <v>89</v>
      </c>
      <c r="I681" s="8" t="s">
        <v>16</v>
      </c>
      <c r="J681" s="8">
        <v>0</v>
      </c>
      <c r="K681" s="8">
        <f t="shared" si="155"/>
        <v>0</v>
      </c>
      <c r="L681" s="8">
        <v>20</v>
      </c>
      <c r="M681" s="9">
        <f t="shared" si="156"/>
        <v>20</v>
      </c>
      <c r="O681" s="10">
        <f t="shared" si="157"/>
        <v>2.5125695216907653</v>
      </c>
      <c r="P681" s="8" t="s">
        <v>2051</v>
      </c>
      <c r="Q681" s="14">
        <v>0.99</v>
      </c>
      <c r="R681" s="12">
        <f t="shared" ref="R681:R683" si="164">Q681</f>
        <v>0.99</v>
      </c>
      <c r="S681" s="12">
        <f t="shared" si="158"/>
        <v>0.99</v>
      </c>
    </row>
    <row r="682" spans="1:19" x14ac:dyDescent="0.35">
      <c r="A682" s="8" t="s">
        <v>1388</v>
      </c>
      <c r="B682" s="8" t="s">
        <v>1389</v>
      </c>
      <c r="C682" s="8" t="s">
        <v>55</v>
      </c>
      <c r="D682" s="8" t="str">
        <f t="shared" ref="D682:D745" si="165">IF(LEFT(C682,1)="f","Female","Male")</f>
        <v>Female</v>
      </c>
      <c r="E682" s="8">
        <v>49</v>
      </c>
      <c r="F682" s="8">
        <f t="shared" si="154"/>
        <v>49</v>
      </c>
      <c r="G682" s="8" t="s">
        <v>25</v>
      </c>
      <c r="H682" s="8" t="s">
        <v>26</v>
      </c>
      <c r="I682" s="8" t="s">
        <v>20</v>
      </c>
      <c r="J682" s="8">
        <v>11</v>
      </c>
      <c r="K682" s="8">
        <f t="shared" si="155"/>
        <v>11</v>
      </c>
      <c r="L682" s="8">
        <v>75</v>
      </c>
      <c r="M682" s="9">
        <f t="shared" si="156"/>
        <v>75</v>
      </c>
      <c r="N682" s="8">
        <v>3.8</v>
      </c>
      <c r="O682" s="10">
        <f t="shared" si="157"/>
        <v>3.8</v>
      </c>
      <c r="P682" s="8" t="s">
        <v>2051</v>
      </c>
      <c r="Q682" s="14">
        <v>0.93</v>
      </c>
      <c r="R682" s="12">
        <f t="shared" si="164"/>
        <v>0.93</v>
      </c>
      <c r="S682" s="12">
        <f t="shared" si="158"/>
        <v>0.93</v>
      </c>
    </row>
    <row r="683" spans="1:19" x14ac:dyDescent="0.35">
      <c r="A683" s="8" t="s">
        <v>1390</v>
      </c>
      <c r="B683" s="8" t="s">
        <v>1391</v>
      </c>
      <c r="C683" s="8" t="s">
        <v>7</v>
      </c>
      <c r="D683" s="8" t="str">
        <f t="shared" si="165"/>
        <v>Female</v>
      </c>
      <c r="E683" s="8">
        <v>22</v>
      </c>
      <c r="F683" s="8">
        <f t="shared" si="154"/>
        <v>22</v>
      </c>
      <c r="G683" s="8" t="s">
        <v>147</v>
      </c>
      <c r="H683" s="8" t="s">
        <v>148</v>
      </c>
      <c r="I683" s="8" t="s">
        <v>4</v>
      </c>
      <c r="J683" s="8">
        <v>1</v>
      </c>
      <c r="K683" s="8">
        <f t="shared" si="155"/>
        <v>1</v>
      </c>
      <c r="L683" s="8">
        <v>100</v>
      </c>
      <c r="M683" s="9">
        <f t="shared" si="156"/>
        <v>100</v>
      </c>
      <c r="N683" s="8">
        <v>4.8</v>
      </c>
      <c r="O683" s="10">
        <f t="shared" si="157"/>
        <v>4.8</v>
      </c>
      <c r="P683" s="8" t="s">
        <v>2051</v>
      </c>
      <c r="Q683" s="14">
        <v>0.75</v>
      </c>
      <c r="R683" s="12">
        <f t="shared" si="164"/>
        <v>0.75</v>
      </c>
      <c r="S683" s="12">
        <f t="shared" si="158"/>
        <v>0.75</v>
      </c>
    </row>
    <row r="684" spans="1:19" x14ac:dyDescent="0.35">
      <c r="A684" s="8" t="s">
        <v>1392</v>
      </c>
      <c r="B684" s="8" t="s">
        <v>1393</v>
      </c>
      <c r="C684" s="8" t="s">
        <v>30</v>
      </c>
      <c r="D684" s="8" t="str">
        <f t="shared" si="165"/>
        <v>Male</v>
      </c>
      <c r="E684" s="8">
        <v>52</v>
      </c>
      <c r="F684" s="8">
        <f t="shared" si="154"/>
        <v>52</v>
      </c>
      <c r="G684" s="8" t="s">
        <v>151</v>
      </c>
      <c r="H684" s="8" t="s">
        <v>51</v>
      </c>
      <c r="I684" s="8" t="s">
        <v>16</v>
      </c>
      <c r="J684" s="8">
        <v>30</v>
      </c>
      <c r="K684" s="8">
        <f t="shared" si="155"/>
        <v>30</v>
      </c>
      <c r="L684" s="8">
        <v>100</v>
      </c>
      <c r="M684" s="9">
        <f t="shared" si="156"/>
        <v>100</v>
      </c>
      <c r="N684" s="8">
        <v>2.5</v>
      </c>
      <c r="O684" s="10">
        <f t="shared" si="157"/>
        <v>2.5</v>
      </c>
      <c r="P684" s="13" t="s">
        <v>2050</v>
      </c>
      <c r="Q684" s="8">
        <v>61</v>
      </c>
      <c r="R684" s="12">
        <v>0.61</v>
      </c>
      <c r="S684" s="12">
        <f t="shared" si="158"/>
        <v>0.61</v>
      </c>
    </row>
    <row r="685" spans="1:19" x14ac:dyDescent="0.35">
      <c r="A685" s="8" t="s">
        <v>1394</v>
      </c>
      <c r="B685" s="8" t="s">
        <v>1395</v>
      </c>
      <c r="C685" s="8" t="s">
        <v>41</v>
      </c>
      <c r="D685" s="8" t="str">
        <f t="shared" si="165"/>
        <v>Male</v>
      </c>
      <c r="E685" s="8">
        <v>60</v>
      </c>
      <c r="F685" s="8">
        <f t="shared" si="154"/>
        <v>60</v>
      </c>
      <c r="G685" s="8" t="s">
        <v>103</v>
      </c>
      <c r="H685" s="8" t="s">
        <v>9</v>
      </c>
      <c r="I685" s="8" t="s">
        <v>4</v>
      </c>
      <c r="J685" s="8">
        <v>7</v>
      </c>
      <c r="K685" s="8">
        <f t="shared" si="155"/>
        <v>7</v>
      </c>
      <c r="L685" s="8">
        <v>30</v>
      </c>
      <c r="M685" s="9">
        <f t="shared" si="156"/>
        <v>30</v>
      </c>
      <c r="N685" s="8">
        <v>0</v>
      </c>
      <c r="O685" s="11">
        <f t="shared" si="157"/>
        <v>0</v>
      </c>
      <c r="P685" s="8" t="s">
        <v>2050</v>
      </c>
      <c r="Q685" s="14">
        <v>0.97</v>
      </c>
      <c r="R685" s="12">
        <f>Q685</f>
        <v>0.97</v>
      </c>
      <c r="S685" s="12">
        <f t="shared" si="158"/>
        <v>0.97</v>
      </c>
    </row>
    <row r="686" spans="1:19" x14ac:dyDescent="0.35">
      <c r="A686" s="8" t="s">
        <v>1396</v>
      </c>
      <c r="B686" s="8" t="s">
        <v>1397</v>
      </c>
      <c r="C686" s="8" t="s">
        <v>19</v>
      </c>
      <c r="D686" s="8" t="str">
        <f t="shared" si="165"/>
        <v>Female</v>
      </c>
      <c r="E686" s="8">
        <v>33</v>
      </c>
      <c r="F686" s="8">
        <f t="shared" si="154"/>
        <v>33</v>
      </c>
      <c r="G686" s="8" t="s">
        <v>63</v>
      </c>
      <c r="H686" s="8" t="s">
        <v>64</v>
      </c>
      <c r="I686" s="8" t="s">
        <v>52</v>
      </c>
      <c r="J686" s="8">
        <v>0</v>
      </c>
      <c r="K686" s="8">
        <f t="shared" si="155"/>
        <v>0</v>
      </c>
      <c r="L686" s="8">
        <v>100</v>
      </c>
      <c r="M686" s="9">
        <f t="shared" si="156"/>
        <v>100</v>
      </c>
      <c r="N686" s="8">
        <v>1.7</v>
      </c>
      <c r="O686" s="10">
        <f t="shared" si="157"/>
        <v>1.7</v>
      </c>
      <c r="P686" s="8" t="s">
        <v>2051</v>
      </c>
      <c r="Q686" s="8">
        <v>95</v>
      </c>
      <c r="R686" s="12">
        <v>0.95</v>
      </c>
      <c r="S686" s="12">
        <f t="shared" si="158"/>
        <v>0.95</v>
      </c>
    </row>
    <row r="687" spans="1:19" x14ac:dyDescent="0.35">
      <c r="A687" s="8" t="s">
        <v>1398</v>
      </c>
      <c r="B687" s="8" t="s">
        <v>1399</v>
      </c>
      <c r="C687" s="8" t="s">
        <v>70</v>
      </c>
      <c r="D687" s="8" t="str">
        <f t="shared" si="165"/>
        <v>Male</v>
      </c>
      <c r="E687" s="8">
        <v>52</v>
      </c>
      <c r="F687" s="8">
        <f t="shared" si="154"/>
        <v>52</v>
      </c>
      <c r="G687" s="8" t="s">
        <v>88</v>
      </c>
      <c r="H687" s="8" t="s">
        <v>89</v>
      </c>
      <c r="I687" s="8" t="s">
        <v>16</v>
      </c>
      <c r="J687" s="8">
        <v>21</v>
      </c>
      <c r="K687" s="8">
        <f t="shared" si="155"/>
        <v>21</v>
      </c>
      <c r="L687" s="8">
        <v>40</v>
      </c>
      <c r="M687" s="9">
        <f t="shared" si="156"/>
        <v>40</v>
      </c>
      <c r="N687" s="8">
        <v>4</v>
      </c>
      <c r="O687" s="10">
        <f t="shared" si="157"/>
        <v>4</v>
      </c>
      <c r="P687" s="13" t="s">
        <v>2050</v>
      </c>
      <c r="Q687" s="14">
        <v>0.69</v>
      </c>
      <c r="R687" s="12">
        <f t="shared" ref="R687:R690" si="166">Q687</f>
        <v>0.69</v>
      </c>
      <c r="S687" s="12">
        <f t="shared" si="158"/>
        <v>0.69</v>
      </c>
    </row>
    <row r="688" spans="1:19" x14ac:dyDescent="0.35">
      <c r="A688" s="8" t="s">
        <v>1400</v>
      </c>
      <c r="B688" s="8" t="s">
        <v>1401</v>
      </c>
      <c r="C688" s="8" t="s">
        <v>1</v>
      </c>
      <c r="D688" s="8" t="str">
        <f t="shared" si="165"/>
        <v>Female</v>
      </c>
      <c r="E688" s="8">
        <v>25</v>
      </c>
      <c r="F688" s="8">
        <f t="shared" si="154"/>
        <v>25</v>
      </c>
      <c r="G688" s="8" t="s">
        <v>14</v>
      </c>
      <c r="H688" s="8" t="s">
        <v>15</v>
      </c>
      <c r="I688" s="8" t="s">
        <v>67</v>
      </c>
      <c r="J688" s="8">
        <v>7</v>
      </c>
      <c r="K688" s="8">
        <f t="shared" si="155"/>
        <v>7</v>
      </c>
      <c r="L688" s="8">
        <v>100</v>
      </c>
      <c r="M688" s="9">
        <f t="shared" si="156"/>
        <v>100</v>
      </c>
      <c r="N688" s="8">
        <v>1.9</v>
      </c>
      <c r="O688" s="10">
        <f t="shared" si="157"/>
        <v>1.9</v>
      </c>
      <c r="P688" s="8" t="s">
        <v>2050</v>
      </c>
      <c r="Q688" s="14">
        <v>0.63</v>
      </c>
      <c r="R688" s="12">
        <f t="shared" si="166"/>
        <v>0.63</v>
      </c>
      <c r="S688" s="12">
        <f t="shared" si="158"/>
        <v>0.63</v>
      </c>
    </row>
    <row r="689" spans="1:19" x14ac:dyDescent="0.35">
      <c r="A689" s="8" t="s">
        <v>1402</v>
      </c>
      <c r="B689" s="8" t="s">
        <v>1403</v>
      </c>
      <c r="C689" s="8" t="s">
        <v>70</v>
      </c>
      <c r="D689" s="8" t="str">
        <f t="shared" si="165"/>
        <v>Male</v>
      </c>
      <c r="E689" s="8">
        <v>33</v>
      </c>
      <c r="F689" s="8">
        <f t="shared" si="154"/>
        <v>33</v>
      </c>
      <c r="G689" s="8" t="s">
        <v>63</v>
      </c>
      <c r="H689" s="8" t="s">
        <v>64</v>
      </c>
      <c r="I689" s="8" t="s">
        <v>56</v>
      </c>
      <c r="J689" s="13"/>
      <c r="K689" s="8">
        <f t="shared" si="155"/>
        <v>9</v>
      </c>
      <c r="L689" s="8">
        <v>30</v>
      </c>
      <c r="M689" s="9">
        <f t="shared" si="156"/>
        <v>30</v>
      </c>
      <c r="N689" s="8">
        <v>4.4000000000000004</v>
      </c>
      <c r="O689" s="10">
        <f t="shared" si="157"/>
        <v>4.4000000000000004</v>
      </c>
      <c r="P689" s="8" t="s">
        <v>2051</v>
      </c>
      <c r="Q689" s="14">
        <v>0.65</v>
      </c>
      <c r="R689" s="12">
        <f t="shared" si="166"/>
        <v>0.65</v>
      </c>
      <c r="S689" s="12">
        <f t="shared" si="158"/>
        <v>0.65</v>
      </c>
    </row>
    <row r="690" spans="1:19" x14ac:dyDescent="0.35">
      <c r="A690" s="8" t="s">
        <v>1404</v>
      </c>
      <c r="B690" s="8" t="s">
        <v>1405</v>
      </c>
      <c r="C690" s="8" t="s">
        <v>1</v>
      </c>
      <c r="D690" s="8" t="str">
        <f t="shared" si="165"/>
        <v>Female</v>
      </c>
      <c r="E690" s="8">
        <v>33</v>
      </c>
      <c r="F690" s="8">
        <f t="shared" si="154"/>
        <v>33</v>
      </c>
      <c r="G690" s="8" t="s">
        <v>147</v>
      </c>
      <c r="H690" s="8" t="s">
        <v>148</v>
      </c>
      <c r="I690" s="8" t="s">
        <v>10</v>
      </c>
      <c r="J690" s="13"/>
      <c r="K690" s="8">
        <f t="shared" si="155"/>
        <v>9</v>
      </c>
      <c r="L690" s="13"/>
      <c r="M690" s="9">
        <f t="shared" si="156"/>
        <v>40</v>
      </c>
      <c r="N690" s="8">
        <v>4.2</v>
      </c>
      <c r="O690" s="10">
        <f t="shared" si="157"/>
        <v>4.2</v>
      </c>
      <c r="P690" s="8" t="s">
        <v>2051</v>
      </c>
      <c r="Q690" s="14">
        <v>0.9</v>
      </c>
      <c r="R690" s="12">
        <f t="shared" si="166"/>
        <v>0.9</v>
      </c>
      <c r="S690" s="12">
        <f t="shared" si="158"/>
        <v>0.9</v>
      </c>
    </row>
    <row r="691" spans="1:19" x14ac:dyDescent="0.35">
      <c r="A691" s="8" t="s">
        <v>1406</v>
      </c>
      <c r="B691" s="8" t="s">
        <v>24</v>
      </c>
      <c r="C691" s="8" t="s">
        <v>55</v>
      </c>
      <c r="D691" s="8" t="str">
        <f t="shared" si="165"/>
        <v>Female</v>
      </c>
      <c r="E691" s="8">
        <v>52</v>
      </c>
      <c r="F691" s="8">
        <f t="shared" si="154"/>
        <v>52</v>
      </c>
      <c r="G691" s="8" t="s">
        <v>103</v>
      </c>
      <c r="H691" s="8" t="s">
        <v>9</v>
      </c>
      <c r="I691" s="8" t="s">
        <v>52</v>
      </c>
      <c r="J691" s="8">
        <v>25</v>
      </c>
      <c r="K691" s="8">
        <f t="shared" si="155"/>
        <v>25</v>
      </c>
      <c r="L691" s="8">
        <v>100</v>
      </c>
      <c r="M691" s="9">
        <f t="shared" si="156"/>
        <v>100</v>
      </c>
      <c r="N691" s="8">
        <v>4.8</v>
      </c>
      <c r="O691" s="10">
        <f t="shared" si="157"/>
        <v>4.8</v>
      </c>
      <c r="P691" s="8" t="s">
        <v>2050</v>
      </c>
      <c r="Q691" s="13"/>
      <c r="S691" s="12">
        <f t="shared" si="158"/>
        <v>0.79269417475728277</v>
      </c>
    </row>
    <row r="692" spans="1:19" x14ac:dyDescent="0.35">
      <c r="A692" s="8" t="s">
        <v>1407</v>
      </c>
      <c r="B692" s="8" t="s">
        <v>1408</v>
      </c>
      <c r="C692" s="8" t="s">
        <v>1</v>
      </c>
      <c r="D692" s="8" t="str">
        <f t="shared" si="165"/>
        <v>Female</v>
      </c>
      <c r="E692" s="8">
        <v>20</v>
      </c>
      <c r="F692" s="8">
        <f t="shared" si="154"/>
        <v>20</v>
      </c>
      <c r="G692" s="8" t="s">
        <v>31</v>
      </c>
      <c r="H692" s="8" t="s">
        <v>32</v>
      </c>
      <c r="I692" s="8" t="s">
        <v>20</v>
      </c>
      <c r="J692" s="8">
        <v>1</v>
      </c>
      <c r="K692" s="8">
        <f t="shared" si="155"/>
        <v>1</v>
      </c>
      <c r="L692" s="8">
        <v>30</v>
      </c>
      <c r="M692" s="9">
        <f t="shared" si="156"/>
        <v>30</v>
      </c>
      <c r="N692" s="8">
        <v>2</v>
      </c>
      <c r="O692" s="10">
        <f t="shared" si="157"/>
        <v>2</v>
      </c>
      <c r="P692" s="8" t="s">
        <v>2050</v>
      </c>
      <c r="Q692" s="14">
        <v>0.89</v>
      </c>
      <c r="R692" s="12">
        <f t="shared" ref="R692:R694" si="167">Q692</f>
        <v>0.89</v>
      </c>
      <c r="S692" s="12">
        <f t="shared" si="158"/>
        <v>0.89</v>
      </c>
    </row>
    <row r="693" spans="1:19" x14ac:dyDescent="0.35">
      <c r="A693" s="8" t="s">
        <v>1409</v>
      </c>
      <c r="B693" s="8" t="s">
        <v>1410</v>
      </c>
      <c r="C693" s="8" t="s">
        <v>7</v>
      </c>
      <c r="D693" s="8" t="str">
        <f t="shared" si="165"/>
        <v>Female</v>
      </c>
      <c r="E693" s="8">
        <v>43</v>
      </c>
      <c r="F693" s="8">
        <f t="shared" si="154"/>
        <v>43</v>
      </c>
      <c r="G693" s="8" t="s">
        <v>99</v>
      </c>
      <c r="H693" s="8" t="s">
        <v>100</v>
      </c>
      <c r="I693" s="8" t="s">
        <v>33</v>
      </c>
      <c r="J693" s="8">
        <v>7</v>
      </c>
      <c r="K693" s="8">
        <f t="shared" si="155"/>
        <v>7</v>
      </c>
      <c r="L693" s="8">
        <v>50</v>
      </c>
      <c r="M693" s="9">
        <f t="shared" si="156"/>
        <v>50</v>
      </c>
      <c r="O693" s="10">
        <f t="shared" si="157"/>
        <v>2.5125695216907653</v>
      </c>
      <c r="P693" s="8" t="s">
        <v>2051</v>
      </c>
      <c r="Q693" s="14">
        <v>0.8</v>
      </c>
      <c r="R693" s="12">
        <f t="shared" si="167"/>
        <v>0.8</v>
      </c>
      <c r="S693" s="12">
        <f t="shared" si="158"/>
        <v>0.8</v>
      </c>
    </row>
    <row r="694" spans="1:19" x14ac:dyDescent="0.35">
      <c r="A694" s="8" t="s">
        <v>1411</v>
      </c>
      <c r="B694" s="8" t="s">
        <v>1367</v>
      </c>
      <c r="C694" s="8" t="s">
        <v>22</v>
      </c>
      <c r="D694" s="8" t="str">
        <f t="shared" si="165"/>
        <v>Female</v>
      </c>
      <c r="E694" s="8">
        <v>31</v>
      </c>
      <c r="F694" s="8">
        <f t="shared" si="154"/>
        <v>31</v>
      </c>
      <c r="G694" s="8" t="s">
        <v>110</v>
      </c>
      <c r="H694" s="8" t="s">
        <v>111</v>
      </c>
      <c r="I694" s="8" t="s">
        <v>10</v>
      </c>
      <c r="J694" s="13"/>
      <c r="K694" s="8">
        <f t="shared" si="155"/>
        <v>9</v>
      </c>
      <c r="L694" s="8">
        <v>50</v>
      </c>
      <c r="M694" s="9">
        <f t="shared" si="156"/>
        <v>50</v>
      </c>
      <c r="N694" s="8">
        <v>1.4</v>
      </c>
      <c r="O694" s="10">
        <f t="shared" si="157"/>
        <v>1.4</v>
      </c>
      <c r="P694" s="8" t="s">
        <v>2050</v>
      </c>
      <c r="Q694" s="14">
        <v>0.8</v>
      </c>
      <c r="R694" s="12">
        <f t="shared" si="167"/>
        <v>0.8</v>
      </c>
      <c r="S694" s="12">
        <f t="shared" si="158"/>
        <v>0.8</v>
      </c>
    </row>
    <row r="695" spans="1:19" x14ac:dyDescent="0.35">
      <c r="A695" s="8" t="s">
        <v>1412</v>
      </c>
      <c r="B695" s="8" t="s">
        <v>1413</v>
      </c>
      <c r="C695" s="8" t="s">
        <v>7</v>
      </c>
      <c r="D695" s="8" t="str">
        <f t="shared" si="165"/>
        <v>Female</v>
      </c>
      <c r="E695" s="8">
        <v>29</v>
      </c>
      <c r="F695" s="8">
        <f t="shared" si="154"/>
        <v>29</v>
      </c>
      <c r="G695" s="8" t="s">
        <v>14</v>
      </c>
      <c r="H695" s="8" t="s">
        <v>15</v>
      </c>
      <c r="I695" s="8" t="s">
        <v>33</v>
      </c>
      <c r="J695" s="8">
        <v>6</v>
      </c>
      <c r="K695" s="8">
        <f t="shared" si="155"/>
        <v>6</v>
      </c>
      <c r="L695" s="8">
        <v>100</v>
      </c>
      <c r="M695" s="9">
        <f t="shared" si="156"/>
        <v>100</v>
      </c>
      <c r="N695" s="8">
        <v>1.8</v>
      </c>
      <c r="O695" s="10">
        <f t="shared" si="157"/>
        <v>1.8</v>
      </c>
      <c r="P695" s="8" t="s">
        <v>2050</v>
      </c>
      <c r="Q695" s="13"/>
      <c r="S695" s="12">
        <f t="shared" si="158"/>
        <v>0.79269417475728277</v>
      </c>
    </row>
    <row r="696" spans="1:19" x14ac:dyDescent="0.35">
      <c r="A696" s="8" t="s">
        <v>1414</v>
      </c>
      <c r="B696" s="8" t="s">
        <v>799</v>
      </c>
      <c r="C696" s="8" t="s">
        <v>7</v>
      </c>
      <c r="D696" s="8" t="str">
        <f t="shared" si="165"/>
        <v>Female</v>
      </c>
      <c r="E696" s="8">
        <v>53</v>
      </c>
      <c r="F696" s="8">
        <f t="shared" si="154"/>
        <v>53</v>
      </c>
      <c r="G696" s="8" t="s">
        <v>128</v>
      </c>
      <c r="H696" s="8" t="s">
        <v>129</v>
      </c>
      <c r="I696" s="8" t="s">
        <v>16</v>
      </c>
      <c r="J696" s="8">
        <v>35</v>
      </c>
      <c r="K696" s="8">
        <f t="shared" si="155"/>
        <v>35</v>
      </c>
      <c r="L696" s="13"/>
      <c r="M696" s="9">
        <f t="shared" si="156"/>
        <v>40</v>
      </c>
      <c r="N696" s="8">
        <v>0</v>
      </c>
      <c r="O696" s="11">
        <f t="shared" si="157"/>
        <v>0</v>
      </c>
      <c r="P696" s="8" t="s">
        <v>2051</v>
      </c>
      <c r="Q696" s="14">
        <v>0.67</v>
      </c>
      <c r="R696" s="12">
        <f t="shared" ref="R696:R702" si="168">Q696</f>
        <v>0.67</v>
      </c>
      <c r="S696" s="12">
        <f t="shared" si="158"/>
        <v>0.67</v>
      </c>
    </row>
    <row r="697" spans="1:19" x14ac:dyDescent="0.35">
      <c r="A697" s="8" t="s">
        <v>1415</v>
      </c>
      <c r="B697" s="8" t="s">
        <v>1416</v>
      </c>
      <c r="C697" s="8" t="s">
        <v>13</v>
      </c>
      <c r="D697" s="8" t="str">
        <f t="shared" si="165"/>
        <v>Male</v>
      </c>
      <c r="E697" s="8">
        <v>38</v>
      </c>
      <c r="F697" s="8">
        <f t="shared" si="154"/>
        <v>38</v>
      </c>
      <c r="G697" s="8" t="s">
        <v>71</v>
      </c>
      <c r="H697" s="8" t="s">
        <v>72</v>
      </c>
      <c r="I697" s="8" t="s">
        <v>10</v>
      </c>
      <c r="J697" s="8">
        <v>1</v>
      </c>
      <c r="K697" s="8">
        <f t="shared" si="155"/>
        <v>1</v>
      </c>
      <c r="L697" s="8">
        <v>40</v>
      </c>
      <c r="M697" s="9">
        <f t="shared" si="156"/>
        <v>40</v>
      </c>
      <c r="N697" s="8">
        <v>0</v>
      </c>
      <c r="O697" s="11">
        <f t="shared" si="157"/>
        <v>0</v>
      </c>
      <c r="P697" s="8" t="s">
        <v>2050</v>
      </c>
      <c r="Q697" s="14">
        <v>0.96</v>
      </c>
      <c r="R697" s="12">
        <f t="shared" si="168"/>
        <v>0.96</v>
      </c>
      <c r="S697" s="12">
        <f t="shared" si="158"/>
        <v>0.96</v>
      </c>
    </row>
    <row r="698" spans="1:19" x14ac:dyDescent="0.35">
      <c r="A698" s="8" t="s">
        <v>1417</v>
      </c>
      <c r="B698" s="8" t="s">
        <v>1418</v>
      </c>
      <c r="C698" s="8" t="s">
        <v>75</v>
      </c>
      <c r="D698" s="8" t="str">
        <f t="shared" si="165"/>
        <v>Male</v>
      </c>
      <c r="E698" s="8">
        <v>29</v>
      </c>
      <c r="F698" s="8">
        <f t="shared" si="154"/>
        <v>29</v>
      </c>
      <c r="G698" s="8" t="s">
        <v>162</v>
      </c>
      <c r="H698" s="8" t="s">
        <v>51</v>
      </c>
      <c r="I698" s="8" t="s">
        <v>16</v>
      </c>
      <c r="J698" s="13"/>
      <c r="K698" s="8">
        <f t="shared" si="155"/>
        <v>9</v>
      </c>
      <c r="L698" s="8">
        <v>20</v>
      </c>
      <c r="M698" s="9">
        <f t="shared" si="156"/>
        <v>20</v>
      </c>
      <c r="N698" s="8">
        <v>0</v>
      </c>
      <c r="O698" s="11">
        <f t="shared" si="157"/>
        <v>0</v>
      </c>
      <c r="P698" s="8" t="s">
        <v>2050</v>
      </c>
      <c r="Q698" s="14">
        <v>0.9</v>
      </c>
      <c r="R698" s="12">
        <f t="shared" si="168"/>
        <v>0.9</v>
      </c>
      <c r="S698" s="12">
        <f t="shared" si="158"/>
        <v>0.9</v>
      </c>
    </row>
    <row r="699" spans="1:19" x14ac:dyDescent="0.35">
      <c r="A699" s="8" t="s">
        <v>1419</v>
      </c>
      <c r="B699" s="8" t="s">
        <v>1420</v>
      </c>
      <c r="C699" s="8" t="s">
        <v>70</v>
      </c>
      <c r="D699" s="8" t="str">
        <f t="shared" si="165"/>
        <v>Male</v>
      </c>
      <c r="E699" s="8">
        <v>42</v>
      </c>
      <c r="F699" s="8">
        <f t="shared" si="154"/>
        <v>42</v>
      </c>
      <c r="G699" s="8" t="s">
        <v>88</v>
      </c>
      <c r="H699" s="8" t="s">
        <v>89</v>
      </c>
      <c r="I699" s="8" t="s">
        <v>52</v>
      </c>
      <c r="J699" s="8">
        <v>0</v>
      </c>
      <c r="K699" s="8">
        <f t="shared" si="155"/>
        <v>0</v>
      </c>
      <c r="L699" s="13"/>
      <c r="M699" s="9">
        <f t="shared" si="156"/>
        <v>40</v>
      </c>
      <c r="N699" s="8">
        <v>3.9</v>
      </c>
      <c r="O699" s="10">
        <f t="shared" si="157"/>
        <v>3.9</v>
      </c>
      <c r="P699" s="8" t="s">
        <v>2050</v>
      </c>
      <c r="Q699" s="14">
        <v>0.62</v>
      </c>
      <c r="R699" s="12">
        <f t="shared" si="168"/>
        <v>0.62</v>
      </c>
      <c r="S699" s="12">
        <f t="shared" si="158"/>
        <v>0.62</v>
      </c>
    </row>
    <row r="700" spans="1:19" x14ac:dyDescent="0.35">
      <c r="A700" s="8" t="s">
        <v>1421</v>
      </c>
      <c r="B700" s="8" t="s">
        <v>1422</v>
      </c>
      <c r="C700" s="8" t="s">
        <v>1</v>
      </c>
      <c r="D700" s="8" t="str">
        <f t="shared" si="165"/>
        <v>Female</v>
      </c>
      <c r="E700" s="8">
        <v>54</v>
      </c>
      <c r="F700" s="8">
        <f t="shared" si="154"/>
        <v>54</v>
      </c>
      <c r="G700" s="8" t="s">
        <v>38</v>
      </c>
      <c r="H700" s="8" t="s">
        <v>9</v>
      </c>
      <c r="I700" s="8" t="s">
        <v>90</v>
      </c>
      <c r="J700" s="8">
        <v>9</v>
      </c>
      <c r="K700" s="8">
        <f t="shared" si="155"/>
        <v>9</v>
      </c>
      <c r="L700" s="8">
        <v>100</v>
      </c>
      <c r="M700" s="9">
        <f t="shared" si="156"/>
        <v>100</v>
      </c>
      <c r="O700" s="10">
        <f t="shared" si="157"/>
        <v>2.5125695216907653</v>
      </c>
      <c r="P700" s="8" t="s">
        <v>2050</v>
      </c>
      <c r="Q700" s="14">
        <v>0.72</v>
      </c>
      <c r="R700" s="12">
        <f t="shared" si="168"/>
        <v>0.72</v>
      </c>
      <c r="S700" s="12">
        <f t="shared" si="158"/>
        <v>0.72</v>
      </c>
    </row>
    <row r="701" spans="1:19" x14ac:dyDescent="0.35">
      <c r="A701" s="8" t="s">
        <v>1423</v>
      </c>
      <c r="B701" s="8" t="s">
        <v>1424</v>
      </c>
      <c r="C701" s="8" t="s">
        <v>41</v>
      </c>
      <c r="D701" s="8" t="str">
        <f t="shared" si="165"/>
        <v>Male</v>
      </c>
      <c r="E701" s="8">
        <v>56</v>
      </c>
      <c r="F701" s="8">
        <f t="shared" si="154"/>
        <v>56</v>
      </c>
      <c r="G701" s="8" t="s">
        <v>147</v>
      </c>
      <c r="H701" s="8" t="s">
        <v>148</v>
      </c>
      <c r="I701" s="8" t="s">
        <v>52</v>
      </c>
      <c r="J701" s="8">
        <v>18</v>
      </c>
      <c r="K701" s="8">
        <f t="shared" si="155"/>
        <v>18</v>
      </c>
      <c r="L701" s="8">
        <v>50</v>
      </c>
      <c r="M701" s="9">
        <f t="shared" si="156"/>
        <v>50</v>
      </c>
      <c r="N701" s="8">
        <v>4.4000000000000004</v>
      </c>
      <c r="O701" s="10">
        <f t="shared" si="157"/>
        <v>4.4000000000000004</v>
      </c>
      <c r="P701" s="8" t="s">
        <v>2051</v>
      </c>
      <c r="Q701" s="14">
        <v>0.83</v>
      </c>
      <c r="R701" s="12">
        <f t="shared" si="168"/>
        <v>0.83</v>
      </c>
      <c r="S701" s="12">
        <f t="shared" si="158"/>
        <v>0.83</v>
      </c>
    </row>
    <row r="702" spans="1:19" x14ac:dyDescent="0.35">
      <c r="A702" s="8" t="s">
        <v>1425</v>
      </c>
      <c r="B702" s="8" t="s">
        <v>1426</v>
      </c>
      <c r="C702" s="8" t="s">
        <v>1</v>
      </c>
      <c r="D702" s="8" t="str">
        <f t="shared" si="165"/>
        <v>Female</v>
      </c>
      <c r="E702" s="8">
        <v>47</v>
      </c>
      <c r="F702" s="8">
        <f t="shared" si="154"/>
        <v>47</v>
      </c>
      <c r="G702" s="8" t="s">
        <v>42</v>
      </c>
      <c r="H702" s="8" t="s">
        <v>43</v>
      </c>
      <c r="I702" s="8" t="s">
        <v>16</v>
      </c>
      <c r="J702" s="8">
        <v>22</v>
      </c>
      <c r="K702" s="8">
        <f t="shared" si="155"/>
        <v>22</v>
      </c>
      <c r="L702" s="8">
        <v>100</v>
      </c>
      <c r="M702" s="9">
        <f t="shared" si="156"/>
        <v>100</v>
      </c>
      <c r="N702" s="8">
        <v>4.4000000000000004</v>
      </c>
      <c r="O702" s="10">
        <f t="shared" si="157"/>
        <v>4.4000000000000004</v>
      </c>
      <c r="P702" s="8" t="s">
        <v>2050</v>
      </c>
      <c r="Q702" s="14">
        <v>0.7</v>
      </c>
      <c r="R702" s="12">
        <f t="shared" si="168"/>
        <v>0.7</v>
      </c>
      <c r="S702" s="12">
        <f t="shared" si="158"/>
        <v>0.7</v>
      </c>
    </row>
    <row r="703" spans="1:19" x14ac:dyDescent="0.35">
      <c r="A703" s="8" t="s">
        <v>1427</v>
      </c>
      <c r="B703" s="8" t="s">
        <v>1428</v>
      </c>
      <c r="C703" s="8" t="s">
        <v>30</v>
      </c>
      <c r="D703" s="8" t="str">
        <f t="shared" si="165"/>
        <v>Male</v>
      </c>
      <c r="E703" s="8">
        <v>45</v>
      </c>
      <c r="F703" s="8">
        <f t="shared" si="154"/>
        <v>45</v>
      </c>
      <c r="G703" s="8" t="s">
        <v>99</v>
      </c>
      <c r="H703" s="8" t="s">
        <v>100</v>
      </c>
      <c r="I703" s="8" t="s">
        <v>4</v>
      </c>
      <c r="J703" s="8">
        <v>25</v>
      </c>
      <c r="K703" s="8">
        <f t="shared" si="155"/>
        <v>25</v>
      </c>
      <c r="L703" s="8">
        <v>50</v>
      </c>
      <c r="M703" s="9">
        <f t="shared" si="156"/>
        <v>50</v>
      </c>
      <c r="N703" s="8">
        <v>0</v>
      </c>
      <c r="O703" s="11">
        <f t="shared" si="157"/>
        <v>0</v>
      </c>
      <c r="P703" s="8" t="s">
        <v>2050</v>
      </c>
      <c r="Q703" s="8">
        <v>99</v>
      </c>
      <c r="R703" s="12">
        <v>0.99</v>
      </c>
      <c r="S703" s="12">
        <f t="shared" si="158"/>
        <v>0.99</v>
      </c>
    </row>
    <row r="704" spans="1:19" x14ac:dyDescent="0.35">
      <c r="A704" s="8" t="s">
        <v>1429</v>
      </c>
      <c r="B704" s="8" t="s">
        <v>1430</v>
      </c>
      <c r="C704" s="8" t="s">
        <v>70</v>
      </c>
      <c r="D704" s="8" t="str">
        <f t="shared" si="165"/>
        <v>Male</v>
      </c>
      <c r="E704" s="8">
        <v>45</v>
      </c>
      <c r="F704" s="8">
        <f t="shared" si="154"/>
        <v>45</v>
      </c>
      <c r="G704" s="8" t="s">
        <v>147</v>
      </c>
      <c r="H704" s="8" t="s">
        <v>148</v>
      </c>
      <c r="I704" s="8" t="s">
        <v>33</v>
      </c>
      <c r="J704" s="8">
        <v>6</v>
      </c>
      <c r="K704" s="8">
        <f t="shared" si="155"/>
        <v>6</v>
      </c>
      <c r="L704" s="8">
        <v>50</v>
      </c>
      <c r="M704" s="9">
        <f t="shared" si="156"/>
        <v>50</v>
      </c>
      <c r="N704" s="8">
        <v>1.4</v>
      </c>
      <c r="O704" s="10">
        <f t="shared" si="157"/>
        <v>1.4</v>
      </c>
      <c r="P704" s="13" t="s">
        <v>2050</v>
      </c>
      <c r="Q704" s="8">
        <v>97</v>
      </c>
      <c r="R704" s="12">
        <v>0.97</v>
      </c>
      <c r="S704" s="12">
        <f t="shared" si="158"/>
        <v>0.97</v>
      </c>
    </row>
    <row r="705" spans="1:19" x14ac:dyDescent="0.35">
      <c r="A705" s="8" t="s">
        <v>1431</v>
      </c>
      <c r="B705" s="8" t="s">
        <v>1432</v>
      </c>
      <c r="C705" s="8" t="s">
        <v>70</v>
      </c>
      <c r="D705" s="8" t="str">
        <f t="shared" si="165"/>
        <v>Male</v>
      </c>
      <c r="E705" s="8">
        <v>35</v>
      </c>
      <c r="F705" s="8">
        <f t="shared" si="154"/>
        <v>35</v>
      </c>
      <c r="G705" s="8" t="s">
        <v>103</v>
      </c>
      <c r="H705" s="8" t="s">
        <v>9</v>
      </c>
      <c r="I705" s="8" t="s">
        <v>90</v>
      </c>
      <c r="J705" s="8">
        <v>10</v>
      </c>
      <c r="K705" s="8">
        <f t="shared" si="155"/>
        <v>10</v>
      </c>
      <c r="L705" s="8">
        <v>20</v>
      </c>
      <c r="M705" s="9">
        <f t="shared" si="156"/>
        <v>20</v>
      </c>
      <c r="N705" s="8">
        <v>3.2</v>
      </c>
      <c r="O705" s="10">
        <f t="shared" si="157"/>
        <v>3.2</v>
      </c>
      <c r="P705" s="8" t="s">
        <v>2051</v>
      </c>
      <c r="Q705" s="14">
        <v>0.77</v>
      </c>
      <c r="R705" s="12">
        <f t="shared" ref="R705:R708" si="169">Q705</f>
        <v>0.77</v>
      </c>
      <c r="S705" s="12">
        <f t="shared" si="158"/>
        <v>0.77</v>
      </c>
    </row>
    <row r="706" spans="1:19" x14ac:dyDescent="0.35">
      <c r="A706" s="8" t="s">
        <v>1433</v>
      </c>
      <c r="B706" s="8" t="s">
        <v>1434</v>
      </c>
      <c r="C706" s="8" t="s">
        <v>13</v>
      </c>
      <c r="D706" s="8" t="str">
        <f t="shared" si="165"/>
        <v>Male</v>
      </c>
      <c r="E706" s="8">
        <v>51</v>
      </c>
      <c r="F706" s="8">
        <f t="shared" si="154"/>
        <v>51</v>
      </c>
      <c r="G706" s="8" t="s">
        <v>103</v>
      </c>
      <c r="H706" s="8" t="s">
        <v>9</v>
      </c>
      <c r="I706" s="8" t="s">
        <v>67</v>
      </c>
      <c r="J706" s="8">
        <v>4</v>
      </c>
      <c r="K706" s="8">
        <f t="shared" si="155"/>
        <v>4</v>
      </c>
      <c r="L706" s="8">
        <v>50</v>
      </c>
      <c r="M706" s="9">
        <f t="shared" si="156"/>
        <v>50</v>
      </c>
      <c r="N706" s="8">
        <v>2</v>
      </c>
      <c r="O706" s="10">
        <f t="shared" si="157"/>
        <v>2</v>
      </c>
      <c r="P706" s="8" t="s">
        <v>2050</v>
      </c>
      <c r="Q706" s="14">
        <v>0.92</v>
      </c>
      <c r="R706" s="12">
        <f t="shared" si="169"/>
        <v>0.92</v>
      </c>
      <c r="S706" s="12">
        <f t="shared" si="158"/>
        <v>0.92</v>
      </c>
    </row>
    <row r="707" spans="1:19" x14ac:dyDescent="0.35">
      <c r="A707" s="8" t="s">
        <v>1435</v>
      </c>
      <c r="B707" s="8" t="s">
        <v>1436</v>
      </c>
      <c r="C707" s="8" t="s">
        <v>19</v>
      </c>
      <c r="D707" s="8" t="str">
        <f t="shared" si="165"/>
        <v>Female</v>
      </c>
      <c r="E707" s="8">
        <v>34</v>
      </c>
      <c r="F707" s="8">
        <f t="shared" ref="F707:F770" si="170">IF(ISBLANK(E707),MEDIAN($E$2:$E$1001),E707)</f>
        <v>34</v>
      </c>
      <c r="G707" s="8" t="s">
        <v>162</v>
      </c>
      <c r="H707" s="8" t="s">
        <v>51</v>
      </c>
      <c r="I707" s="8" t="s">
        <v>10</v>
      </c>
      <c r="J707" s="8">
        <v>11</v>
      </c>
      <c r="K707" s="8">
        <f t="shared" ref="K707:K770" si="171">IF(ISBLANK(J707),MEDIAN($J$2:$J$1001),J707)</f>
        <v>11</v>
      </c>
      <c r="L707" s="8">
        <v>50</v>
      </c>
      <c r="M707" s="9">
        <f t="shared" ref="M707:M770" si="172">IF(ISBLANK(L707),MEDIAN($L$2:$L$1001),L707)</f>
        <v>50</v>
      </c>
      <c r="N707" s="8">
        <v>3.3</v>
      </c>
      <c r="O707" s="10">
        <f t="shared" ref="O707:O770" si="173">IF(ISBLANK(N707),AVERAGE($N$2:$N$1001),N707)</f>
        <v>3.3</v>
      </c>
      <c r="P707" s="8" t="s">
        <v>2051</v>
      </c>
      <c r="Q707" s="14">
        <v>0.76</v>
      </c>
      <c r="R707" s="12">
        <f t="shared" si="169"/>
        <v>0.76</v>
      </c>
      <c r="S707" s="12">
        <f t="shared" si="158"/>
        <v>0.76</v>
      </c>
    </row>
    <row r="708" spans="1:19" x14ac:dyDescent="0.35">
      <c r="A708" s="8" t="s">
        <v>1437</v>
      </c>
      <c r="B708" s="8" t="s">
        <v>1438</v>
      </c>
      <c r="C708" s="8" t="s">
        <v>7</v>
      </c>
      <c r="D708" s="8" t="str">
        <f t="shared" si="165"/>
        <v>Female</v>
      </c>
      <c r="E708" s="8">
        <v>51</v>
      </c>
      <c r="F708" s="8">
        <f t="shared" si="170"/>
        <v>51</v>
      </c>
      <c r="G708" s="8" t="s">
        <v>31</v>
      </c>
      <c r="H708" s="8" t="s">
        <v>32</v>
      </c>
      <c r="I708" s="8" t="s">
        <v>16</v>
      </c>
      <c r="J708" s="8">
        <v>1</v>
      </c>
      <c r="K708" s="8">
        <f t="shared" si="171"/>
        <v>1</v>
      </c>
      <c r="L708" s="8">
        <v>50</v>
      </c>
      <c r="M708" s="9">
        <f t="shared" si="172"/>
        <v>50</v>
      </c>
      <c r="N708" s="8">
        <v>0</v>
      </c>
      <c r="O708" s="11">
        <f t="shared" si="173"/>
        <v>0</v>
      </c>
      <c r="P708" s="8" t="s">
        <v>2051</v>
      </c>
      <c r="Q708" s="14">
        <v>0.97</v>
      </c>
      <c r="R708" s="12">
        <f t="shared" si="169"/>
        <v>0.97</v>
      </c>
      <c r="S708" s="12">
        <f t="shared" ref="S708:S771" si="174">IF(ISBLANK(R708),AVERAGE($R$2:$R$1001),R708)</f>
        <v>0.97</v>
      </c>
    </row>
    <row r="709" spans="1:19" x14ac:dyDescent="0.35">
      <c r="A709" s="8" t="s">
        <v>1439</v>
      </c>
      <c r="B709" s="8" t="s">
        <v>1440</v>
      </c>
      <c r="C709" s="8" t="s">
        <v>70</v>
      </c>
      <c r="D709" s="8" t="str">
        <f t="shared" si="165"/>
        <v>Male</v>
      </c>
      <c r="E709" s="8">
        <v>58</v>
      </c>
      <c r="F709" s="8">
        <f t="shared" si="170"/>
        <v>58</v>
      </c>
      <c r="G709" s="8" t="s">
        <v>114</v>
      </c>
      <c r="H709" s="8" t="s">
        <v>115</v>
      </c>
      <c r="I709" s="8" t="s">
        <v>16</v>
      </c>
      <c r="J709" s="8">
        <v>35</v>
      </c>
      <c r="K709" s="8">
        <f t="shared" si="171"/>
        <v>35</v>
      </c>
      <c r="L709" s="8">
        <v>100</v>
      </c>
      <c r="M709" s="9">
        <f t="shared" si="172"/>
        <v>100</v>
      </c>
      <c r="N709" s="8">
        <v>2.2999999999999998</v>
      </c>
      <c r="O709" s="10">
        <f t="shared" si="173"/>
        <v>2.2999999999999998</v>
      </c>
      <c r="P709" s="8" t="s">
        <v>2051</v>
      </c>
      <c r="Q709" s="13"/>
      <c r="S709" s="12">
        <f t="shared" si="174"/>
        <v>0.79269417475728277</v>
      </c>
    </row>
    <row r="710" spans="1:19" x14ac:dyDescent="0.35">
      <c r="A710" s="8" t="s">
        <v>1441</v>
      </c>
      <c r="B710" s="8" t="s">
        <v>1442</v>
      </c>
      <c r="C710" s="8" t="s">
        <v>1</v>
      </c>
      <c r="D710" s="8" t="str">
        <f t="shared" si="165"/>
        <v>Female</v>
      </c>
      <c r="E710" s="8">
        <v>36</v>
      </c>
      <c r="F710" s="8">
        <f t="shared" si="170"/>
        <v>36</v>
      </c>
      <c r="G710" s="8" t="s">
        <v>25</v>
      </c>
      <c r="H710" s="8" t="s">
        <v>26</v>
      </c>
      <c r="I710" s="8" t="s">
        <v>20</v>
      </c>
      <c r="J710" s="8">
        <v>17</v>
      </c>
      <c r="K710" s="8">
        <f t="shared" si="171"/>
        <v>17</v>
      </c>
      <c r="L710" s="8">
        <v>20</v>
      </c>
      <c r="M710" s="9">
        <f t="shared" si="172"/>
        <v>20</v>
      </c>
      <c r="N710" s="8">
        <v>0</v>
      </c>
      <c r="O710" s="11">
        <f t="shared" si="173"/>
        <v>0</v>
      </c>
      <c r="P710" s="8" t="s">
        <v>2051</v>
      </c>
      <c r="Q710" s="8">
        <v>99</v>
      </c>
      <c r="R710" s="12">
        <v>0.99</v>
      </c>
      <c r="S710" s="12">
        <f t="shared" si="174"/>
        <v>0.99</v>
      </c>
    </row>
    <row r="711" spans="1:19" x14ac:dyDescent="0.35">
      <c r="A711" s="8" t="s">
        <v>1443</v>
      </c>
      <c r="B711" s="8" t="s">
        <v>1444</v>
      </c>
      <c r="C711" s="8" t="s">
        <v>41</v>
      </c>
      <c r="D711" s="8" t="str">
        <f t="shared" si="165"/>
        <v>Male</v>
      </c>
      <c r="E711" s="13"/>
      <c r="F711" s="8">
        <f t="shared" si="170"/>
        <v>41</v>
      </c>
      <c r="G711" s="8" t="s">
        <v>99</v>
      </c>
      <c r="H711" s="8" t="s">
        <v>100</v>
      </c>
      <c r="I711" s="8" t="s">
        <v>27</v>
      </c>
      <c r="J711" s="8">
        <v>12</v>
      </c>
      <c r="K711" s="8">
        <f t="shared" si="171"/>
        <v>12</v>
      </c>
      <c r="L711" s="8">
        <v>30</v>
      </c>
      <c r="M711" s="9">
        <f t="shared" si="172"/>
        <v>30</v>
      </c>
      <c r="N711" s="8">
        <v>2.6</v>
      </c>
      <c r="O711" s="10">
        <f t="shared" si="173"/>
        <v>2.6</v>
      </c>
      <c r="P711" s="8" t="s">
        <v>2051</v>
      </c>
      <c r="Q711" s="13"/>
      <c r="S711" s="12">
        <f t="shared" si="174"/>
        <v>0.79269417475728277</v>
      </c>
    </row>
    <row r="712" spans="1:19" x14ac:dyDescent="0.35">
      <c r="A712" s="8" t="s">
        <v>1445</v>
      </c>
      <c r="B712" s="8" t="s">
        <v>1446</v>
      </c>
      <c r="C712" s="8" t="s">
        <v>70</v>
      </c>
      <c r="D712" s="8" t="str">
        <f t="shared" si="165"/>
        <v>Male</v>
      </c>
      <c r="E712" s="8">
        <v>56</v>
      </c>
      <c r="F712" s="8">
        <f t="shared" si="170"/>
        <v>56</v>
      </c>
      <c r="G712" s="8" t="s">
        <v>128</v>
      </c>
      <c r="H712" s="8" t="s">
        <v>129</v>
      </c>
      <c r="I712" s="8" t="s">
        <v>90</v>
      </c>
      <c r="J712" s="8">
        <v>30</v>
      </c>
      <c r="K712" s="8">
        <f t="shared" si="171"/>
        <v>30</v>
      </c>
      <c r="L712" s="8">
        <v>40</v>
      </c>
      <c r="M712" s="9">
        <f t="shared" si="172"/>
        <v>40</v>
      </c>
      <c r="N712" s="8">
        <v>3.3</v>
      </c>
      <c r="O712" s="10">
        <f t="shared" si="173"/>
        <v>3.3</v>
      </c>
      <c r="P712" s="8" t="s">
        <v>2051</v>
      </c>
      <c r="Q712" s="14">
        <v>0.82</v>
      </c>
      <c r="R712" s="12">
        <f t="shared" ref="R712:R713" si="175">Q712</f>
        <v>0.82</v>
      </c>
      <c r="S712" s="12">
        <f t="shared" si="174"/>
        <v>0.82</v>
      </c>
    </row>
    <row r="713" spans="1:19" x14ac:dyDescent="0.35">
      <c r="A713" s="8" t="s">
        <v>1447</v>
      </c>
      <c r="B713" s="8" t="s">
        <v>1448</v>
      </c>
      <c r="C713" s="8" t="s">
        <v>1</v>
      </c>
      <c r="D713" s="8" t="str">
        <f t="shared" si="165"/>
        <v>Female</v>
      </c>
      <c r="E713" s="8">
        <v>58</v>
      </c>
      <c r="F713" s="8">
        <f t="shared" si="170"/>
        <v>58</v>
      </c>
      <c r="G713" s="8" t="s">
        <v>103</v>
      </c>
      <c r="H713" s="8" t="s">
        <v>9</v>
      </c>
      <c r="I713" s="8" t="s">
        <v>56</v>
      </c>
      <c r="J713" s="8">
        <v>20</v>
      </c>
      <c r="K713" s="8">
        <f t="shared" si="171"/>
        <v>20</v>
      </c>
      <c r="L713" s="8">
        <v>75</v>
      </c>
      <c r="M713" s="9">
        <f t="shared" si="172"/>
        <v>75</v>
      </c>
      <c r="N713" s="8">
        <v>3.6</v>
      </c>
      <c r="O713" s="10">
        <f t="shared" si="173"/>
        <v>3.6</v>
      </c>
      <c r="P713" s="8" t="s">
        <v>2051</v>
      </c>
      <c r="Q713" s="14">
        <v>0.78</v>
      </c>
      <c r="R713" s="12">
        <f t="shared" si="175"/>
        <v>0.78</v>
      </c>
      <c r="S713" s="12">
        <f t="shared" si="174"/>
        <v>0.78</v>
      </c>
    </row>
    <row r="714" spans="1:19" x14ac:dyDescent="0.35">
      <c r="A714" s="8" t="s">
        <v>1449</v>
      </c>
      <c r="B714" s="8" t="s">
        <v>1450</v>
      </c>
      <c r="C714" s="8" t="s">
        <v>1</v>
      </c>
      <c r="D714" s="8" t="str">
        <f t="shared" si="165"/>
        <v>Female</v>
      </c>
      <c r="E714" s="8">
        <v>58</v>
      </c>
      <c r="F714" s="8">
        <f t="shared" si="170"/>
        <v>58</v>
      </c>
      <c r="G714" s="8" t="s">
        <v>38</v>
      </c>
      <c r="H714" s="8" t="s">
        <v>9</v>
      </c>
      <c r="I714" s="8" t="s">
        <v>56</v>
      </c>
      <c r="J714" s="8">
        <v>22</v>
      </c>
      <c r="K714" s="8">
        <f t="shared" si="171"/>
        <v>22</v>
      </c>
      <c r="L714" s="8">
        <v>100</v>
      </c>
      <c r="M714" s="9">
        <f t="shared" si="172"/>
        <v>100</v>
      </c>
      <c r="N714" s="8">
        <v>3.7</v>
      </c>
      <c r="O714" s="10">
        <f t="shared" si="173"/>
        <v>3.7</v>
      </c>
      <c r="P714" s="8" t="s">
        <v>2050</v>
      </c>
      <c r="Q714" s="13"/>
      <c r="S714" s="12">
        <f t="shared" si="174"/>
        <v>0.79269417475728277</v>
      </c>
    </row>
    <row r="715" spans="1:19" x14ac:dyDescent="0.35">
      <c r="A715" s="8" t="s">
        <v>1451</v>
      </c>
      <c r="B715" s="8" t="s">
        <v>1452</v>
      </c>
      <c r="C715" s="8" t="s">
        <v>19</v>
      </c>
      <c r="D715" s="8" t="str">
        <f t="shared" si="165"/>
        <v>Female</v>
      </c>
      <c r="E715" s="8">
        <v>54</v>
      </c>
      <c r="F715" s="8">
        <f t="shared" si="170"/>
        <v>54</v>
      </c>
      <c r="G715" s="8" t="s">
        <v>46</v>
      </c>
      <c r="H715" s="8" t="s">
        <v>9</v>
      </c>
      <c r="I715" s="8" t="s">
        <v>27</v>
      </c>
      <c r="J715" s="8">
        <v>32</v>
      </c>
      <c r="K715" s="8">
        <f t="shared" si="171"/>
        <v>32</v>
      </c>
      <c r="L715" s="8">
        <v>20</v>
      </c>
      <c r="M715" s="9">
        <f t="shared" si="172"/>
        <v>20</v>
      </c>
      <c r="N715" s="8">
        <v>3.4</v>
      </c>
      <c r="O715" s="10">
        <f t="shared" si="173"/>
        <v>3.4</v>
      </c>
      <c r="P715" s="8" t="s">
        <v>2050</v>
      </c>
      <c r="Q715" s="13"/>
      <c r="S715" s="12">
        <f t="shared" si="174"/>
        <v>0.79269417475728277</v>
      </c>
    </row>
    <row r="716" spans="1:19" x14ac:dyDescent="0.35">
      <c r="A716" s="8" t="s">
        <v>1453</v>
      </c>
      <c r="B716" s="8" t="s">
        <v>1454</v>
      </c>
      <c r="C716" s="8" t="s">
        <v>13</v>
      </c>
      <c r="D716" s="8" t="str">
        <f t="shared" si="165"/>
        <v>Male</v>
      </c>
      <c r="E716" s="8">
        <v>53</v>
      </c>
      <c r="F716" s="8">
        <f t="shared" si="170"/>
        <v>53</v>
      </c>
      <c r="G716" s="8" t="s">
        <v>8</v>
      </c>
      <c r="H716" s="8" t="s">
        <v>9</v>
      </c>
      <c r="I716" s="8" t="s">
        <v>52</v>
      </c>
      <c r="J716" s="8">
        <v>9</v>
      </c>
      <c r="K716" s="8">
        <f t="shared" si="171"/>
        <v>9</v>
      </c>
      <c r="L716" s="8">
        <v>50</v>
      </c>
      <c r="M716" s="9">
        <f t="shared" si="172"/>
        <v>50</v>
      </c>
      <c r="N716" s="8">
        <v>4</v>
      </c>
      <c r="O716" s="10">
        <f t="shared" si="173"/>
        <v>4</v>
      </c>
      <c r="P716" s="8" t="s">
        <v>2051</v>
      </c>
      <c r="Q716" s="14">
        <v>0.72</v>
      </c>
      <c r="R716" s="12">
        <f>Q716</f>
        <v>0.72</v>
      </c>
      <c r="S716" s="12">
        <f t="shared" si="174"/>
        <v>0.72</v>
      </c>
    </row>
    <row r="717" spans="1:19" x14ac:dyDescent="0.35">
      <c r="A717" s="8" t="s">
        <v>1455</v>
      </c>
      <c r="B717" s="8" t="s">
        <v>1456</v>
      </c>
      <c r="C717" s="8" t="s">
        <v>55</v>
      </c>
      <c r="D717" s="8" t="str">
        <f t="shared" si="165"/>
        <v>Female</v>
      </c>
      <c r="E717" s="8">
        <v>43</v>
      </c>
      <c r="F717" s="8">
        <f t="shared" si="170"/>
        <v>43</v>
      </c>
      <c r="G717" s="8" t="s">
        <v>8</v>
      </c>
      <c r="H717" s="8" t="s">
        <v>9</v>
      </c>
      <c r="I717" s="8" t="s">
        <v>20</v>
      </c>
      <c r="J717" s="8">
        <v>22</v>
      </c>
      <c r="K717" s="8">
        <f t="shared" si="171"/>
        <v>22</v>
      </c>
      <c r="L717" s="8">
        <v>40</v>
      </c>
      <c r="M717" s="9">
        <f t="shared" si="172"/>
        <v>40</v>
      </c>
      <c r="N717" s="8">
        <v>4.5</v>
      </c>
      <c r="O717" s="10">
        <f t="shared" si="173"/>
        <v>4.5</v>
      </c>
      <c r="P717" s="13" t="s">
        <v>2050</v>
      </c>
      <c r="Q717" s="13"/>
      <c r="S717" s="12">
        <f t="shared" si="174"/>
        <v>0.79269417475728277</v>
      </c>
    </row>
    <row r="718" spans="1:19" x14ac:dyDescent="0.35">
      <c r="A718" s="8" t="s">
        <v>1457</v>
      </c>
      <c r="B718" s="8" t="s">
        <v>1458</v>
      </c>
      <c r="C718" s="8" t="s">
        <v>70</v>
      </c>
      <c r="D718" s="8" t="str">
        <f t="shared" si="165"/>
        <v>Male</v>
      </c>
      <c r="E718" s="8">
        <v>44</v>
      </c>
      <c r="F718" s="8">
        <f t="shared" si="170"/>
        <v>44</v>
      </c>
      <c r="G718" s="8" t="s">
        <v>88</v>
      </c>
      <c r="H718" s="8" t="s">
        <v>89</v>
      </c>
      <c r="I718" s="8" t="s">
        <v>90</v>
      </c>
      <c r="J718" s="8">
        <v>1</v>
      </c>
      <c r="K718" s="8">
        <f t="shared" si="171"/>
        <v>1</v>
      </c>
      <c r="L718" s="8">
        <v>75</v>
      </c>
      <c r="M718" s="9">
        <f t="shared" si="172"/>
        <v>75</v>
      </c>
      <c r="N718" s="8">
        <v>4.3</v>
      </c>
      <c r="O718" s="10">
        <f t="shared" si="173"/>
        <v>4.3</v>
      </c>
      <c r="P718" s="8" t="s">
        <v>2051</v>
      </c>
      <c r="Q718" s="13"/>
      <c r="S718" s="12">
        <f t="shared" si="174"/>
        <v>0.79269417475728277</v>
      </c>
    </row>
    <row r="719" spans="1:19" x14ac:dyDescent="0.35">
      <c r="A719" s="8" t="s">
        <v>1459</v>
      </c>
      <c r="B719" s="8" t="s">
        <v>1460</v>
      </c>
      <c r="C719" s="8" t="s">
        <v>70</v>
      </c>
      <c r="D719" s="8" t="str">
        <f t="shared" si="165"/>
        <v>Male</v>
      </c>
      <c r="E719" s="8">
        <v>34</v>
      </c>
      <c r="F719" s="8">
        <f t="shared" si="170"/>
        <v>34</v>
      </c>
      <c r="G719" s="8" t="s">
        <v>103</v>
      </c>
      <c r="H719" s="8" t="s">
        <v>9</v>
      </c>
      <c r="I719" s="8" t="s">
        <v>56</v>
      </c>
      <c r="J719" s="8">
        <v>4</v>
      </c>
      <c r="K719" s="8">
        <f t="shared" si="171"/>
        <v>4</v>
      </c>
      <c r="L719" s="8">
        <v>75</v>
      </c>
      <c r="M719" s="9">
        <f t="shared" si="172"/>
        <v>75</v>
      </c>
      <c r="N719" s="8">
        <v>4</v>
      </c>
      <c r="O719" s="10">
        <f t="shared" si="173"/>
        <v>4</v>
      </c>
      <c r="P719" s="8" t="s">
        <v>2051</v>
      </c>
      <c r="Q719" s="13"/>
      <c r="S719" s="12">
        <f t="shared" si="174"/>
        <v>0.79269417475728277</v>
      </c>
    </row>
    <row r="720" spans="1:19" x14ac:dyDescent="0.35">
      <c r="A720" s="8" t="s">
        <v>1461</v>
      </c>
      <c r="B720" s="8" t="s">
        <v>1462</v>
      </c>
      <c r="C720" s="8" t="s">
        <v>22</v>
      </c>
      <c r="D720" s="8" t="str">
        <f t="shared" si="165"/>
        <v>Female</v>
      </c>
      <c r="E720" s="8">
        <v>27</v>
      </c>
      <c r="F720" s="8">
        <f t="shared" si="170"/>
        <v>27</v>
      </c>
      <c r="G720" s="8" t="s">
        <v>84</v>
      </c>
      <c r="H720" s="8" t="s">
        <v>85</v>
      </c>
      <c r="I720" s="8" t="s">
        <v>10</v>
      </c>
      <c r="J720" s="8">
        <v>8</v>
      </c>
      <c r="K720" s="8">
        <f t="shared" si="171"/>
        <v>8</v>
      </c>
      <c r="L720" s="8">
        <v>50</v>
      </c>
      <c r="M720" s="9">
        <f t="shared" si="172"/>
        <v>50</v>
      </c>
      <c r="N720" s="8">
        <v>1.6</v>
      </c>
      <c r="O720" s="10">
        <f t="shared" si="173"/>
        <v>1.6</v>
      </c>
      <c r="P720" s="8" t="s">
        <v>2051</v>
      </c>
      <c r="Q720" s="13"/>
      <c r="S720" s="12">
        <f t="shared" si="174"/>
        <v>0.79269417475728277</v>
      </c>
    </row>
    <row r="721" spans="1:19" x14ac:dyDescent="0.35">
      <c r="A721" s="8" t="s">
        <v>1463</v>
      </c>
      <c r="B721" s="8" t="s">
        <v>1464</v>
      </c>
      <c r="C721" s="8" t="s">
        <v>30</v>
      </c>
      <c r="D721" s="8" t="str">
        <f t="shared" si="165"/>
        <v>Male</v>
      </c>
      <c r="E721" s="8">
        <v>50</v>
      </c>
      <c r="F721" s="8">
        <f t="shared" si="170"/>
        <v>50</v>
      </c>
      <c r="G721" s="8" t="s">
        <v>63</v>
      </c>
      <c r="H721" s="8" t="s">
        <v>64</v>
      </c>
      <c r="I721" s="8" t="s">
        <v>33</v>
      </c>
      <c r="J721" s="8">
        <v>3</v>
      </c>
      <c r="K721" s="8">
        <f t="shared" si="171"/>
        <v>3</v>
      </c>
      <c r="L721" s="8">
        <v>100</v>
      </c>
      <c r="M721" s="9">
        <f t="shared" si="172"/>
        <v>100</v>
      </c>
      <c r="N721" s="8">
        <v>0</v>
      </c>
      <c r="O721" s="11">
        <f t="shared" si="173"/>
        <v>0</v>
      </c>
      <c r="P721" s="8" t="s">
        <v>2051</v>
      </c>
      <c r="Q721" s="13"/>
      <c r="S721" s="12">
        <f t="shared" si="174"/>
        <v>0.79269417475728277</v>
      </c>
    </row>
    <row r="722" spans="1:19" x14ac:dyDescent="0.35">
      <c r="A722" s="8" t="s">
        <v>1465</v>
      </c>
      <c r="B722" s="8" t="s">
        <v>1466</v>
      </c>
      <c r="C722" s="8" t="s">
        <v>22</v>
      </c>
      <c r="D722" s="8" t="str">
        <f t="shared" si="165"/>
        <v>Female</v>
      </c>
      <c r="E722" s="8">
        <v>52</v>
      </c>
      <c r="F722" s="8">
        <f t="shared" si="170"/>
        <v>52</v>
      </c>
      <c r="G722" s="8" t="s">
        <v>88</v>
      </c>
      <c r="H722" s="8" t="s">
        <v>89</v>
      </c>
      <c r="I722" s="8" t="s">
        <v>52</v>
      </c>
      <c r="J722" s="8">
        <v>30</v>
      </c>
      <c r="K722" s="8">
        <f t="shared" si="171"/>
        <v>30</v>
      </c>
      <c r="L722" s="8">
        <v>75</v>
      </c>
      <c r="M722" s="9">
        <f t="shared" si="172"/>
        <v>75</v>
      </c>
      <c r="O722" s="10">
        <f t="shared" si="173"/>
        <v>2.5125695216907653</v>
      </c>
      <c r="P722" s="8" t="s">
        <v>2050</v>
      </c>
      <c r="Q722" s="14">
        <v>0.94</v>
      </c>
      <c r="R722" s="12">
        <f>Q722</f>
        <v>0.94</v>
      </c>
      <c r="S722" s="12">
        <f t="shared" si="174"/>
        <v>0.94</v>
      </c>
    </row>
    <row r="723" spans="1:19" x14ac:dyDescent="0.35">
      <c r="A723" s="8" t="s">
        <v>1467</v>
      </c>
      <c r="B723" s="8" t="s">
        <v>1468</v>
      </c>
      <c r="C723" s="8" t="s">
        <v>41</v>
      </c>
      <c r="D723" s="8" t="str">
        <f t="shared" si="165"/>
        <v>Male</v>
      </c>
      <c r="E723" s="8">
        <v>57</v>
      </c>
      <c r="F723" s="8">
        <f t="shared" si="170"/>
        <v>57</v>
      </c>
      <c r="G723" s="8" t="s">
        <v>162</v>
      </c>
      <c r="H723" s="8" t="s">
        <v>51</v>
      </c>
      <c r="I723" s="8" t="s">
        <v>4</v>
      </c>
      <c r="J723" s="8">
        <v>11</v>
      </c>
      <c r="K723" s="8">
        <f t="shared" si="171"/>
        <v>11</v>
      </c>
      <c r="L723" s="8">
        <v>20</v>
      </c>
      <c r="M723" s="9">
        <f t="shared" si="172"/>
        <v>20</v>
      </c>
      <c r="N723" s="8">
        <v>4.9000000000000004</v>
      </c>
      <c r="O723" s="10">
        <f t="shared" si="173"/>
        <v>4.9000000000000004</v>
      </c>
      <c r="P723" s="8" t="s">
        <v>2051</v>
      </c>
      <c r="Q723" s="13"/>
      <c r="S723" s="12">
        <f t="shared" si="174"/>
        <v>0.79269417475728277</v>
      </c>
    </row>
    <row r="724" spans="1:19" x14ac:dyDescent="0.35">
      <c r="A724" s="8" t="s">
        <v>1469</v>
      </c>
      <c r="B724" s="8" t="s">
        <v>1470</v>
      </c>
      <c r="C724" s="8" t="s">
        <v>22</v>
      </c>
      <c r="D724" s="8" t="str">
        <f t="shared" si="165"/>
        <v>Female</v>
      </c>
      <c r="E724" s="8">
        <v>53</v>
      </c>
      <c r="F724" s="8">
        <f t="shared" si="170"/>
        <v>53</v>
      </c>
      <c r="G724" s="8" t="s">
        <v>151</v>
      </c>
      <c r="H724" s="8" t="s">
        <v>51</v>
      </c>
      <c r="I724" s="8" t="s">
        <v>67</v>
      </c>
      <c r="J724" s="8">
        <v>8</v>
      </c>
      <c r="K724" s="8">
        <f t="shared" si="171"/>
        <v>8</v>
      </c>
      <c r="L724" s="8">
        <v>20</v>
      </c>
      <c r="M724" s="9">
        <f t="shared" si="172"/>
        <v>20</v>
      </c>
      <c r="N724" s="8">
        <v>2.8</v>
      </c>
      <c r="O724" s="10">
        <f t="shared" si="173"/>
        <v>2.8</v>
      </c>
      <c r="P724" s="8" t="s">
        <v>2051</v>
      </c>
      <c r="Q724" s="13"/>
      <c r="S724" s="12">
        <f t="shared" si="174"/>
        <v>0.79269417475728277</v>
      </c>
    </row>
    <row r="725" spans="1:19" x14ac:dyDescent="0.35">
      <c r="A725" s="8" t="s">
        <v>1471</v>
      </c>
      <c r="B725" s="8" t="s">
        <v>1472</v>
      </c>
      <c r="C725" s="8" t="s">
        <v>30</v>
      </c>
      <c r="D725" s="8" t="str">
        <f t="shared" si="165"/>
        <v>Male</v>
      </c>
      <c r="E725" s="8">
        <v>51</v>
      </c>
      <c r="F725" s="8">
        <f t="shared" si="170"/>
        <v>51</v>
      </c>
      <c r="G725" s="8" t="s">
        <v>42</v>
      </c>
      <c r="H725" s="8" t="s">
        <v>43</v>
      </c>
      <c r="I725" s="8" t="s">
        <v>52</v>
      </c>
      <c r="J725" s="8">
        <v>11</v>
      </c>
      <c r="K725" s="8">
        <f t="shared" si="171"/>
        <v>11</v>
      </c>
      <c r="L725" s="8">
        <v>30</v>
      </c>
      <c r="M725" s="9">
        <f t="shared" si="172"/>
        <v>30</v>
      </c>
      <c r="N725" s="8">
        <v>3.6</v>
      </c>
      <c r="O725" s="10">
        <f t="shared" si="173"/>
        <v>3.6</v>
      </c>
      <c r="P725" s="8" t="s">
        <v>2051</v>
      </c>
      <c r="Q725" s="14">
        <v>0.77</v>
      </c>
      <c r="R725" s="12">
        <f>Q725</f>
        <v>0.77</v>
      </c>
      <c r="S725" s="12">
        <f t="shared" si="174"/>
        <v>0.77</v>
      </c>
    </row>
    <row r="726" spans="1:19" x14ac:dyDescent="0.35">
      <c r="A726" s="8" t="s">
        <v>1473</v>
      </c>
      <c r="B726" s="8" t="s">
        <v>1474</v>
      </c>
      <c r="C726" s="8" t="s">
        <v>7</v>
      </c>
      <c r="D726" s="8" t="str">
        <f t="shared" si="165"/>
        <v>Female</v>
      </c>
      <c r="E726" s="8">
        <v>37</v>
      </c>
      <c r="F726" s="8">
        <f t="shared" si="170"/>
        <v>37</v>
      </c>
      <c r="G726" s="8" t="s">
        <v>103</v>
      </c>
      <c r="H726" s="8" t="s">
        <v>9</v>
      </c>
      <c r="I726" s="8" t="s">
        <v>56</v>
      </c>
      <c r="J726" s="8">
        <v>9</v>
      </c>
      <c r="K726" s="8">
        <f t="shared" si="171"/>
        <v>9</v>
      </c>
      <c r="L726" s="8">
        <v>50</v>
      </c>
      <c r="M726" s="9">
        <f t="shared" si="172"/>
        <v>50</v>
      </c>
      <c r="O726" s="10">
        <f t="shared" si="173"/>
        <v>2.5125695216907653</v>
      </c>
      <c r="P726" s="8" t="s">
        <v>2051</v>
      </c>
      <c r="Q726" s="8">
        <v>84</v>
      </c>
      <c r="R726" s="12">
        <v>0.84</v>
      </c>
      <c r="S726" s="12">
        <f t="shared" si="174"/>
        <v>0.84</v>
      </c>
    </row>
    <row r="727" spans="1:19" x14ac:dyDescent="0.35">
      <c r="A727" s="8" t="s">
        <v>1475</v>
      </c>
      <c r="B727" s="8" t="s">
        <v>1476</v>
      </c>
      <c r="C727" s="8" t="s">
        <v>41</v>
      </c>
      <c r="D727" s="8" t="str">
        <f t="shared" si="165"/>
        <v>Male</v>
      </c>
      <c r="E727" s="8">
        <v>40</v>
      </c>
      <c r="F727" s="8">
        <f t="shared" si="170"/>
        <v>40</v>
      </c>
      <c r="G727" s="8" t="s">
        <v>162</v>
      </c>
      <c r="H727" s="8" t="s">
        <v>51</v>
      </c>
      <c r="I727" s="8" t="s">
        <v>20</v>
      </c>
      <c r="J727" s="8">
        <v>7</v>
      </c>
      <c r="K727" s="8">
        <f t="shared" si="171"/>
        <v>7</v>
      </c>
      <c r="L727" s="8">
        <v>40</v>
      </c>
      <c r="M727" s="9">
        <f t="shared" si="172"/>
        <v>40</v>
      </c>
      <c r="N727" s="8">
        <v>4.5</v>
      </c>
      <c r="O727" s="10">
        <f t="shared" si="173"/>
        <v>4.5</v>
      </c>
      <c r="P727" s="13" t="s">
        <v>2050</v>
      </c>
      <c r="Q727" s="8">
        <v>79</v>
      </c>
      <c r="R727" s="12">
        <v>0.79</v>
      </c>
      <c r="S727" s="12">
        <f t="shared" si="174"/>
        <v>0.79</v>
      </c>
    </row>
    <row r="728" spans="1:19" x14ac:dyDescent="0.35">
      <c r="A728" s="8" t="s">
        <v>1477</v>
      </c>
      <c r="B728" s="8" t="s">
        <v>1478</v>
      </c>
      <c r="C728" s="8" t="s">
        <v>30</v>
      </c>
      <c r="D728" s="8" t="str">
        <f t="shared" si="165"/>
        <v>Male</v>
      </c>
      <c r="E728" s="8">
        <v>60</v>
      </c>
      <c r="F728" s="8">
        <f t="shared" si="170"/>
        <v>60</v>
      </c>
      <c r="G728" s="8" t="s">
        <v>63</v>
      </c>
      <c r="H728" s="8" t="s">
        <v>64</v>
      </c>
      <c r="I728" s="8" t="s">
        <v>33</v>
      </c>
      <c r="J728" s="8">
        <v>24</v>
      </c>
      <c r="K728" s="8">
        <f t="shared" si="171"/>
        <v>24</v>
      </c>
      <c r="L728" s="8">
        <v>40</v>
      </c>
      <c r="M728" s="9">
        <f t="shared" si="172"/>
        <v>40</v>
      </c>
      <c r="N728" s="8">
        <v>3.1</v>
      </c>
      <c r="O728" s="10">
        <f t="shared" si="173"/>
        <v>3.1</v>
      </c>
      <c r="P728" s="8" t="s">
        <v>2050</v>
      </c>
      <c r="Q728" s="14">
        <v>0.69</v>
      </c>
      <c r="R728" s="12">
        <f t="shared" ref="R728:R729" si="176">Q728</f>
        <v>0.69</v>
      </c>
      <c r="S728" s="12">
        <f t="shared" si="174"/>
        <v>0.69</v>
      </c>
    </row>
    <row r="729" spans="1:19" x14ac:dyDescent="0.35">
      <c r="A729" s="8" t="s">
        <v>1479</v>
      </c>
      <c r="B729" s="8" t="s">
        <v>1480</v>
      </c>
      <c r="C729" s="8" t="s">
        <v>70</v>
      </c>
      <c r="D729" s="8" t="str">
        <f t="shared" si="165"/>
        <v>Male</v>
      </c>
      <c r="E729" s="8">
        <v>60</v>
      </c>
      <c r="F729" s="8">
        <f t="shared" si="170"/>
        <v>60</v>
      </c>
      <c r="G729" s="8" t="s">
        <v>110</v>
      </c>
      <c r="H729" s="8" t="s">
        <v>111</v>
      </c>
      <c r="I729" s="8" t="s">
        <v>52</v>
      </c>
      <c r="J729" s="8">
        <v>0</v>
      </c>
      <c r="K729" s="8">
        <f t="shared" si="171"/>
        <v>0</v>
      </c>
      <c r="L729" s="8">
        <v>40</v>
      </c>
      <c r="M729" s="9">
        <f t="shared" si="172"/>
        <v>40</v>
      </c>
      <c r="N729" s="8">
        <v>4.9000000000000004</v>
      </c>
      <c r="O729" s="10">
        <f t="shared" si="173"/>
        <v>4.9000000000000004</v>
      </c>
      <c r="P729" s="8" t="s">
        <v>2051</v>
      </c>
      <c r="Q729" s="14">
        <v>0.68</v>
      </c>
      <c r="R729" s="12">
        <f t="shared" si="176"/>
        <v>0.68</v>
      </c>
      <c r="S729" s="12">
        <f t="shared" si="174"/>
        <v>0.68</v>
      </c>
    </row>
    <row r="730" spans="1:19" x14ac:dyDescent="0.35">
      <c r="A730" s="8" t="s">
        <v>1481</v>
      </c>
      <c r="B730" s="8" t="s">
        <v>1482</v>
      </c>
      <c r="C730" s="8" t="s">
        <v>55</v>
      </c>
      <c r="D730" s="8" t="str">
        <f t="shared" si="165"/>
        <v>Female</v>
      </c>
      <c r="E730" s="8">
        <v>53</v>
      </c>
      <c r="F730" s="8">
        <f t="shared" si="170"/>
        <v>53</v>
      </c>
      <c r="G730" s="8" t="s">
        <v>88</v>
      </c>
      <c r="H730" s="8" t="s">
        <v>89</v>
      </c>
      <c r="I730" s="8" t="s">
        <v>52</v>
      </c>
      <c r="J730" s="8">
        <v>21</v>
      </c>
      <c r="K730" s="8">
        <f t="shared" si="171"/>
        <v>21</v>
      </c>
      <c r="L730" s="8">
        <v>30</v>
      </c>
      <c r="M730" s="9">
        <f t="shared" si="172"/>
        <v>30</v>
      </c>
      <c r="N730" s="8">
        <v>4.2</v>
      </c>
      <c r="O730" s="10">
        <f t="shared" si="173"/>
        <v>4.2</v>
      </c>
      <c r="P730" s="8" t="s">
        <v>2051</v>
      </c>
      <c r="Q730" s="8">
        <v>73</v>
      </c>
      <c r="R730" s="12">
        <v>0.73</v>
      </c>
      <c r="S730" s="12">
        <f t="shared" si="174"/>
        <v>0.73</v>
      </c>
    </row>
    <row r="731" spans="1:19" x14ac:dyDescent="0.35">
      <c r="A731" s="8" t="s">
        <v>1483</v>
      </c>
      <c r="B731" s="8" t="s">
        <v>1484</v>
      </c>
      <c r="C731" s="8" t="s">
        <v>55</v>
      </c>
      <c r="D731" s="8" t="str">
        <f t="shared" si="165"/>
        <v>Female</v>
      </c>
      <c r="E731" s="8">
        <v>20</v>
      </c>
      <c r="F731" s="8">
        <f t="shared" si="170"/>
        <v>20</v>
      </c>
      <c r="G731" s="8" t="s">
        <v>151</v>
      </c>
      <c r="H731" s="8" t="s">
        <v>51</v>
      </c>
      <c r="I731" s="8" t="s">
        <v>4</v>
      </c>
      <c r="J731" s="8">
        <v>0</v>
      </c>
      <c r="K731" s="8">
        <f t="shared" si="171"/>
        <v>0</v>
      </c>
      <c r="L731" s="8">
        <v>75</v>
      </c>
      <c r="M731" s="9">
        <f t="shared" si="172"/>
        <v>75</v>
      </c>
      <c r="N731" s="8">
        <v>3.2</v>
      </c>
      <c r="O731" s="10">
        <f t="shared" si="173"/>
        <v>3.2</v>
      </c>
      <c r="P731" s="8" t="s">
        <v>2051</v>
      </c>
      <c r="Q731" s="14">
        <v>0.74</v>
      </c>
      <c r="R731" s="12">
        <f t="shared" ref="R731:R743" si="177">Q731</f>
        <v>0.74</v>
      </c>
      <c r="S731" s="12">
        <f t="shared" si="174"/>
        <v>0.74</v>
      </c>
    </row>
    <row r="732" spans="1:19" x14ac:dyDescent="0.35">
      <c r="A732" s="8" t="s">
        <v>1485</v>
      </c>
      <c r="B732" s="8" t="s">
        <v>1486</v>
      </c>
      <c r="C732" s="8" t="s">
        <v>41</v>
      </c>
      <c r="D732" s="8" t="str">
        <f t="shared" si="165"/>
        <v>Male</v>
      </c>
      <c r="E732" s="8">
        <v>42</v>
      </c>
      <c r="F732" s="8">
        <f t="shared" si="170"/>
        <v>42</v>
      </c>
      <c r="G732" s="8" t="s">
        <v>99</v>
      </c>
      <c r="H732" s="8" t="s">
        <v>100</v>
      </c>
      <c r="I732" s="8" t="s">
        <v>20</v>
      </c>
      <c r="J732" s="8">
        <v>7</v>
      </c>
      <c r="K732" s="8">
        <f t="shared" si="171"/>
        <v>7</v>
      </c>
      <c r="L732" s="8">
        <v>20</v>
      </c>
      <c r="M732" s="9">
        <f t="shared" si="172"/>
        <v>20</v>
      </c>
      <c r="O732" s="10">
        <f t="shared" si="173"/>
        <v>2.5125695216907653</v>
      </c>
      <c r="P732" s="8" t="s">
        <v>2050</v>
      </c>
      <c r="Q732" s="14">
        <v>1</v>
      </c>
      <c r="R732" s="12">
        <f t="shared" si="177"/>
        <v>1</v>
      </c>
      <c r="S732" s="12">
        <f t="shared" si="174"/>
        <v>1</v>
      </c>
    </row>
    <row r="733" spans="1:19" x14ac:dyDescent="0.35">
      <c r="A733" s="8" t="s">
        <v>1487</v>
      </c>
      <c r="B733" s="8" t="s">
        <v>1488</v>
      </c>
      <c r="C733" s="8" t="s">
        <v>70</v>
      </c>
      <c r="D733" s="8" t="str">
        <f t="shared" si="165"/>
        <v>Male</v>
      </c>
      <c r="E733" s="8">
        <v>21</v>
      </c>
      <c r="F733" s="8">
        <f t="shared" si="170"/>
        <v>21</v>
      </c>
      <c r="G733" s="8" t="s">
        <v>46</v>
      </c>
      <c r="H733" s="8" t="s">
        <v>9</v>
      </c>
      <c r="I733" s="8" t="s">
        <v>10</v>
      </c>
      <c r="J733" s="8">
        <v>3</v>
      </c>
      <c r="K733" s="8">
        <f t="shared" si="171"/>
        <v>3</v>
      </c>
      <c r="L733" s="8">
        <v>40</v>
      </c>
      <c r="M733" s="9">
        <f t="shared" si="172"/>
        <v>40</v>
      </c>
      <c r="N733" s="8">
        <v>0</v>
      </c>
      <c r="O733" s="11">
        <f t="shared" si="173"/>
        <v>0</v>
      </c>
      <c r="P733" s="8" t="s">
        <v>2050</v>
      </c>
      <c r="Q733" s="14">
        <v>0.87</v>
      </c>
      <c r="R733" s="12">
        <f t="shared" si="177"/>
        <v>0.87</v>
      </c>
      <c r="S733" s="12">
        <f t="shared" si="174"/>
        <v>0.87</v>
      </c>
    </row>
    <row r="734" spans="1:19" x14ac:dyDescent="0.35">
      <c r="A734" s="8" t="s">
        <v>1489</v>
      </c>
      <c r="B734" s="8" t="s">
        <v>1490</v>
      </c>
      <c r="C734" s="8" t="s">
        <v>30</v>
      </c>
      <c r="D734" s="8" t="str">
        <f t="shared" si="165"/>
        <v>Male</v>
      </c>
      <c r="E734" s="8">
        <v>39</v>
      </c>
      <c r="F734" s="8">
        <f t="shared" si="170"/>
        <v>39</v>
      </c>
      <c r="G734" s="8" t="s">
        <v>14</v>
      </c>
      <c r="H734" s="8" t="s">
        <v>15</v>
      </c>
      <c r="I734" s="8" t="s">
        <v>20</v>
      </c>
      <c r="J734" s="8">
        <v>21</v>
      </c>
      <c r="K734" s="8">
        <f t="shared" si="171"/>
        <v>21</v>
      </c>
      <c r="L734" s="8">
        <v>100</v>
      </c>
      <c r="M734" s="9">
        <f t="shared" si="172"/>
        <v>100</v>
      </c>
      <c r="N734" s="8">
        <v>2.2000000000000002</v>
      </c>
      <c r="O734" s="10">
        <f t="shared" si="173"/>
        <v>2.2000000000000002</v>
      </c>
      <c r="P734" s="8" t="s">
        <v>2050</v>
      </c>
      <c r="Q734" s="14">
        <v>0.79</v>
      </c>
      <c r="R734" s="12">
        <f t="shared" si="177"/>
        <v>0.79</v>
      </c>
      <c r="S734" s="12">
        <f t="shared" si="174"/>
        <v>0.79</v>
      </c>
    </row>
    <row r="735" spans="1:19" x14ac:dyDescent="0.35">
      <c r="A735" s="8" t="s">
        <v>1491</v>
      </c>
      <c r="B735" s="8" t="s">
        <v>1492</v>
      </c>
      <c r="C735" s="8" t="s">
        <v>30</v>
      </c>
      <c r="D735" s="8" t="str">
        <f t="shared" si="165"/>
        <v>Male</v>
      </c>
      <c r="E735" s="8">
        <v>32</v>
      </c>
      <c r="F735" s="8">
        <f t="shared" si="170"/>
        <v>32</v>
      </c>
      <c r="G735" s="8" t="s">
        <v>71</v>
      </c>
      <c r="H735" s="8" t="s">
        <v>72</v>
      </c>
      <c r="I735" s="8" t="s">
        <v>4</v>
      </c>
      <c r="J735" s="13"/>
      <c r="K735" s="8">
        <f t="shared" si="171"/>
        <v>9</v>
      </c>
      <c r="L735" s="8">
        <v>30</v>
      </c>
      <c r="M735" s="9">
        <f t="shared" si="172"/>
        <v>30</v>
      </c>
      <c r="N735" s="8">
        <v>1.5</v>
      </c>
      <c r="O735" s="10">
        <f t="shared" si="173"/>
        <v>1.5</v>
      </c>
      <c r="P735" s="8" t="s">
        <v>2050</v>
      </c>
      <c r="Q735" s="14">
        <v>0.68</v>
      </c>
      <c r="R735" s="12">
        <f t="shared" si="177"/>
        <v>0.68</v>
      </c>
      <c r="S735" s="12">
        <f t="shared" si="174"/>
        <v>0.68</v>
      </c>
    </row>
    <row r="736" spans="1:19" x14ac:dyDescent="0.35">
      <c r="A736" s="8" t="s">
        <v>1493</v>
      </c>
      <c r="B736" s="8" t="s">
        <v>1494</v>
      </c>
      <c r="C736" s="8" t="s">
        <v>70</v>
      </c>
      <c r="D736" s="8" t="str">
        <f t="shared" si="165"/>
        <v>Male</v>
      </c>
      <c r="E736" s="8">
        <v>35</v>
      </c>
      <c r="F736" s="8">
        <f t="shared" si="170"/>
        <v>35</v>
      </c>
      <c r="G736" s="8" t="s">
        <v>14</v>
      </c>
      <c r="H736" s="8" t="s">
        <v>15</v>
      </c>
      <c r="I736" s="8" t="s">
        <v>33</v>
      </c>
      <c r="J736" s="13"/>
      <c r="K736" s="8">
        <f t="shared" si="171"/>
        <v>9</v>
      </c>
      <c r="L736" s="8">
        <v>100</v>
      </c>
      <c r="M736" s="9">
        <f t="shared" si="172"/>
        <v>100</v>
      </c>
      <c r="O736" s="10">
        <f t="shared" si="173"/>
        <v>2.5125695216907653</v>
      </c>
      <c r="P736" s="8" t="s">
        <v>2050</v>
      </c>
      <c r="Q736" s="14">
        <v>0.84</v>
      </c>
      <c r="R736" s="12">
        <f t="shared" si="177"/>
        <v>0.84</v>
      </c>
      <c r="S736" s="12">
        <f t="shared" si="174"/>
        <v>0.84</v>
      </c>
    </row>
    <row r="737" spans="1:19" x14ac:dyDescent="0.35">
      <c r="A737" s="8" t="s">
        <v>1495</v>
      </c>
      <c r="B737" s="8" t="s">
        <v>1496</v>
      </c>
      <c r="C737" s="8" t="s">
        <v>1</v>
      </c>
      <c r="D737" s="8" t="str">
        <f t="shared" si="165"/>
        <v>Female</v>
      </c>
      <c r="E737" s="8">
        <v>35</v>
      </c>
      <c r="F737" s="8">
        <f t="shared" si="170"/>
        <v>35</v>
      </c>
      <c r="G737" s="8" t="s">
        <v>110</v>
      </c>
      <c r="H737" s="8" t="s">
        <v>111</v>
      </c>
      <c r="I737" s="8" t="s">
        <v>52</v>
      </c>
      <c r="J737" s="8">
        <v>17</v>
      </c>
      <c r="K737" s="8">
        <f t="shared" si="171"/>
        <v>17</v>
      </c>
      <c r="L737" s="8">
        <v>50</v>
      </c>
      <c r="M737" s="9">
        <f t="shared" si="172"/>
        <v>50</v>
      </c>
      <c r="N737" s="8">
        <v>3.1</v>
      </c>
      <c r="O737" s="10">
        <f t="shared" si="173"/>
        <v>3.1</v>
      </c>
      <c r="P737" s="8" t="s">
        <v>2050</v>
      </c>
      <c r="Q737" s="14">
        <v>0.71</v>
      </c>
      <c r="R737" s="12">
        <f t="shared" si="177"/>
        <v>0.71</v>
      </c>
      <c r="S737" s="12">
        <f t="shared" si="174"/>
        <v>0.71</v>
      </c>
    </row>
    <row r="738" spans="1:19" x14ac:dyDescent="0.35">
      <c r="A738" s="8" t="s">
        <v>1497</v>
      </c>
      <c r="B738" s="8" t="s">
        <v>1498</v>
      </c>
      <c r="C738" s="8" t="s">
        <v>7</v>
      </c>
      <c r="D738" s="8" t="str">
        <f t="shared" si="165"/>
        <v>Female</v>
      </c>
      <c r="E738" s="8">
        <v>23</v>
      </c>
      <c r="F738" s="8">
        <f t="shared" si="170"/>
        <v>23</v>
      </c>
      <c r="G738" s="8" t="s">
        <v>50</v>
      </c>
      <c r="H738" s="8" t="s">
        <v>51</v>
      </c>
      <c r="I738" s="8" t="s">
        <v>52</v>
      </c>
      <c r="J738" s="8">
        <v>0</v>
      </c>
      <c r="K738" s="8">
        <f t="shared" si="171"/>
        <v>0</v>
      </c>
      <c r="L738" s="8">
        <v>75</v>
      </c>
      <c r="M738" s="9">
        <f t="shared" si="172"/>
        <v>75</v>
      </c>
      <c r="N738" s="8">
        <v>0</v>
      </c>
      <c r="O738" s="11">
        <f t="shared" si="173"/>
        <v>0</v>
      </c>
      <c r="P738" s="8" t="s">
        <v>2050</v>
      </c>
      <c r="Q738" s="14">
        <v>0.92</v>
      </c>
      <c r="R738" s="12">
        <f t="shared" si="177"/>
        <v>0.92</v>
      </c>
      <c r="S738" s="12">
        <f t="shared" si="174"/>
        <v>0.92</v>
      </c>
    </row>
    <row r="739" spans="1:19" x14ac:dyDescent="0.35">
      <c r="A739" s="8" t="s">
        <v>1499</v>
      </c>
      <c r="B739" s="8" t="s">
        <v>1500</v>
      </c>
      <c r="C739" s="8" t="s">
        <v>70</v>
      </c>
      <c r="D739" s="8" t="str">
        <f t="shared" si="165"/>
        <v>Male</v>
      </c>
      <c r="E739" s="8">
        <v>26</v>
      </c>
      <c r="F739" s="8">
        <f t="shared" si="170"/>
        <v>26</v>
      </c>
      <c r="G739" s="8" t="s">
        <v>25</v>
      </c>
      <c r="H739" s="8" t="s">
        <v>26</v>
      </c>
      <c r="I739" s="8" t="s">
        <v>27</v>
      </c>
      <c r="J739" s="8">
        <v>6</v>
      </c>
      <c r="K739" s="8">
        <f t="shared" si="171"/>
        <v>6</v>
      </c>
      <c r="L739" s="8">
        <v>100</v>
      </c>
      <c r="M739" s="9">
        <f t="shared" si="172"/>
        <v>100</v>
      </c>
      <c r="O739" s="10">
        <f t="shared" si="173"/>
        <v>2.5125695216907653</v>
      </c>
      <c r="P739" s="8" t="s">
        <v>2050</v>
      </c>
      <c r="Q739" s="14">
        <v>0.69</v>
      </c>
      <c r="R739" s="12">
        <f t="shared" si="177"/>
        <v>0.69</v>
      </c>
      <c r="S739" s="12">
        <f t="shared" si="174"/>
        <v>0.69</v>
      </c>
    </row>
    <row r="740" spans="1:19" x14ac:dyDescent="0.35">
      <c r="A740" s="8" t="s">
        <v>1501</v>
      </c>
      <c r="B740" s="8" t="s">
        <v>1502</v>
      </c>
      <c r="C740" s="8" t="s">
        <v>19</v>
      </c>
      <c r="D740" s="8" t="str">
        <f t="shared" si="165"/>
        <v>Female</v>
      </c>
      <c r="E740" s="8">
        <v>34</v>
      </c>
      <c r="F740" s="8">
        <f t="shared" si="170"/>
        <v>34</v>
      </c>
      <c r="G740" s="8" t="s">
        <v>103</v>
      </c>
      <c r="H740" s="8" t="s">
        <v>9</v>
      </c>
      <c r="I740" s="8" t="s">
        <v>90</v>
      </c>
      <c r="J740" s="8">
        <v>3</v>
      </c>
      <c r="K740" s="8">
        <f t="shared" si="171"/>
        <v>3</v>
      </c>
      <c r="L740" s="13"/>
      <c r="M740" s="9">
        <f t="shared" si="172"/>
        <v>40</v>
      </c>
      <c r="N740" s="8">
        <v>0</v>
      </c>
      <c r="O740" s="11">
        <f t="shared" si="173"/>
        <v>0</v>
      </c>
      <c r="P740" s="8" t="s">
        <v>2051</v>
      </c>
      <c r="Q740" s="14">
        <v>0.71</v>
      </c>
      <c r="R740" s="12">
        <f t="shared" si="177"/>
        <v>0.71</v>
      </c>
      <c r="S740" s="12">
        <f t="shared" si="174"/>
        <v>0.71</v>
      </c>
    </row>
    <row r="741" spans="1:19" x14ac:dyDescent="0.35">
      <c r="A741" s="8" t="s">
        <v>1503</v>
      </c>
      <c r="B741" s="8" t="s">
        <v>1504</v>
      </c>
      <c r="C741" s="8" t="s">
        <v>55</v>
      </c>
      <c r="D741" s="8" t="str">
        <f t="shared" si="165"/>
        <v>Female</v>
      </c>
      <c r="E741" s="8">
        <v>34</v>
      </c>
      <c r="F741" s="8">
        <f t="shared" si="170"/>
        <v>34</v>
      </c>
      <c r="G741" s="8" t="s">
        <v>14</v>
      </c>
      <c r="H741" s="8" t="s">
        <v>15</v>
      </c>
      <c r="I741" s="8" t="s">
        <v>4</v>
      </c>
      <c r="J741" s="8">
        <v>3</v>
      </c>
      <c r="K741" s="8">
        <f t="shared" si="171"/>
        <v>3</v>
      </c>
      <c r="L741" s="13"/>
      <c r="M741" s="9">
        <f t="shared" si="172"/>
        <v>40</v>
      </c>
      <c r="O741" s="10">
        <f t="shared" si="173"/>
        <v>2.5125695216907653</v>
      </c>
      <c r="P741" s="8" t="s">
        <v>2050</v>
      </c>
      <c r="Q741" s="14">
        <v>0.77</v>
      </c>
      <c r="R741" s="12">
        <f t="shared" si="177"/>
        <v>0.77</v>
      </c>
      <c r="S741" s="12">
        <f t="shared" si="174"/>
        <v>0.77</v>
      </c>
    </row>
    <row r="742" spans="1:19" x14ac:dyDescent="0.35">
      <c r="A742" s="8" t="s">
        <v>1505</v>
      </c>
      <c r="B742" s="8" t="s">
        <v>1506</v>
      </c>
      <c r="C742" s="8" t="s">
        <v>30</v>
      </c>
      <c r="D742" s="8" t="str">
        <f t="shared" si="165"/>
        <v>Male</v>
      </c>
      <c r="E742" s="8">
        <v>57</v>
      </c>
      <c r="F742" s="8">
        <f t="shared" si="170"/>
        <v>57</v>
      </c>
      <c r="G742" s="8" t="s">
        <v>2</v>
      </c>
      <c r="H742" s="8" t="s">
        <v>3</v>
      </c>
      <c r="I742" s="8" t="s">
        <v>20</v>
      </c>
      <c r="J742" s="8">
        <v>31</v>
      </c>
      <c r="K742" s="8">
        <f t="shared" si="171"/>
        <v>31</v>
      </c>
      <c r="L742" s="8">
        <v>50</v>
      </c>
      <c r="M742" s="9">
        <f t="shared" si="172"/>
        <v>50</v>
      </c>
      <c r="N742" s="8">
        <v>3</v>
      </c>
      <c r="O742" s="10">
        <f t="shared" si="173"/>
        <v>3</v>
      </c>
      <c r="P742" s="8" t="s">
        <v>2051</v>
      </c>
      <c r="Q742" s="14">
        <v>0.87</v>
      </c>
      <c r="R742" s="12">
        <f t="shared" si="177"/>
        <v>0.87</v>
      </c>
      <c r="S742" s="12">
        <f t="shared" si="174"/>
        <v>0.87</v>
      </c>
    </row>
    <row r="743" spans="1:19" x14ac:dyDescent="0.35">
      <c r="A743" s="8" t="s">
        <v>1507</v>
      </c>
      <c r="B743" s="8" t="s">
        <v>2028</v>
      </c>
      <c r="C743" s="8" t="s">
        <v>41</v>
      </c>
      <c r="D743" s="8" t="str">
        <f t="shared" si="165"/>
        <v>Male</v>
      </c>
      <c r="E743" s="8">
        <v>46</v>
      </c>
      <c r="F743" s="8">
        <f t="shared" si="170"/>
        <v>46</v>
      </c>
      <c r="G743" s="8" t="s">
        <v>103</v>
      </c>
      <c r="H743" s="8" t="s">
        <v>9</v>
      </c>
      <c r="I743" s="8" t="s">
        <v>20</v>
      </c>
      <c r="J743" s="8">
        <v>5</v>
      </c>
      <c r="K743" s="8">
        <f t="shared" si="171"/>
        <v>5</v>
      </c>
      <c r="L743" s="8">
        <v>30</v>
      </c>
      <c r="M743" s="9">
        <f t="shared" si="172"/>
        <v>30</v>
      </c>
      <c r="N743" s="8">
        <v>2.6</v>
      </c>
      <c r="O743" s="10">
        <f t="shared" si="173"/>
        <v>2.6</v>
      </c>
      <c r="P743" s="8" t="s">
        <v>2050</v>
      </c>
      <c r="Q743" s="14">
        <v>0.76</v>
      </c>
      <c r="R743" s="12">
        <f t="shared" si="177"/>
        <v>0.76</v>
      </c>
      <c r="S743" s="12">
        <f t="shared" si="174"/>
        <v>0.76</v>
      </c>
    </row>
    <row r="744" spans="1:19" x14ac:dyDescent="0.35">
      <c r="A744" s="8" t="s">
        <v>1508</v>
      </c>
      <c r="B744" s="8" t="s">
        <v>1509</v>
      </c>
      <c r="C744" s="8" t="s">
        <v>13</v>
      </c>
      <c r="D744" s="8" t="str">
        <f t="shared" si="165"/>
        <v>Male</v>
      </c>
      <c r="E744" s="8">
        <v>55</v>
      </c>
      <c r="F744" s="8">
        <f t="shared" si="170"/>
        <v>55</v>
      </c>
      <c r="G744" s="8" t="s">
        <v>71</v>
      </c>
      <c r="H744" s="8" t="s">
        <v>72</v>
      </c>
      <c r="I744" s="8" t="s">
        <v>27</v>
      </c>
      <c r="J744" s="8">
        <v>37</v>
      </c>
      <c r="K744" s="8">
        <f t="shared" si="171"/>
        <v>37</v>
      </c>
      <c r="L744" s="8">
        <v>75</v>
      </c>
      <c r="M744" s="9">
        <f t="shared" si="172"/>
        <v>75</v>
      </c>
      <c r="N744" s="8">
        <v>4.0999999999999996</v>
      </c>
      <c r="O744" s="10">
        <f t="shared" si="173"/>
        <v>4.0999999999999996</v>
      </c>
      <c r="P744" s="8" t="s">
        <v>2050</v>
      </c>
      <c r="Q744" s="13"/>
      <c r="S744" s="12">
        <f t="shared" si="174"/>
        <v>0.79269417475728277</v>
      </c>
    </row>
    <row r="745" spans="1:19" x14ac:dyDescent="0.35">
      <c r="A745" s="8" t="s">
        <v>1510</v>
      </c>
      <c r="B745" s="8" t="s">
        <v>1511</v>
      </c>
      <c r="C745" s="8" t="s">
        <v>7</v>
      </c>
      <c r="D745" s="8" t="str">
        <f t="shared" si="165"/>
        <v>Female</v>
      </c>
      <c r="E745" s="8">
        <v>32</v>
      </c>
      <c r="F745" s="8">
        <f t="shared" si="170"/>
        <v>32</v>
      </c>
      <c r="G745" s="8" t="s">
        <v>8</v>
      </c>
      <c r="H745" s="8" t="s">
        <v>9</v>
      </c>
      <c r="I745" s="8" t="s">
        <v>67</v>
      </c>
      <c r="J745" s="8">
        <v>10</v>
      </c>
      <c r="K745" s="8">
        <f t="shared" si="171"/>
        <v>10</v>
      </c>
      <c r="L745" s="8">
        <v>50</v>
      </c>
      <c r="M745" s="9">
        <f t="shared" si="172"/>
        <v>50</v>
      </c>
      <c r="N745" s="8">
        <v>1.5</v>
      </c>
      <c r="O745" s="10">
        <f t="shared" si="173"/>
        <v>1.5</v>
      </c>
      <c r="P745" s="8" t="s">
        <v>2050</v>
      </c>
      <c r="Q745" s="14">
        <v>0.65</v>
      </c>
      <c r="R745" s="12">
        <f t="shared" ref="R745:R746" si="178">Q745</f>
        <v>0.65</v>
      </c>
      <c r="S745" s="12">
        <f t="shared" si="174"/>
        <v>0.65</v>
      </c>
    </row>
    <row r="746" spans="1:19" x14ac:dyDescent="0.35">
      <c r="A746" s="8" t="s">
        <v>1512</v>
      </c>
      <c r="B746" s="8" t="s">
        <v>1513</v>
      </c>
      <c r="C746" s="8" t="s">
        <v>70</v>
      </c>
      <c r="D746" s="8" t="str">
        <f t="shared" ref="D746:D809" si="179">IF(LEFT(C746,1)="f","Female","Male")</f>
        <v>Male</v>
      </c>
      <c r="E746" s="8">
        <v>53</v>
      </c>
      <c r="F746" s="8">
        <f t="shared" si="170"/>
        <v>53</v>
      </c>
      <c r="G746" s="8" t="s">
        <v>31</v>
      </c>
      <c r="H746" s="8" t="s">
        <v>32</v>
      </c>
      <c r="I746" s="8" t="s">
        <v>27</v>
      </c>
      <c r="J746" s="8">
        <v>28</v>
      </c>
      <c r="K746" s="8">
        <f t="shared" si="171"/>
        <v>28</v>
      </c>
      <c r="L746" s="8">
        <v>50</v>
      </c>
      <c r="M746" s="9">
        <f t="shared" si="172"/>
        <v>50</v>
      </c>
      <c r="N746" s="8">
        <v>2.9</v>
      </c>
      <c r="O746" s="10">
        <f t="shared" si="173"/>
        <v>2.9</v>
      </c>
      <c r="P746" s="8" t="s">
        <v>2051</v>
      </c>
      <c r="Q746" s="14">
        <v>0.82</v>
      </c>
      <c r="R746" s="12">
        <f t="shared" si="178"/>
        <v>0.82</v>
      </c>
      <c r="S746" s="12">
        <f t="shared" si="174"/>
        <v>0.82</v>
      </c>
    </row>
    <row r="747" spans="1:19" x14ac:dyDescent="0.35">
      <c r="A747" s="8" t="s">
        <v>1514</v>
      </c>
      <c r="B747" s="8" t="s">
        <v>1515</v>
      </c>
      <c r="C747" s="8" t="s">
        <v>13</v>
      </c>
      <c r="D747" s="8" t="str">
        <f t="shared" si="179"/>
        <v>Male</v>
      </c>
      <c r="E747" s="8">
        <v>59</v>
      </c>
      <c r="F747" s="8">
        <f t="shared" si="170"/>
        <v>59</v>
      </c>
      <c r="G747" s="8" t="s">
        <v>151</v>
      </c>
      <c r="H747" s="8" t="s">
        <v>51</v>
      </c>
      <c r="I747" s="8" t="s">
        <v>27</v>
      </c>
      <c r="J747" s="8">
        <v>0</v>
      </c>
      <c r="K747" s="8">
        <f t="shared" si="171"/>
        <v>0</v>
      </c>
      <c r="L747" s="8">
        <v>100</v>
      </c>
      <c r="M747" s="9">
        <f t="shared" si="172"/>
        <v>100</v>
      </c>
      <c r="N747" s="8">
        <v>0</v>
      </c>
      <c r="O747" s="11">
        <f t="shared" si="173"/>
        <v>0</v>
      </c>
      <c r="P747" s="8" t="s">
        <v>2051</v>
      </c>
      <c r="Q747" s="8">
        <v>87</v>
      </c>
      <c r="R747" s="12">
        <v>0.87</v>
      </c>
      <c r="S747" s="12">
        <f t="shared" si="174"/>
        <v>0.87</v>
      </c>
    </row>
    <row r="748" spans="1:19" x14ac:dyDescent="0.35">
      <c r="A748" s="8" t="s">
        <v>1516</v>
      </c>
      <c r="B748" s="8" t="s">
        <v>1517</v>
      </c>
      <c r="C748" s="8" t="s">
        <v>19</v>
      </c>
      <c r="D748" s="8" t="str">
        <f t="shared" si="179"/>
        <v>Female</v>
      </c>
      <c r="E748" s="8">
        <v>44</v>
      </c>
      <c r="F748" s="8">
        <f t="shared" si="170"/>
        <v>44</v>
      </c>
      <c r="G748" s="8" t="s">
        <v>25</v>
      </c>
      <c r="H748" s="8" t="s">
        <v>26</v>
      </c>
      <c r="I748" s="8" t="s">
        <v>90</v>
      </c>
      <c r="J748" s="8">
        <v>19</v>
      </c>
      <c r="K748" s="8">
        <f t="shared" si="171"/>
        <v>19</v>
      </c>
      <c r="L748" s="8">
        <v>40</v>
      </c>
      <c r="M748" s="9">
        <f t="shared" si="172"/>
        <v>40</v>
      </c>
      <c r="N748" s="8">
        <v>4.9000000000000004</v>
      </c>
      <c r="O748" s="10">
        <f t="shared" si="173"/>
        <v>4.9000000000000004</v>
      </c>
      <c r="P748" s="8" t="s">
        <v>2050</v>
      </c>
      <c r="Q748" s="14">
        <v>1</v>
      </c>
      <c r="R748" s="12">
        <f>Q748</f>
        <v>1</v>
      </c>
      <c r="S748" s="12">
        <f t="shared" si="174"/>
        <v>1</v>
      </c>
    </row>
    <row r="749" spans="1:19" x14ac:dyDescent="0.35">
      <c r="A749" s="8" t="s">
        <v>1518</v>
      </c>
      <c r="B749" s="8" t="s">
        <v>1519</v>
      </c>
      <c r="C749" s="8" t="s">
        <v>75</v>
      </c>
      <c r="D749" s="8" t="str">
        <f t="shared" si="179"/>
        <v>Male</v>
      </c>
      <c r="E749" s="8">
        <v>35</v>
      </c>
      <c r="F749" s="8">
        <f t="shared" si="170"/>
        <v>35</v>
      </c>
      <c r="G749" s="8" t="s">
        <v>114</v>
      </c>
      <c r="H749" s="8" t="s">
        <v>115</v>
      </c>
      <c r="I749" s="8" t="s">
        <v>4</v>
      </c>
      <c r="J749" s="8">
        <v>9</v>
      </c>
      <c r="K749" s="8">
        <f t="shared" si="171"/>
        <v>9</v>
      </c>
      <c r="L749" s="8">
        <v>50</v>
      </c>
      <c r="M749" s="9">
        <f t="shared" si="172"/>
        <v>50</v>
      </c>
      <c r="N749" s="8">
        <v>3</v>
      </c>
      <c r="O749" s="10">
        <f t="shared" si="173"/>
        <v>3</v>
      </c>
      <c r="P749" s="8" t="s">
        <v>2050</v>
      </c>
      <c r="Q749" s="8">
        <v>71</v>
      </c>
      <c r="R749" s="12">
        <v>0.71</v>
      </c>
      <c r="S749" s="12">
        <f t="shared" si="174"/>
        <v>0.71</v>
      </c>
    </row>
    <row r="750" spans="1:19" x14ac:dyDescent="0.35">
      <c r="A750" s="8" t="s">
        <v>1520</v>
      </c>
      <c r="B750" s="8" t="s">
        <v>1521</v>
      </c>
      <c r="C750" s="8" t="s">
        <v>1</v>
      </c>
      <c r="D750" s="8" t="str">
        <f t="shared" si="179"/>
        <v>Female</v>
      </c>
      <c r="E750" s="8">
        <v>42</v>
      </c>
      <c r="F750" s="8">
        <f t="shared" si="170"/>
        <v>42</v>
      </c>
      <c r="G750" s="8" t="s">
        <v>147</v>
      </c>
      <c r="H750" s="8" t="s">
        <v>148</v>
      </c>
      <c r="I750" s="8" t="s">
        <v>90</v>
      </c>
      <c r="J750" s="8">
        <v>5</v>
      </c>
      <c r="K750" s="8">
        <f t="shared" si="171"/>
        <v>5</v>
      </c>
      <c r="L750" s="8">
        <v>30</v>
      </c>
      <c r="M750" s="9">
        <f t="shared" si="172"/>
        <v>30</v>
      </c>
      <c r="N750" s="8">
        <v>4.9000000000000004</v>
      </c>
      <c r="O750" s="10">
        <f t="shared" si="173"/>
        <v>4.9000000000000004</v>
      </c>
      <c r="P750" s="8" t="s">
        <v>2051</v>
      </c>
      <c r="Q750" s="8">
        <v>87</v>
      </c>
      <c r="R750" s="12">
        <v>0.87</v>
      </c>
      <c r="S750" s="12">
        <f t="shared" si="174"/>
        <v>0.87</v>
      </c>
    </row>
    <row r="751" spans="1:19" x14ac:dyDescent="0.35">
      <c r="A751" s="8" t="s">
        <v>1522</v>
      </c>
      <c r="B751" s="8" t="s">
        <v>1523</v>
      </c>
      <c r="C751" s="8" t="s">
        <v>1</v>
      </c>
      <c r="D751" s="8" t="str">
        <f t="shared" si="179"/>
        <v>Female</v>
      </c>
      <c r="E751" s="8">
        <v>58</v>
      </c>
      <c r="F751" s="8">
        <f t="shared" si="170"/>
        <v>58</v>
      </c>
      <c r="G751" s="8" t="s">
        <v>88</v>
      </c>
      <c r="H751" s="8" t="s">
        <v>89</v>
      </c>
      <c r="I751" s="8" t="s">
        <v>4</v>
      </c>
      <c r="J751" s="8">
        <v>0</v>
      </c>
      <c r="K751" s="8">
        <f t="shared" si="171"/>
        <v>0</v>
      </c>
      <c r="L751" s="8">
        <v>30</v>
      </c>
      <c r="M751" s="9">
        <f t="shared" si="172"/>
        <v>30</v>
      </c>
      <c r="N751" s="8">
        <v>4.5999999999999996</v>
      </c>
      <c r="O751" s="10">
        <f t="shared" si="173"/>
        <v>4.5999999999999996</v>
      </c>
      <c r="P751" s="8" t="s">
        <v>2050</v>
      </c>
      <c r="Q751" s="8">
        <v>70</v>
      </c>
      <c r="R751" s="12">
        <v>0.7</v>
      </c>
      <c r="S751" s="12">
        <f t="shared" si="174"/>
        <v>0.7</v>
      </c>
    </row>
    <row r="752" spans="1:19" x14ac:dyDescent="0.35">
      <c r="A752" s="8" t="s">
        <v>1524</v>
      </c>
      <c r="B752" s="8" t="s">
        <v>1525</v>
      </c>
      <c r="C752" s="8" t="s">
        <v>41</v>
      </c>
      <c r="D752" s="8" t="str">
        <f t="shared" si="179"/>
        <v>Male</v>
      </c>
      <c r="E752" s="8">
        <v>41</v>
      </c>
      <c r="F752" s="8">
        <f t="shared" si="170"/>
        <v>41</v>
      </c>
      <c r="G752" s="8" t="s">
        <v>25</v>
      </c>
      <c r="H752" s="8" t="s">
        <v>26</v>
      </c>
      <c r="I752" s="8" t="s">
        <v>27</v>
      </c>
      <c r="J752" s="8">
        <v>21</v>
      </c>
      <c r="K752" s="8">
        <f t="shared" si="171"/>
        <v>21</v>
      </c>
      <c r="L752" s="8">
        <v>100</v>
      </c>
      <c r="M752" s="9">
        <f t="shared" si="172"/>
        <v>100</v>
      </c>
      <c r="N752" s="8">
        <v>2.2000000000000002</v>
      </c>
      <c r="O752" s="10">
        <f t="shared" si="173"/>
        <v>2.2000000000000002</v>
      </c>
      <c r="P752" s="8" t="s">
        <v>2051</v>
      </c>
      <c r="Q752" s="14">
        <v>0.83</v>
      </c>
      <c r="R752" s="12">
        <f t="shared" ref="R752:R757" si="180">Q752</f>
        <v>0.83</v>
      </c>
      <c r="S752" s="12">
        <f t="shared" si="174"/>
        <v>0.83</v>
      </c>
    </row>
    <row r="753" spans="1:19" x14ac:dyDescent="0.35">
      <c r="A753" s="8" t="s">
        <v>1526</v>
      </c>
      <c r="B753" s="8" t="s">
        <v>1527</v>
      </c>
      <c r="C753" s="8" t="s">
        <v>22</v>
      </c>
      <c r="D753" s="8" t="str">
        <f t="shared" si="179"/>
        <v>Female</v>
      </c>
      <c r="E753" s="13"/>
      <c r="F753" s="8">
        <f t="shared" si="170"/>
        <v>41</v>
      </c>
      <c r="G753" s="8" t="s">
        <v>50</v>
      </c>
      <c r="H753" s="8" t="s">
        <v>51</v>
      </c>
      <c r="I753" s="8" t="s">
        <v>20</v>
      </c>
      <c r="J753" s="8">
        <v>0</v>
      </c>
      <c r="K753" s="8">
        <f t="shared" si="171"/>
        <v>0</v>
      </c>
      <c r="L753" s="8">
        <v>40</v>
      </c>
      <c r="M753" s="9">
        <f t="shared" si="172"/>
        <v>40</v>
      </c>
      <c r="O753" s="10">
        <f t="shared" si="173"/>
        <v>2.5125695216907653</v>
      </c>
      <c r="P753" s="8" t="s">
        <v>2051</v>
      </c>
      <c r="Q753" s="14">
        <v>0.74</v>
      </c>
      <c r="R753" s="12">
        <f t="shared" si="180"/>
        <v>0.74</v>
      </c>
      <c r="S753" s="12">
        <f t="shared" si="174"/>
        <v>0.74</v>
      </c>
    </row>
    <row r="754" spans="1:19" x14ac:dyDescent="0.35">
      <c r="A754" s="8" t="s">
        <v>1528</v>
      </c>
      <c r="B754" s="8" t="s">
        <v>1529</v>
      </c>
      <c r="C754" s="8" t="s">
        <v>7</v>
      </c>
      <c r="D754" s="8" t="str">
        <f t="shared" si="179"/>
        <v>Female</v>
      </c>
      <c r="E754" s="8">
        <v>23</v>
      </c>
      <c r="F754" s="8">
        <f t="shared" si="170"/>
        <v>23</v>
      </c>
      <c r="G754" s="8" t="s">
        <v>103</v>
      </c>
      <c r="H754" s="8" t="s">
        <v>9</v>
      </c>
      <c r="I754" s="8" t="s">
        <v>4</v>
      </c>
      <c r="J754" s="8">
        <v>0</v>
      </c>
      <c r="K754" s="8">
        <f t="shared" si="171"/>
        <v>0</v>
      </c>
      <c r="L754" s="8">
        <v>30</v>
      </c>
      <c r="M754" s="9">
        <f t="shared" si="172"/>
        <v>30</v>
      </c>
      <c r="N754" s="8">
        <v>1.1000000000000001</v>
      </c>
      <c r="O754" s="10">
        <f t="shared" si="173"/>
        <v>1.1000000000000001</v>
      </c>
      <c r="P754" s="8" t="s">
        <v>2051</v>
      </c>
      <c r="Q754" s="14">
        <v>0.86</v>
      </c>
      <c r="R754" s="12">
        <f t="shared" si="180"/>
        <v>0.86</v>
      </c>
      <c r="S754" s="12">
        <f t="shared" si="174"/>
        <v>0.86</v>
      </c>
    </row>
    <row r="755" spans="1:19" x14ac:dyDescent="0.35">
      <c r="A755" s="8" t="s">
        <v>1530</v>
      </c>
      <c r="B755" s="8" t="s">
        <v>1531</v>
      </c>
      <c r="C755" s="8" t="s">
        <v>70</v>
      </c>
      <c r="D755" s="8" t="str">
        <f t="shared" si="179"/>
        <v>Male</v>
      </c>
      <c r="E755" s="8">
        <v>51</v>
      </c>
      <c r="F755" s="8">
        <f t="shared" si="170"/>
        <v>51</v>
      </c>
      <c r="G755" s="8" t="s">
        <v>147</v>
      </c>
      <c r="H755" s="8" t="s">
        <v>148</v>
      </c>
      <c r="I755" s="8" t="s">
        <v>4</v>
      </c>
      <c r="J755" s="8">
        <v>17</v>
      </c>
      <c r="K755" s="8">
        <f t="shared" si="171"/>
        <v>17</v>
      </c>
      <c r="L755" s="8">
        <v>40</v>
      </c>
      <c r="M755" s="9">
        <f t="shared" si="172"/>
        <v>40</v>
      </c>
      <c r="N755" s="8">
        <v>4.5</v>
      </c>
      <c r="O755" s="10">
        <f t="shared" si="173"/>
        <v>4.5</v>
      </c>
      <c r="P755" s="8" t="s">
        <v>2051</v>
      </c>
      <c r="Q755" s="14">
        <v>0.72</v>
      </c>
      <c r="R755" s="12">
        <f t="shared" si="180"/>
        <v>0.72</v>
      </c>
      <c r="S755" s="12">
        <f t="shared" si="174"/>
        <v>0.72</v>
      </c>
    </row>
    <row r="756" spans="1:19" x14ac:dyDescent="0.35">
      <c r="A756" s="8" t="s">
        <v>1532</v>
      </c>
      <c r="B756" s="8" t="s">
        <v>1533</v>
      </c>
      <c r="C756" s="8" t="s">
        <v>7</v>
      </c>
      <c r="D756" s="8" t="str">
        <f t="shared" si="179"/>
        <v>Female</v>
      </c>
      <c r="E756" s="8">
        <v>42</v>
      </c>
      <c r="F756" s="8">
        <f t="shared" si="170"/>
        <v>42</v>
      </c>
      <c r="G756" s="8" t="s">
        <v>110</v>
      </c>
      <c r="H756" s="8" t="s">
        <v>111</v>
      </c>
      <c r="I756" s="8" t="s">
        <v>27</v>
      </c>
      <c r="J756" s="8">
        <v>21</v>
      </c>
      <c r="K756" s="8">
        <f t="shared" si="171"/>
        <v>21</v>
      </c>
      <c r="L756" s="13"/>
      <c r="M756" s="9">
        <f t="shared" si="172"/>
        <v>40</v>
      </c>
      <c r="N756" s="8">
        <v>2.5</v>
      </c>
      <c r="O756" s="10">
        <f t="shared" si="173"/>
        <v>2.5</v>
      </c>
      <c r="P756" s="8" t="s">
        <v>2051</v>
      </c>
      <c r="Q756" s="14">
        <v>0.73</v>
      </c>
      <c r="R756" s="12">
        <f t="shared" si="180"/>
        <v>0.73</v>
      </c>
      <c r="S756" s="12">
        <f t="shared" si="174"/>
        <v>0.73</v>
      </c>
    </row>
    <row r="757" spans="1:19" x14ac:dyDescent="0.35">
      <c r="A757" s="8" t="s">
        <v>1534</v>
      </c>
      <c r="B757" s="8" t="s">
        <v>1535</v>
      </c>
      <c r="C757" s="8" t="s">
        <v>41</v>
      </c>
      <c r="D757" s="8" t="str">
        <f t="shared" si="179"/>
        <v>Male</v>
      </c>
      <c r="E757" s="8">
        <v>26</v>
      </c>
      <c r="F757" s="8">
        <f t="shared" si="170"/>
        <v>26</v>
      </c>
      <c r="G757" s="8" t="s">
        <v>63</v>
      </c>
      <c r="H757" s="8" t="s">
        <v>64</v>
      </c>
      <c r="I757" s="8" t="s">
        <v>33</v>
      </c>
      <c r="J757" s="8">
        <v>7</v>
      </c>
      <c r="K757" s="8">
        <f t="shared" si="171"/>
        <v>7</v>
      </c>
      <c r="L757" s="8">
        <v>75</v>
      </c>
      <c r="M757" s="9">
        <f t="shared" si="172"/>
        <v>75</v>
      </c>
      <c r="N757" s="8">
        <v>2.9</v>
      </c>
      <c r="O757" s="10">
        <f t="shared" si="173"/>
        <v>2.9</v>
      </c>
      <c r="P757" s="8" t="s">
        <v>2050</v>
      </c>
      <c r="Q757" s="14">
        <v>0.78</v>
      </c>
      <c r="R757" s="12">
        <f t="shared" si="180"/>
        <v>0.78</v>
      </c>
      <c r="S757" s="12">
        <f t="shared" si="174"/>
        <v>0.78</v>
      </c>
    </row>
    <row r="758" spans="1:19" x14ac:dyDescent="0.35">
      <c r="A758" s="8" t="s">
        <v>1536</v>
      </c>
      <c r="B758" s="8" t="s">
        <v>1537</v>
      </c>
      <c r="C758" s="8" t="s">
        <v>1</v>
      </c>
      <c r="D758" s="8" t="str">
        <f t="shared" si="179"/>
        <v>Female</v>
      </c>
      <c r="E758" s="8">
        <v>49</v>
      </c>
      <c r="F758" s="8">
        <f t="shared" si="170"/>
        <v>49</v>
      </c>
      <c r="G758" s="8" t="s">
        <v>31</v>
      </c>
      <c r="H758" s="8" t="s">
        <v>32</v>
      </c>
      <c r="I758" s="8" t="s">
        <v>27</v>
      </c>
      <c r="J758" s="8">
        <v>22</v>
      </c>
      <c r="K758" s="8">
        <f t="shared" si="171"/>
        <v>22</v>
      </c>
      <c r="L758" s="8">
        <v>75</v>
      </c>
      <c r="M758" s="9">
        <f t="shared" si="172"/>
        <v>75</v>
      </c>
      <c r="N758" s="8">
        <v>0</v>
      </c>
      <c r="O758" s="11">
        <f t="shared" si="173"/>
        <v>0</v>
      </c>
      <c r="P758" s="8" t="s">
        <v>2051</v>
      </c>
      <c r="Q758" s="13"/>
      <c r="S758" s="12">
        <f t="shared" si="174"/>
        <v>0.79269417475728277</v>
      </c>
    </row>
    <row r="759" spans="1:19" x14ac:dyDescent="0.35">
      <c r="A759" s="8" t="s">
        <v>1538</v>
      </c>
      <c r="B759" s="8" t="s">
        <v>1539</v>
      </c>
      <c r="C759" s="8" t="s">
        <v>22</v>
      </c>
      <c r="D759" s="8" t="str">
        <f t="shared" si="179"/>
        <v>Female</v>
      </c>
      <c r="E759" s="8">
        <v>37</v>
      </c>
      <c r="F759" s="8">
        <f t="shared" si="170"/>
        <v>37</v>
      </c>
      <c r="G759" s="8" t="s">
        <v>2</v>
      </c>
      <c r="H759" s="8" t="s">
        <v>3</v>
      </c>
      <c r="I759" s="8" t="s">
        <v>67</v>
      </c>
      <c r="J759" s="13"/>
      <c r="K759" s="8">
        <f t="shared" si="171"/>
        <v>9</v>
      </c>
      <c r="L759" s="8">
        <v>75</v>
      </c>
      <c r="M759" s="9">
        <f t="shared" si="172"/>
        <v>75</v>
      </c>
      <c r="N759" s="8">
        <v>3.5</v>
      </c>
      <c r="O759" s="10">
        <f t="shared" si="173"/>
        <v>3.5</v>
      </c>
      <c r="P759" s="8" t="s">
        <v>2050</v>
      </c>
      <c r="Q759" s="14">
        <v>0.75</v>
      </c>
      <c r="R759" s="12">
        <f t="shared" ref="R759:R769" si="181">Q759</f>
        <v>0.75</v>
      </c>
      <c r="S759" s="12">
        <f t="shared" si="174"/>
        <v>0.75</v>
      </c>
    </row>
    <row r="760" spans="1:19" x14ac:dyDescent="0.35">
      <c r="A760" s="8" t="s">
        <v>1540</v>
      </c>
      <c r="B760" s="8" t="s">
        <v>1541</v>
      </c>
      <c r="C760" s="8" t="s">
        <v>70</v>
      </c>
      <c r="D760" s="8" t="str">
        <f t="shared" si="179"/>
        <v>Male</v>
      </c>
      <c r="E760" s="8">
        <v>31</v>
      </c>
      <c r="F760" s="8">
        <f t="shared" si="170"/>
        <v>31</v>
      </c>
      <c r="G760" s="8" t="s">
        <v>8</v>
      </c>
      <c r="H760" s="8" t="s">
        <v>9</v>
      </c>
      <c r="I760" s="8" t="s">
        <v>27</v>
      </c>
      <c r="J760" s="8">
        <v>1</v>
      </c>
      <c r="K760" s="8">
        <f t="shared" si="171"/>
        <v>1</v>
      </c>
      <c r="L760" s="8">
        <v>40</v>
      </c>
      <c r="M760" s="9">
        <f t="shared" si="172"/>
        <v>40</v>
      </c>
      <c r="N760" s="8">
        <v>4.5</v>
      </c>
      <c r="O760" s="10">
        <f t="shared" si="173"/>
        <v>4.5</v>
      </c>
      <c r="P760" s="8" t="s">
        <v>2050</v>
      </c>
      <c r="Q760" s="14">
        <v>0.96</v>
      </c>
      <c r="R760" s="12">
        <f t="shared" si="181"/>
        <v>0.96</v>
      </c>
      <c r="S760" s="12">
        <f t="shared" si="174"/>
        <v>0.96</v>
      </c>
    </row>
    <row r="761" spans="1:19" x14ac:dyDescent="0.35">
      <c r="A761" s="8" t="s">
        <v>1542</v>
      </c>
      <c r="B761" s="8" t="s">
        <v>1543</v>
      </c>
      <c r="C761" s="8" t="s">
        <v>41</v>
      </c>
      <c r="D761" s="8" t="str">
        <f t="shared" si="179"/>
        <v>Male</v>
      </c>
      <c r="E761" s="8">
        <v>51</v>
      </c>
      <c r="F761" s="8">
        <f t="shared" si="170"/>
        <v>51</v>
      </c>
      <c r="G761" s="8" t="s">
        <v>88</v>
      </c>
      <c r="H761" s="8" t="s">
        <v>89</v>
      </c>
      <c r="I761" s="8" t="s">
        <v>10</v>
      </c>
      <c r="J761" s="8">
        <v>5</v>
      </c>
      <c r="K761" s="8">
        <f t="shared" si="171"/>
        <v>5</v>
      </c>
      <c r="L761" s="8">
        <v>40</v>
      </c>
      <c r="M761" s="9">
        <f t="shared" si="172"/>
        <v>40</v>
      </c>
      <c r="N761" s="8">
        <v>1.7</v>
      </c>
      <c r="O761" s="10">
        <f t="shared" si="173"/>
        <v>1.7</v>
      </c>
      <c r="P761" s="8" t="s">
        <v>2051</v>
      </c>
      <c r="Q761" s="14">
        <v>0.61</v>
      </c>
      <c r="R761" s="12">
        <f t="shared" si="181"/>
        <v>0.61</v>
      </c>
      <c r="S761" s="12">
        <f t="shared" si="174"/>
        <v>0.61</v>
      </c>
    </row>
    <row r="762" spans="1:19" x14ac:dyDescent="0.35">
      <c r="A762" s="8" t="s">
        <v>1544</v>
      </c>
      <c r="B762" s="8" t="s">
        <v>1545</v>
      </c>
      <c r="C762" s="8" t="s">
        <v>30</v>
      </c>
      <c r="D762" s="8" t="str">
        <f t="shared" si="179"/>
        <v>Male</v>
      </c>
      <c r="E762" s="8">
        <v>60</v>
      </c>
      <c r="F762" s="8">
        <f t="shared" si="170"/>
        <v>60</v>
      </c>
      <c r="G762" s="8" t="s">
        <v>147</v>
      </c>
      <c r="H762" s="8" t="s">
        <v>148</v>
      </c>
      <c r="I762" s="8" t="s">
        <v>67</v>
      </c>
      <c r="J762" s="8">
        <v>40</v>
      </c>
      <c r="K762" s="8">
        <f t="shared" si="171"/>
        <v>40</v>
      </c>
      <c r="L762" s="8">
        <v>50</v>
      </c>
      <c r="M762" s="9">
        <f t="shared" si="172"/>
        <v>50</v>
      </c>
      <c r="N762" s="8">
        <v>4.5999999999999996</v>
      </c>
      <c r="O762" s="10">
        <f t="shared" si="173"/>
        <v>4.5999999999999996</v>
      </c>
      <c r="P762" s="8" t="s">
        <v>2051</v>
      </c>
      <c r="Q762" s="14">
        <v>1</v>
      </c>
      <c r="R762" s="12">
        <f t="shared" si="181"/>
        <v>1</v>
      </c>
      <c r="S762" s="12">
        <f t="shared" si="174"/>
        <v>1</v>
      </c>
    </row>
    <row r="763" spans="1:19" x14ac:dyDescent="0.35">
      <c r="A763" s="8" t="s">
        <v>1546</v>
      </c>
      <c r="B763" s="8" t="s">
        <v>1547</v>
      </c>
      <c r="C763" s="8" t="s">
        <v>70</v>
      </c>
      <c r="D763" s="8" t="str">
        <f t="shared" si="179"/>
        <v>Male</v>
      </c>
      <c r="E763" s="8">
        <v>51</v>
      </c>
      <c r="F763" s="8">
        <f t="shared" si="170"/>
        <v>51</v>
      </c>
      <c r="G763" s="8" t="s">
        <v>103</v>
      </c>
      <c r="H763" s="8" t="s">
        <v>9</v>
      </c>
      <c r="I763" s="8" t="s">
        <v>4</v>
      </c>
      <c r="J763" s="8">
        <v>19</v>
      </c>
      <c r="K763" s="8">
        <f t="shared" si="171"/>
        <v>19</v>
      </c>
      <c r="L763" s="8">
        <v>50</v>
      </c>
      <c r="M763" s="9">
        <f t="shared" si="172"/>
        <v>50</v>
      </c>
      <c r="O763" s="10">
        <f t="shared" si="173"/>
        <v>2.5125695216907653</v>
      </c>
      <c r="P763" s="8" t="s">
        <v>2051</v>
      </c>
      <c r="Q763" s="14">
        <v>0.82</v>
      </c>
      <c r="R763" s="12">
        <f t="shared" si="181"/>
        <v>0.82</v>
      </c>
      <c r="S763" s="12">
        <f t="shared" si="174"/>
        <v>0.82</v>
      </c>
    </row>
    <row r="764" spans="1:19" x14ac:dyDescent="0.35">
      <c r="A764" s="8" t="s">
        <v>1548</v>
      </c>
      <c r="B764" s="8" t="s">
        <v>1549</v>
      </c>
      <c r="C764" s="8" t="s">
        <v>30</v>
      </c>
      <c r="D764" s="8" t="str">
        <f t="shared" si="179"/>
        <v>Male</v>
      </c>
      <c r="E764" s="8">
        <v>37</v>
      </c>
      <c r="F764" s="8">
        <f t="shared" si="170"/>
        <v>37</v>
      </c>
      <c r="G764" s="8" t="s">
        <v>14</v>
      </c>
      <c r="H764" s="8" t="s">
        <v>15</v>
      </c>
      <c r="I764" s="8" t="s">
        <v>16</v>
      </c>
      <c r="J764" s="8">
        <v>12</v>
      </c>
      <c r="K764" s="8">
        <f t="shared" si="171"/>
        <v>12</v>
      </c>
      <c r="L764" s="13"/>
      <c r="M764" s="9">
        <f t="shared" si="172"/>
        <v>40</v>
      </c>
      <c r="N764" s="8">
        <v>4.9000000000000004</v>
      </c>
      <c r="O764" s="10">
        <f t="shared" si="173"/>
        <v>4.9000000000000004</v>
      </c>
      <c r="P764" s="8" t="s">
        <v>2051</v>
      </c>
      <c r="Q764" s="14">
        <v>0.8</v>
      </c>
      <c r="R764" s="12">
        <f t="shared" si="181"/>
        <v>0.8</v>
      </c>
      <c r="S764" s="12">
        <f t="shared" si="174"/>
        <v>0.8</v>
      </c>
    </row>
    <row r="765" spans="1:19" x14ac:dyDescent="0.35">
      <c r="A765" s="8" t="s">
        <v>1550</v>
      </c>
      <c r="B765" s="8" t="s">
        <v>1551</v>
      </c>
      <c r="C765" s="8" t="s">
        <v>13</v>
      </c>
      <c r="D765" s="8" t="str">
        <f t="shared" si="179"/>
        <v>Male</v>
      </c>
      <c r="E765" s="8">
        <v>52</v>
      </c>
      <c r="F765" s="8">
        <f t="shared" si="170"/>
        <v>52</v>
      </c>
      <c r="G765" s="8" t="s">
        <v>71</v>
      </c>
      <c r="H765" s="8" t="s">
        <v>72</v>
      </c>
      <c r="I765" s="8" t="s">
        <v>4</v>
      </c>
      <c r="J765" s="8">
        <v>7</v>
      </c>
      <c r="K765" s="8">
        <f t="shared" si="171"/>
        <v>7</v>
      </c>
      <c r="L765" s="8">
        <v>40</v>
      </c>
      <c r="M765" s="9">
        <f t="shared" si="172"/>
        <v>40</v>
      </c>
      <c r="N765" s="8">
        <v>2.2000000000000002</v>
      </c>
      <c r="O765" s="10">
        <f t="shared" si="173"/>
        <v>2.2000000000000002</v>
      </c>
      <c r="P765" s="13" t="s">
        <v>2050</v>
      </c>
      <c r="Q765" s="14">
        <v>0.96</v>
      </c>
      <c r="R765" s="12">
        <f t="shared" si="181"/>
        <v>0.96</v>
      </c>
      <c r="S765" s="12">
        <f t="shared" si="174"/>
        <v>0.96</v>
      </c>
    </row>
    <row r="766" spans="1:19" x14ac:dyDescent="0.35">
      <c r="A766" s="8" t="s">
        <v>1552</v>
      </c>
      <c r="B766" s="8" t="s">
        <v>1553</v>
      </c>
      <c r="C766" s="8" t="s">
        <v>30</v>
      </c>
      <c r="D766" s="8" t="str">
        <f t="shared" si="179"/>
        <v>Male</v>
      </c>
      <c r="E766" s="8">
        <v>27</v>
      </c>
      <c r="F766" s="8">
        <f t="shared" si="170"/>
        <v>27</v>
      </c>
      <c r="G766" s="8" t="s">
        <v>31</v>
      </c>
      <c r="H766" s="8" t="s">
        <v>32</v>
      </c>
      <c r="I766" s="8" t="s">
        <v>4</v>
      </c>
      <c r="J766" s="8">
        <v>4</v>
      </c>
      <c r="K766" s="8">
        <f t="shared" si="171"/>
        <v>4</v>
      </c>
      <c r="L766" s="8">
        <v>20</v>
      </c>
      <c r="M766" s="9">
        <f t="shared" si="172"/>
        <v>20</v>
      </c>
      <c r="O766" s="10">
        <f t="shared" si="173"/>
        <v>2.5125695216907653</v>
      </c>
      <c r="P766" s="8" t="s">
        <v>2050</v>
      </c>
      <c r="Q766" s="14">
        <v>0.63</v>
      </c>
      <c r="R766" s="12">
        <f t="shared" si="181"/>
        <v>0.63</v>
      </c>
      <c r="S766" s="12">
        <f t="shared" si="174"/>
        <v>0.63</v>
      </c>
    </row>
    <row r="767" spans="1:19" x14ac:dyDescent="0.35">
      <c r="A767" s="8" t="s">
        <v>1554</v>
      </c>
      <c r="B767" s="8" t="s">
        <v>1555</v>
      </c>
      <c r="C767" s="8" t="s">
        <v>30</v>
      </c>
      <c r="D767" s="8" t="str">
        <f t="shared" si="179"/>
        <v>Male</v>
      </c>
      <c r="E767" s="8">
        <v>48</v>
      </c>
      <c r="F767" s="8">
        <f t="shared" si="170"/>
        <v>48</v>
      </c>
      <c r="G767" s="8" t="s">
        <v>8</v>
      </c>
      <c r="H767" s="8" t="s">
        <v>9</v>
      </c>
      <c r="I767" s="8" t="s">
        <v>16</v>
      </c>
      <c r="J767" s="8">
        <v>24</v>
      </c>
      <c r="K767" s="8">
        <f t="shared" si="171"/>
        <v>24</v>
      </c>
      <c r="L767" s="8">
        <v>40</v>
      </c>
      <c r="M767" s="9">
        <f t="shared" si="172"/>
        <v>40</v>
      </c>
      <c r="N767" s="8">
        <v>2.2000000000000002</v>
      </c>
      <c r="O767" s="10">
        <f t="shared" si="173"/>
        <v>2.2000000000000002</v>
      </c>
      <c r="P767" s="8" t="s">
        <v>2050</v>
      </c>
      <c r="Q767" s="14">
        <v>0.67</v>
      </c>
      <c r="R767" s="12">
        <f t="shared" si="181"/>
        <v>0.67</v>
      </c>
      <c r="S767" s="12">
        <f t="shared" si="174"/>
        <v>0.67</v>
      </c>
    </row>
    <row r="768" spans="1:19" x14ac:dyDescent="0.35">
      <c r="A768" s="8" t="s">
        <v>1556</v>
      </c>
      <c r="B768" s="8" t="s">
        <v>1557</v>
      </c>
      <c r="C768" s="8" t="s">
        <v>19</v>
      </c>
      <c r="D768" s="8" t="str">
        <f t="shared" si="179"/>
        <v>Female</v>
      </c>
      <c r="E768" s="8">
        <v>22</v>
      </c>
      <c r="F768" s="8">
        <f t="shared" si="170"/>
        <v>22</v>
      </c>
      <c r="G768" s="8" t="s">
        <v>63</v>
      </c>
      <c r="H768" s="8" t="s">
        <v>64</v>
      </c>
      <c r="I768" s="8" t="s">
        <v>33</v>
      </c>
      <c r="J768" s="8">
        <v>1</v>
      </c>
      <c r="K768" s="8">
        <f t="shared" si="171"/>
        <v>1</v>
      </c>
      <c r="L768" s="8">
        <v>30</v>
      </c>
      <c r="M768" s="9">
        <f t="shared" si="172"/>
        <v>30</v>
      </c>
      <c r="N768" s="8">
        <v>3.3</v>
      </c>
      <c r="O768" s="10">
        <f t="shared" si="173"/>
        <v>3.3</v>
      </c>
      <c r="P768" s="8" t="s">
        <v>2051</v>
      </c>
      <c r="Q768" s="14">
        <v>0.61</v>
      </c>
      <c r="R768" s="12">
        <f t="shared" si="181"/>
        <v>0.61</v>
      </c>
      <c r="S768" s="12">
        <f t="shared" si="174"/>
        <v>0.61</v>
      </c>
    </row>
    <row r="769" spans="1:19" x14ac:dyDescent="0.35">
      <c r="A769" s="8" t="s">
        <v>1558</v>
      </c>
      <c r="B769" s="8" t="s">
        <v>1559</v>
      </c>
      <c r="C769" s="8" t="s">
        <v>7</v>
      </c>
      <c r="D769" s="8" t="str">
        <f t="shared" si="179"/>
        <v>Female</v>
      </c>
      <c r="E769" s="8">
        <v>48</v>
      </c>
      <c r="F769" s="8">
        <f t="shared" si="170"/>
        <v>48</v>
      </c>
      <c r="G769" s="8" t="s">
        <v>14</v>
      </c>
      <c r="H769" s="8" t="s">
        <v>15</v>
      </c>
      <c r="I769" s="8" t="s">
        <v>10</v>
      </c>
      <c r="J769" s="8">
        <v>28</v>
      </c>
      <c r="K769" s="8">
        <f t="shared" si="171"/>
        <v>28</v>
      </c>
      <c r="L769" s="8">
        <v>30</v>
      </c>
      <c r="M769" s="9">
        <f t="shared" si="172"/>
        <v>30</v>
      </c>
      <c r="N769" s="8">
        <v>4.9000000000000004</v>
      </c>
      <c r="O769" s="10">
        <f t="shared" si="173"/>
        <v>4.9000000000000004</v>
      </c>
      <c r="P769" s="8" t="s">
        <v>2050</v>
      </c>
      <c r="Q769" s="14">
        <v>0.77</v>
      </c>
      <c r="R769" s="12">
        <f t="shared" si="181"/>
        <v>0.77</v>
      </c>
      <c r="S769" s="12">
        <f t="shared" si="174"/>
        <v>0.77</v>
      </c>
    </row>
    <row r="770" spans="1:19" x14ac:dyDescent="0.35">
      <c r="A770" s="8" t="s">
        <v>1560</v>
      </c>
      <c r="B770" s="8" t="s">
        <v>1561</v>
      </c>
      <c r="C770" s="8" t="s">
        <v>19</v>
      </c>
      <c r="D770" s="8" t="str">
        <f t="shared" si="179"/>
        <v>Female</v>
      </c>
      <c r="E770" s="8">
        <v>54</v>
      </c>
      <c r="F770" s="8">
        <f t="shared" si="170"/>
        <v>54</v>
      </c>
      <c r="G770" s="8" t="s">
        <v>38</v>
      </c>
      <c r="H770" s="8" t="s">
        <v>9</v>
      </c>
      <c r="I770" s="8" t="s">
        <v>10</v>
      </c>
      <c r="J770" s="8">
        <v>19</v>
      </c>
      <c r="K770" s="8">
        <f t="shared" si="171"/>
        <v>19</v>
      </c>
      <c r="L770" s="8">
        <v>75</v>
      </c>
      <c r="M770" s="9">
        <f t="shared" si="172"/>
        <v>75</v>
      </c>
      <c r="N770" s="8">
        <v>0</v>
      </c>
      <c r="O770" s="11">
        <f t="shared" si="173"/>
        <v>0</v>
      </c>
      <c r="P770" s="13" t="s">
        <v>2050</v>
      </c>
      <c r="Q770" s="13"/>
      <c r="S770" s="12">
        <f t="shared" si="174"/>
        <v>0.79269417475728277</v>
      </c>
    </row>
    <row r="771" spans="1:19" x14ac:dyDescent="0.35">
      <c r="A771" s="8" t="s">
        <v>1562</v>
      </c>
      <c r="B771" s="8" t="s">
        <v>1563</v>
      </c>
      <c r="C771" s="8" t="s">
        <v>55</v>
      </c>
      <c r="D771" s="8" t="str">
        <f t="shared" si="179"/>
        <v>Female</v>
      </c>
      <c r="E771" s="8">
        <v>52</v>
      </c>
      <c r="F771" s="8">
        <f t="shared" ref="F771:F834" si="182">IF(ISBLANK(E771),MEDIAN($E$2:$E$1001),E771)</f>
        <v>52</v>
      </c>
      <c r="G771" s="8" t="s">
        <v>88</v>
      </c>
      <c r="H771" s="8" t="s">
        <v>89</v>
      </c>
      <c r="I771" s="8" t="s">
        <v>33</v>
      </c>
      <c r="J771" s="8">
        <v>4</v>
      </c>
      <c r="K771" s="8">
        <f t="shared" ref="K771:K834" si="183">IF(ISBLANK(J771),MEDIAN($J$2:$J$1001),J771)</f>
        <v>4</v>
      </c>
      <c r="L771" s="8">
        <v>50</v>
      </c>
      <c r="M771" s="9">
        <f t="shared" ref="M771:M834" si="184">IF(ISBLANK(L771),MEDIAN($L$2:$L$1001),L771)</f>
        <v>50</v>
      </c>
      <c r="O771" s="10">
        <f t="shared" ref="O771:O834" si="185">IF(ISBLANK(N771),AVERAGE($N$2:$N$1001),N771)</f>
        <v>2.5125695216907653</v>
      </c>
      <c r="P771" s="8" t="s">
        <v>2050</v>
      </c>
      <c r="Q771" s="14">
        <v>0.84</v>
      </c>
      <c r="R771" s="12">
        <f t="shared" ref="R771:R782" si="186">Q771</f>
        <v>0.84</v>
      </c>
      <c r="S771" s="12">
        <f t="shared" si="174"/>
        <v>0.84</v>
      </c>
    </row>
    <row r="772" spans="1:19" x14ac:dyDescent="0.35">
      <c r="A772" s="8" t="s">
        <v>1564</v>
      </c>
      <c r="B772" s="8" t="s">
        <v>1565</v>
      </c>
      <c r="C772" s="8" t="s">
        <v>22</v>
      </c>
      <c r="D772" s="8" t="str">
        <f t="shared" si="179"/>
        <v>Female</v>
      </c>
      <c r="E772" s="8">
        <v>39</v>
      </c>
      <c r="F772" s="8">
        <f t="shared" si="182"/>
        <v>39</v>
      </c>
      <c r="G772" s="8" t="s">
        <v>42</v>
      </c>
      <c r="H772" s="8" t="s">
        <v>43</v>
      </c>
      <c r="I772" s="8" t="s">
        <v>20</v>
      </c>
      <c r="J772" s="8">
        <v>20</v>
      </c>
      <c r="K772" s="8">
        <f t="shared" si="183"/>
        <v>20</v>
      </c>
      <c r="L772" s="8">
        <v>100</v>
      </c>
      <c r="M772" s="9">
        <f t="shared" si="184"/>
        <v>100</v>
      </c>
      <c r="O772" s="10">
        <f t="shared" si="185"/>
        <v>2.5125695216907653</v>
      </c>
      <c r="P772" s="8" t="s">
        <v>2051</v>
      </c>
      <c r="Q772" s="14">
        <v>0.89</v>
      </c>
      <c r="R772" s="12">
        <f t="shared" si="186"/>
        <v>0.89</v>
      </c>
      <c r="S772" s="12">
        <f t="shared" ref="S772:S835" si="187">IF(ISBLANK(R772),AVERAGE($R$2:$R$1001),R772)</f>
        <v>0.89</v>
      </c>
    </row>
    <row r="773" spans="1:19" x14ac:dyDescent="0.35">
      <c r="A773" s="8" t="s">
        <v>1566</v>
      </c>
      <c r="B773" s="8" t="s">
        <v>1567</v>
      </c>
      <c r="C773" s="8" t="s">
        <v>1</v>
      </c>
      <c r="D773" s="8" t="str">
        <f t="shared" si="179"/>
        <v>Female</v>
      </c>
      <c r="E773" s="8">
        <v>54</v>
      </c>
      <c r="F773" s="8">
        <f t="shared" si="182"/>
        <v>54</v>
      </c>
      <c r="G773" s="8" t="s">
        <v>99</v>
      </c>
      <c r="H773" s="8" t="s">
        <v>100</v>
      </c>
      <c r="I773" s="8" t="s">
        <v>10</v>
      </c>
      <c r="J773" s="8">
        <v>19</v>
      </c>
      <c r="K773" s="8">
        <f t="shared" si="183"/>
        <v>19</v>
      </c>
      <c r="L773" s="8">
        <v>30</v>
      </c>
      <c r="M773" s="9">
        <f t="shared" si="184"/>
        <v>30</v>
      </c>
      <c r="N773" s="8">
        <v>4</v>
      </c>
      <c r="O773" s="10">
        <f t="shared" si="185"/>
        <v>4</v>
      </c>
      <c r="P773" s="13" t="s">
        <v>2050</v>
      </c>
      <c r="Q773" s="14">
        <v>0.9</v>
      </c>
      <c r="R773" s="12">
        <f t="shared" si="186"/>
        <v>0.9</v>
      </c>
      <c r="S773" s="12">
        <f t="shared" si="187"/>
        <v>0.9</v>
      </c>
    </row>
    <row r="774" spans="1:19" x14ac:dyDescent="0.35">
      <c r="A774" s="8" t="s">
        <v>1568</v>
      </c>
      <c r="B774" s="8" t="s">
        <v>1569</v>
      </c>
      <c r="C774" s="8" t="s">
        <v>55</v>
      </c>
      <c r="D774" s="8" t="str">
        <f t="shared" si="179"/>
        <v>Female</v>
      </c>
      <c r="E774" s="8">
        <v>22</v>
      </c>
      <c r="F774" s="8">
        <f t="shared" si="182"/>
        <v>22</v>
      </c>
      <c r="G774" s="8" t="s">
        <v>38</v>
      </c>
      <c r="H774" s="8" t="s">
        <v>9</v>
      </c>
      <c r="I774" s="8" t="s">
        <v>56</v>
      </c>
      <c r="J774" s="8">
        <v>1</v>
      </c>
      <c r="K774" s="8">
        <f t="shared" si="183"/>
        <v>1</v>
      </c>
      <c r="L774" s="8">
        <v>20</v>
      </c>
      <c r="M774" s="9">
        <f t="shared" si="184"/>
        <v>20</v>
      </c>
      <c r="N774" s="8">
        <v>4.8</v>
      </c>
      <c r="O774" s="10">
        <f t="shared" si="185"/>
        <v>4.8</v>
      </c>
      <c r="P774" s="8" t="s">
        <v>2050</v>
      </c>
      <c r="Q774" s="14">
        <v>0.87</v>
      </c>
      <c r="R774" s="12">
        <f t="shared" si="186"/>
        <v>0.87</v>
      </c>
      <c r="S774" s="12">
        <f t="shared" si="187"/>
        <v>0.87</v>
      </c>
    </row>
    <row r="775" spans="1:19" x14ac:dyDescent="0.35">
      <c r="A775" s="8" t="s">
        <v>1570</v>
      </c>
      <c r="B775" s="8" t="s">
        <v>1571</v>
      </c>
      <c r="C775" s="8" t="s">
        <v>7</v>
      </c>
      <c r="D775" s="8" t="str">
        <f t="shared" si="179"/>
        <v>Female</v>
      </c>
      <c r="E775" s="8">
        <v>29</v>
      </c>
      <c r="F775" s="8">
        <f t="shared" si="182"/>
        <v>29</v>
      </c>
      <c r="G775" s="8" t="s">
        <v>128</v>
      </c>
      <c r="H775" s="8" t="s">
        <v>129</v>
      </c>
      <c r="I775" s="8" t="s">
        <v>10</v>
      </c>
      <c r="J775" s="8">
        <v>8</v>
      </c>
      <c r="K775" s="8">
        <f t="shared" si="183"/>
        <v>8</v>
      </c>
      <c r="L775" s="8">
        <v>50</v>
      </c>
      <c r="M775" s="9">
        <f t="shared" si="184"/>
        <v>50</v>
      </c>
      <c r="N775" s="8">
        <v>0</v>
      </c>
      <c r="O775" s="11">
        <f t="shared" si="185"/>
        <v>0</v>
      </c>
      <c r="P775" s="8" t="s">
        <v>2050</v>
      </c>
      <c r="Q775" s="14">
        <v>0.77</v>
      </c>
      <c r="R775" s="12">
        <f t="shared" si="186"/>
        <v>0.77</v>
      </c>
      <c r="S775" s="12">
        <f t="shared" si="187"/>
        <v>0.77</v>
      </c>
    </row>
    <row r="776" spans="1:19" x14ac:dyDescent="0.35">
      <c r="A776" s="8" t="s">
        <v>1572</v>
      </c>
      <c r="B776" s="8" t="s">
        <v>1573</v>
      </c>
      <c r="C776" s="8" t="s">
        <v>70</v>
      </c>
      <c r="D776" s="8" t="str">
        <f t="shared" si="179"/>
        <v>Male</v>
      </c>
      <c r="E776" s="8">
        <v>23</v>
      </c>
      <c r="F776" s="8">
        <f t="shared" si="182"/>
        <v>23</v>
      </c>
      <c r="G776" s="8" t="s">
        <v>162</v>
      </c>
      <c r="H776" s="8" t="s">
        <v>51</v>
      </c>
      <c r="I776" s="8" t="s">
        <v>67</v>
      </c>
      <c r="J776" s="8">
        <v>3</v>
      </c>
      <c r="K776" s="8">
        <f t="shared" si="183"/>
        <v>3</v>
      </c>
      <c r="L776" s="8">
        <v>30</v>
      </c>
      <c r="M776" s="9">
        <f t="shared" si="184"/>
        <v>30</v>
      </c>
      <c r="N776" s="8">
        <v>1.6</v>
      </c>
      <c r="O776" s="10">
        <f t="shared" si="185"/>
        <v>1.6</v>
      </c>
      <c r="P776" s="8" t="s">
        <v>2051</v>
      </c>
      <c r="Q776" s="14">
        <v>0.72</v>
      </c>
      <c r="R776" s="12">
        <f t="shared" si="186"/>
        <v>0.72</v>
      </c>
      <c r="S776" s="12">
        <f t="shared" si="187"/>
        <v>0.72</v>
      </c>
    </row>
    <row r="777" spans="1:19" x14ac:dyDescent="0.35">
      <c r="A777" s="8" t="s">
        <v>1574</v>
      </c>
      <c r="B777" s="8" t="s">
        <v>1575</v>
      </c>
      <c r="C777" s="8" t="s">
        <v>19</v>
      </c>
      <c r="D777" s="8" t="str">
        <f t="shared" si="179"/>
        <v>Female</v>
      </c>
      <c r="E777" s="8">
        <v>58</v>
      </c>
      <c r="F777" s="8">
        <f t="shared" si="182"/>
        <v>58</v>
      </c>
      <c r="G777" s="8" t="s">
        <v>151</v>
      </c>
      <c r="H777" s="8" t="s">
        <v>51</v>
      </c>
      <c r="I777" s="8" t="s">
        <v>67</v>
      </c>
      <c r="J777" s="8">
        <v>30</v>
      </c>
      <c r="K777" s="8">
        <f t="shared" si="183"/>
        <v>30</v>
      </c>
      <c r="L777" s="8">
        <v>50</v>
      </c>
      <c r="M777" s="9">
        <f t="shared" si="184"/>
        <v>50</v>
      </c>
      <c r="N777" s="8">
        <v>1.3</v>
      </c>
      <c r="O777" s="10">
        <f t="shared" si="185"/>
        <v>1.3</v>
      </c>
      <c r="P777" s="8" t="s">
        <v>2051</v>
      </c>
      <c r="Q777" s="14">
        <v>0.87</v>
      </c>
      <c r="R777" s="12">
        <f t="shared" si="186"/>
        <v>0.87</v>
      </c>
      <c r="S777" s="12">
        <f t="shared" si="187"/>
        <v>0.87</v>
      </c>
    </row>
    <row r="778" spans="1:19" x14ac:dyDescent="0.35">
      <c r="A778" s="8" t="s">
        <v>1576</v>
      </c>
      <c r="B778" s="8" t="s">
        <v>1577</v>
      </c>
      <c r="C778" s="8" t="s">
        <v>1</v>
      </c>
      <c r="D778" s="8" t="str">
        <f t="shared" si="179"/>
        <v>Female</v>
      </c>
      <c r="E778" s="8">
        <v>56</v>
      </c>
      <c r="F778" s="8">
        <f t="shared" si="182"/>
        <v>56</v>
      </c>
      <c r="G778" s="8" t="s">
        <v>147</v>
      </c>
      <c r="H778" s="8" t="s">
        <v>148</v>
      </c>
      <c r="I778" s="8" t="s">
        <v>4</v>
      </c>
      <c r="J778" s="8">
        <v>3</v>
      </c>
      <c r="K778" s="8">
        <f t="shared" si="183"/>
        <v>3</v>
      </c>
      <c r="L778" s="8">
        <v>40</v>
      </c>
      <c r="M778" s="9">
        <f t="shared" si="184"/>
        <v>40</v>
      </c>
      <c r="N778" s="8">
        <v>4.0999999999999996</v>
      </c>
      <c r="O778" s="10">
        <f t="shared" si="185"/>
        <v>4.0999999999999996</v>
      </c>
      <c r="P778" s="8" t="s">
        <v>2051</v>
      </c>
      <c r="Q778" s="14">
        <v>0.89</v>
      </c>
      <c r="R778" s="12">
        <f t="shared" si="186"/>
        <v>0.89</v>
      </c>
      <c r="S778" s="12">
        <f t="shared" si="187"/>
        <v>0.89</v>
      </c>
    </row>
    <row r="779" spans="1:19" x14ac:dyDescent="0.35">
      <c r="A779" s="8" t="s">
        <v>1578</v>
      </c>
      <c r="B779" s="8" t="s">
        <v>1579</v>
      </c>
      <c r="C779" s="8" t="s">
        <v>70</v>
      </c>
      <c r="D779" s="8" t="str">
        <f t="shared" si="179"/>
        <v>Male</v>
      </c>
      <c r="E779" s="8">
        <v>48</v>
      </c>
      <c r="F779" s="8">
        <f t="shared" si="182"/>
        <v>48</v>
      </c>
      <c r="G779" s="8" t="s">
        <v>42</v>
      </c>
      <c r="H779" s="8" t="s">
        <v>43</v>
      </c>
      <c r="I779" s="8" t="s">
        <v>20</v>
      </c>
      <c r="J779" s="8">
        <v>19</v>
      </c>
      <c r="K779" s="8">
        <f t="shared" si="183"/>
        <v>19</v>
      </c>
      <c r="L779" s="8">
        <v>40</v>
      </c>
      <c r="M779" s="9">
        <f t="shared" si="184"/>
        <v>40</v>
      </c>
      <c r="N779" s="8">
        <v>1.5</v>
      </c>
      <c r="O779" s="10">
        <f t="shared" si="185"/>
        <v>1.5</v>
      </c>
      <c r="P779" s="8" t="s">
        <v>2050</v>
      </c>
      <c r="Q779" s="14">
        <v>0.87</v>
      </c>
      <c r="R779" s="12">
        <f t="shared" si="186"/>
        <v>0.87</v>
      </c>
      <c r="S779" s="12">
        <f t="shared" si="187"/>
        <v>0.87</v>
      </c>
    </row>
    <row r="780" spans="1:19" x14ac:dyDescent="0.35">
      <c r="A780" s="8" t="s">
        <v>1580</v>
      </c>
      <c r="B780" s="8" t="s">
        <v>1581</v>
      </c>
      <c r="C780" s="8" t="s">
        <v>55</v>
      </c>
      <c r="D780" s="8" t="str">
        <f t="shared" si="179"/>
        <v>Female</v>
      </c>
      <c r="E780" s="8">
        <v>31</v>
      </c>
      <c r="F780" s="8">
        <f t="shared" si="182"/>
        <v>31</v>
      </c>
      <c r="G780" s="8" t="s">
        <v>99</v>
      </c>
      <c r="H780" s="8" t="s">
        <v>100</v>
      </c>
      <c r="I780" s="8" t="s">
        <v>10</v>
      </c>
      <c r="J780" s="8">
        <v>11</v>
      </c>
      <c r="K780" s="8">
        <f t="shared" si="183"/>
        <v>11</v>
      </c>
      <c r="L780" s="8">
        <v>40</v>
      </c>
      <c r="M780" s="9">
        <f t="shared" si="184"/>
        <v>40</v>
      </c>
      <c r="N780" s="8">
        <v>4.3</v>
      </c>
      <c r="O780" s="10">
        <f t="shared" si="185"/>
        <v>4.3</v>
      </c>
      <c r="P780" s="8" t="s">
        <v>2051</v>
      </c>
      <c r="Q780" s="14">
        <v>0.76</v>
      </c>
      <c r="R780" s="12">
        <f t="shared" si="186"/>
        <v>0.76</v>
      </c>
      <c r="S780" s="12">
        <f t="shared" si="187"/>
        <v>0.76</v>
      </c>
    </row>
    <row r="781" spans="1:19" x14ac:dyDescent="0.35">
      <c r="A781" s="8" t="s">
        <v>1582</v>
      </c>
      <c r="B781" s="8" t="s">
        <v>1583</v>
      </c>
      <c r="C781" s="8" t="s">
        <v>70</v>
      </c>
      <c r="D781" s="8" t="str">
        <f t="shared" si="179"/>
        <v>Male</v>
      </c>
      <c r="E781" s="8">
        <v>44</v>
      </c>
      <c r="F781" s="8">
        <f t="shared" si="182"/>
        <v>44</v>
      </c>
      <c r="G781" s="8" t="s">
        <v>8</v>
      </c>
      <c r="H781" s="8" t="s">
        <v>9</v>
      </c>
      <c r="I781" s="8" t="s">
        <v>90</v>
      </c>
      <c r="J781" s="8">
        <v>26</v>
      </c>
      <c r="K781" s="8">
        <f t="shared" si="183"/>
        <v>26</v>
      </c>
      <c r="L781" s="8">
        <v>50</v>
      </c>
      <c r="M781" s="9">
        <f t="shared" si="184"/>
        <v>50</v>
      </c>
      <c r="N781" s="8">
        <v>1.6</v>
      </c>
      <c r="O781" s="10">
        <f t="shared" si="185"/>
        <v>1.6</v>
      </c>
      <c r="P781" s="13" t="s">
        <v>2050</v>
      </c>
      <c r="Q781" s="14">
        <v>1</v>
      </c>
      <c r="R781" s="12">
        <f t="shared" si="186"/>
        <v>1</v>
      </c>
      <c r="S781" s="12">
        <f t="shared" si="187"/>
        <v>1</v>
      </c>
    </row>
    <row r="782" spans="1:19" x14ac:dyDescent="0.35">
      <c r="A782" s="8" t="s">
        <v>1584</v>
      </c>
      <c r="B782" s="8" t="s">
        <v>1585</v>
      </c>
      <c r="C782" s="8" t="s">
        <v>19</v>
      </c>
      <c r="D782" s="8" t="str">
        <f t="shared" si="179"/>
        <v>Female</v>
      </c>
      <c r="E782" s="8">
        <v>42</v>
      </c>
      <c r="F782" s="8">
        <f t="shared" si="182"/>
        <v>42</v>
      </c>
      <c r="G782" s="8" t="s">
        <v>114</v>
      </c>
      <c r="H782" s="8" t="s">
        <v>115</v>
      </c>
      <c r="I782" s="8" t="s">
        <v>10</v>
      </c>
      <c r="J782" s="8">
        <v>10</v>
      </c>
      <c r="K782" s="8">
        <f t="shared" si="183"/>
        <v>10</v>
      </c>
      <c r="L782" s="8">
        <v>100</v>
      </c>
      <c r="M782" s="9">
        <f t="shared" si="184"/>
        <v>100</v>
      </c>
      <c r="N782" s="8">
        <v>3.7</v>
      </c>
      <c r="O782" s="10">
        <f t="shared" si="185"/>
        <v>3.7</v>
      </c>
      <c r="P782" s="8" t="s">
        <v>2051</v>
      </c>
      <c r="Q782" s="14">
        <v>0.94</v>
      </c>
      <c r="R782" s="12">
        <f t="shared" si="186"/>
        <v>0.94</v>
      </c>
      <c r="S782" s="12">
        <f t="shared" si="187"/>
        <v>0.94</v>
      </c>
    </row>
    <row r="783" spans="1:19" x14ac:dyDescent="0.35">
      <c r="A783" s="8" t="s">
        <v>1586</v>
      </c>
      <c r="B783" s="8" t="s">
        <v>1587</v>
      </c>
      <c r="C783" s="8" t="s">
        <v>75</v>
      </c>
      <c r="D783" s="8" t="str">
        <f t="shared" si="179"/>
        <v>Male</v>
      </c>
      <c r="E783" s="8">
        <v>59</v>
      </c>
      <c r="F783" s="8">
        <f t="shared" si="182"/>
        <v>59</v>
      </c>
      <c r="G783" s="8" t="s">
        <v>38</v>
      </c>
      <c r="H783" s="8" t="s">
        <v>9</v>
      </c>
      <c r="I783" s="8" t="s">
        <v>56</v>
      </c>
      <c r="J783" s="8">
        <v>17</v>
      </c>
      <c r="K783" s="8">
        <f t="shared" si="183"/>
        <v>17</v>
      </c>
      <c r="L783" s="8">
        <v>50</v>
      </c>
      <c r="M783" s="9">
        <f t="shared" si="184"/>
        <v>50</v>
      </c>
      <c r="N783" s="8">
        <v>1.4</v>
      </c>
      <c r="O783" s="10">
        <f t="shared" si="185"/>
        <v>1.4</v>
      </c>
      <c r="P783" s="8" t="s">
        <v>2051</v>
      </c>
      <c r="Q783" s="13"/>
      <c r="S783" s="12">
        <f t="shared" si="187"/>
        <v>0.79269417475728277</v>
      </c>
    </row>
    <row r="784" spans="1:19" x14ac:dyDescent="0.35">
      <c r="A784" s="8" t="s">
        <v>1588</v>
      </c>
      <c r="B784" s="8" t="s">
        <v>1589</v>
      </c>
      <c r="C784" s="8" t="s">
        <v>19</v>
      </c>
      <c r="D784" s="8" t="str">
        <f t="shared" si="179"/>
        <v>Female</v>
      </c>
      <c r="E784" s="13"/>
      <c r="F784" s="8">
        <f t="shared" si="182"/>
        <v>41</v>
      </c>
      <c r="G784" s="8" t="s">
        <v>50</v>
      </c>
      <c r="H784" s="8" t="s">
        <v>51</v>
      </c>
      <c r="I784" s="8" t="s">
        <v>4</v>
      </c>
      <c r="J784" s="8">
        <v>9</v>
      </c>
      <c r="K784" s="8">
        <f t="shared" si="183"/>
        <v>9</v>
      </c>
      <c r="L784" s="8">
        <v>100</v>
      </c>
      <c r="M784" s="9">
        <f t="shared" si="184"/>
        <v>100</v>
      </c>
      <c r="N784" s="8">
        <v>4.5</v>
      </c>
      <c r="O784" s="10">
        <f t="shared" si="185"/>
        <v>4.5</v>
      </c>
      <c r="P784" s="8" t="s">
        <v>2051</v>
      </c>
      <c r="Q784" s="8">
        <v>83</v>
      </c>
      <c r="R784" s="12">
        <v>0.83</v>
      </c>
      <c r="S784" s="12">
        <f t="shared" si="187"/>
        <v>0.83</v>
      </c>
    </row>
    <row r="785" spans="1:19" x14ac:dyDescent="0.35">
      <c r="A785" s="8" t="s">
        <v>1590</v>
      </c>
      <c r="B785" s="8" t="s">
        <v>1591</v>
      </c>
      <c r="C785" s="8" t="s">
        <v>70</v>
      </c>
      <c r="D785" s="8" t="str">
        <f t="shared" si="179"/>
        <v>Male</v>
      </c>
      <c r="E785" s="8">
        <v>21</v>
      </c>
      <c r="F785" s="8">
        <f t="shared" si="182"/>
        <v>21</v>
      </c>
      <c r="G785" s="8" t="s">
        <v>147</v>
      </c>
      <c r="H785" s="8" t="s">
        <v>148</v>
      </c>
      <c r="I785" s="8" t="s">
        <v>33</v>
      </c>
      <c r="J785" s="8">
        <v>0</v>
      </c>
      <c r="K785" s="8">
        <f t="shared" si="183"/>
        <v>0</v>
      </c>
      <c r="L785" s="8">
        <v>40</v>
      </c>
      <c r="M785" s="9">
        <f t="shared" si="184"/>
        <v>40</v>
      </c>
      <c r="N785" s="8">
        <v>3.7</v>
      </c>
      <c r="O785" s="10">
        <f t="shared" si="185"/>
        <v>3.7</v>
      </c>
      <c r="P785" s="8" t="s">
        <v>2050</v>
      </c>
      <c r="Q785" s="14">
        <v>0.74</v>
      </c>
      <c r="R785" s="12">
        <f>Q785</f>
        <v>0.74</v>
      </c>
      <c r="S785" s="12">
        <f t="shared" si="187"/>
        <v>0.74</v>
      </c>
    </row>
    <row r="786" spans="1:19" x14ac:dyDescent="0.35">
      <c r="A786" s="8" t="s">
        <v>1592</v>
      </c>
      <c r="B786" s="8" t="s">
        <v>1593</v>
      </c>
      <c r="C786" s="8" t="s">
        <v>75</v>
      </c>
      <c r="D786" s="8" t="str">
        <f t="shared" si="179"/>
        <v>Male</v>
      </c>
      <c r="E786" s="8">
        <v>53</v>
      </c>
      <c r="F786" s="8">
        <f t="shared" si="182"/>
        <v>53</v>
      </c>
      <c r="G786" s="8" t="s">
        <v>46</v>
      </c>
      <c r="H786" s="8" t="s">
        <v>9</v>
      </c>
      <c r="I786" s="8" t="s">
        <v>67</v>
      </c>
      <c r="J786" s="8">
        <v>5</v>
      </c>
      <c r="K786" s="8">
        <f t="shared" si="183"/>
        <v>5</v>
      </c>
      <c r="L786" s="8">
        <v>75</v>
      </c>
      <c r="M786" s="9">
        <f t="shared" si="184"/>
        <v>75</v>
      </c>
      <c r="N786" s="8">
        <v>1.1000000000000001</v>
      </c>
      <c r="O786" s="10">
        <f t="shared" si="185"/>
        <v>1.1000000000000001</v>
      </c>
      <c r="P786" s="8" t="s">
        <v>2050</v>
      </c>
      <c r="Q786" s="8">
        <v>92</v>
      </c>
      <c r="R786" s="12">
        <v>0.92</v>
      </c>
      <c r="S786" s="12">
        <f t="shared" si="187"/>
        <v>0.92</v>
      </c>
    </row>
    <row r="787" spans="1:19" x14ac:dyDescent="0.35">
      <c r="A787" s="8" t="s">
        <v>1594</v>
      </c>
      <c r="B787" s="8" t="s">
        <v>1595</v>
      </c>
      <c r="C787" s="8" t="s">
        <v>70</v>
      </c>
      <c r="D787" s="8" t="str">
        <f t="shared" si="179"/>
        <v>Male</v>
      </c>
      <c r="E787" s="8">
        <v>35</v>
      </c>
      <c r="F787" s="8">
        <f t="shared" si="182"/>
        <v>35</v>
      </c>
      <c r="G787" s="8" t="s">
        <v>50</v>
      </c>
      <c r="H787" s="8" t="s">
        <v>51</v>
      </c>
      <c r="I787" s="8" t="s">
        <v>10</v>
      </c>
      <c r="J787" s="8">
        <v>15</v>
      </c>
      <c r="K787" s="8">
        <f t="shared" si="183"/>
        <v>15</v>
      </c>
      <c r="L787" s="13"/>
      <c r="M787" s="9">
        <f t="shared" si="184"/>
        <v>40</v>
      </c>
      <c r="N787" s="8">
        <v>3.7</v>
      </c>
      <c r="O787" s="10">
        <f t="shared" si="185"/>
        <v>3.7</v>
      </c>
      <c r="P787" s="8" t="s">
        <v>2050</v>
      </c>
      <c r="Q787" s="14">
        <v>0.66</v>
      </c>
      <c r="R787" s="12">
        <f t="shared" ref="R787:R789" si="188">Q787</f>
        <v>0.66</v>
      </c>
      <c r="S787" s="12">
        <f t="shared" si="187"/>
        <v>0.66</v>
      </c>
    </row>
    <row r="788" spans="1:19" x14ac:dyDescent="0.35">
      <c r="A788" s="8" t="s">
        <v>1596</v>
      </c>
      <c r="B788" s="8" t="s">
        <v>1597</v>
      </c>
      <c r="C788" s="8" t="s">
        <v>55</v>
      </c>
      <c r="D788" s="8" t="str">
        <f t="shared" si="179"/>
        <v>Female</v>
      </c>
      <c r="E788" s="8">
        <v>25</v>
      </c>
      <c r="F788" s="8">
        <f t="shared" si="182"/>
        <v>25</v>
      </c>
      <c r="G788" s="8" t="s">
        <v>84</v>
      </c>
      <c r="H788" s="8" t="s">
        <v>85</v>
      </c>
      <c r="I788" s="8" t="s">
        <v>90</v>
      </c>
      <c r="J788" s="8">
        <v>3</v>
      </c>
      <c r="K788" s="8">
        <f t="shared" si="183"/>
        <v>3</v>
      </c>
      <c r="L788" s="8">
        <v>50</v>
      </c>
      <c r="M788" s="9">
        <f t="shared" si="184"/>
        <v>50</v>
      </c>
      <c r="N788" s="8">
        <v>3.2</v>
      </c>
      <c r="O788" s="10">
        <f t="shared" si="185"/>
        <v>3.2</v>
      </c>
      <c r="P788" s="8" t="s">
        <v>2051</v>
      </c>
      <c r="Q788" s="14">
        <v>0.74</v>
      </c>
      <c r="R788" s="12">
        <f t="shared" si="188"/>
        <v>0.74</v>
      </c>
      <c r="S788" s="12">
        <f t="shared" si="187"/>
        <v>0.74</v>
      </c>
    </row>
    <row r="789" spans="1:19" x14ac:dyDescent="0.35">
      <c r="A789" s="8" t="s">
        <v>1598</v>
      </c>
      <c r="B789" s="8" t="s">
        <v>1599</v>
      </c>
      <c r="C789" s="8" t="s">
        <v>22</v>
      </c>
      <c r="D789" s="8" t="str">
        <f t="shared" si="179"/>
        <v>Female</v>
      </c>
      <c r="E789" s="8">
        <v>23</v>
      </c>
      <c r="F789" s="8">
        <f t="shared" si="182"/>
        <v>23</v>
      </c>
      <c r="G789" s="8" t="s">
        <v>2</v>
      </c>
      <c r="H789" s="8" t="s">
        <v>3</v>
      </c>
      <c r="I789" s="8" t="s">
        <v>52</v>
      </c>
      <c r="J789" s="8">
        <v>1</v>
      </c>
      <c r="K789" s="8">
        <f t="shared" si="183"/>
        <v>1</v>
      </c>
      <c r="L789" s="8">
        <v>30</v>
      </c>
      <c r="M789" s="9">
        <f t="shared" si="184"/>
        <v>30</v>
      </c>
      <c r="N789" s="8">
        <v>5</v>
      </c>
      <c r="O789" s="10">
        <f t="shared" si="185"/>
        <v>5</v>
      </c>
      <c r="P789" s="8" t="s">
        <v>2050</v>
      </c>
      <c r="Q789" s="14">
        <v>0.97</v>
      </c>
      <c r="R789" s="12">
        <f t="shared" si="188"/>
        <v>0.97</v>
      </c>
      <c r="S789" s="12">
        <f t="shared" si="187"/>
        <v>0.97</v>
      </c>
    </row>
    <row r="790" spans="1:19" x14ac:dyDescent="0.35">
      <c r="A790" s="8" t="s">
        <v>1600</v>
      </c>
      <c r="B790" s="8" t="s">
        <v>1601</v>
      </c>
      <c r="C790" s="8" t="s">
        <v>19</v>
      </c>
      <c r="D790" s="8" t="str">
        <f t="shared" si="179"/>
        <v>Female</v>
      </c>
      <c r="E790" s="8">
        <v>56</v>
      </c>
      <c r="F790" s="8">
        <f t="shared" si="182"/>
        <v>56</v>
      </c>
      <c r="G790" s="8" t="s">
        <v>114</v>
      </c>
      <c r="H790" s="8" t="s">
        <v>115</v>
      </c>
      <c r="I790" s="8" t="s">
        <v>16</v>
      </c>
      <c r="J790" s="8">
        <v>13</v>
      </c>
      <c r="K790" s="8">
        <f t="shared" si="183"/>
        <v>13</v>
      </c>
      <c r="L790" s="8">
        <v>30</v>
      </c>
      <c r="M790" s="9">
        <f t="shared" si="184"/>
        <v>30</v>
      </c>
      <c r="N790" s="8">
        <v>0</v>
      </c>
      <c r="O790" s="11">
        <f t="shared" si="185"/>
        <v>0</v>
      </c>
      <c r="P790" s="13" t="s">
        <v>2050</v>
      </c>
      <c r="Q790" s="8">
        <v>77</v>
      </c>
      <c r="R790" s="12">
        <v>0.77</v>
      </c>
      <c r="S790" s="12">
        <f t="shared" si="187"/>
        <v>0.77</v>
      </c>
    </row>
    <row r="791" spans="1:19" x14ac:dyDescent="0.35">
      <c r="A791" s="8" t="s">
        <v>1602</v>
      </c>
      <c r="B791" s="8" t="s">
        <v>1603</v>
      </c>
      <c r="C791" s="8" t="s">
        <v>22</v>
      </c>
      <c r="D791" s="8" t="str">
        <f t="shared" si="179"/>
        <v>Female</v>
      </c>
      <c r="E791" s="8">
        <v>31</v>
      </c>
      <c r="F791" s="8">
        <f t="shared" si="182"/>
        <v>31</v>
      </c>
      <c r="G791" s="8" t="s">
        <v>151</v>
      </c>
      <c r="H791" s="8" t="s">
        <v>51</v>
      </c>
      <c r="I791" s="8" t="s">
        <v>52</v>
      </c>
      <c r="J791" s="8">
        <v>6</v>
      </c>
      <c r="K791" s="8">
        <f t="shared" si="183"/>
        <v>6</v>
      </c>
      <c r="L791" s="13"/>
      <c r="M791" s="9">
        <f t="shared" si="184"/>
        <v>40</v>
      </c>
      <c r="N791" s="8">
        <v>3.5</v>
      </c>
      <c r="O791" s="10">
        <f t="shared" si="185"/>
        <v>3.5</v>
      </c>
      <c r="P791" s="8" t="s">
        <v>2050</v>
      </c>
      <c r="Q791" s="14">
        <v>0.86</v>
      </c>
      <c r="R791" s="12">
        <f t="shared" ref="R791:R795" si="189">Q791</f>
        <v>0.86</v>
      </c>
      <c r="S791" s="12">
        <f t="shared" si="187"/>
        <v>0.86</v>
      </c>
    </row>
    <row r="792" spans="1:19" x14ac:dyDescent="0.35">
      <c r="A792" s="8" t="s">
        <v>1604</v>
      </c>
      <c r="B792" s="8" t="s">
        <v>1605</v>
      </c>
      <c r="C792" s="8" t="s">
        <v>70</v>
      </c>
      <c r="D792" s="8" t="str">
        <f t="shared" si="179"/>
        <v>Male</v>
      </c>
      <c r="E792" s="8">
        <v>24</v>
      </c>
      <c r="F792" s="8">
        <f t="shared" si="182"/>
        <v>24</v>
      </c>
      <c r="G792" s="8" t="s">
        <v>38</v>
      </c>
      <c r="H792" s="8" t="s">
        <v>9</v>
      </c>
      <c r="I792" s="8" t="s">
        <v>56</v>
      </c>
      <c r="J792" s="8">
        <v>4</v>
      </c>
      <c r="K792" s="8">
        <f t="shared" si="183"/>
        <v>4</v>
      </c>
      <c r="L792" s="8">
        <v>50</v>
      </c>
      <c r="M792" s="9">
        <f t="shared" si="184"/>
        <v>50</v>
      </c>
      <c r="N792" s="8">
        <v>3.1</v>
      </c>
      <c r="O792" s="10">
        <f t="shared" si="185"/>
        <v>3.1</v>
      </c>
      <c r="P792" s="8" t="s">
        <v>2050</v>
      </c>
      <c r="Q792" s="14">
        <v>0.95</v>
      </c>
      <c r="R792" s="12">
        <f t="shared" si="189"/>
        <v>0.95</v>
      </c>
      <c r="S792" s="12">
        <f t="shared" si="187"/>
        <v>0.95</v>
      </c>
    </row>
    <row r="793" spans="1:19" x14ac:dyDescent="0.35">
      <c r="A793" s="8" t="s">
        <v>1606</v>
      </c>
      <c r="B793" s="8" t="s">
        <v>1607</v>
      </c>
      <c r="C793" s="8" t="s">
        <v>7</v>
      </c>
      <c r="D793" s="8" t="str">
        <f t="shared" si="179"/>
        <v>Female</v>
      </c>
      <c r="E793" s="8">
        <v>35</v>
      </c>
      <c r="F793" s="8">
        <f t="shared" si="182"/>
        <v>35</v>
      </c>
      <c r="G793" s="8" t="s">
        <v>84</v>
      </c>
      <c r="H793" s="8" t="s">
        <v>85</v>
      </c>
      <c r="I793" s="8" t="s">
        <v>56</v>
      </c>
      <c r="J793" s="8">
        <v>7</v>
      </c>
      <c r="K793" s="8">
        <f t="shared" si="183"/>
        <v>7</v>
      </c>
      <c r="L793" s="13"/>
      <c r="M793" s="9">
        <f t="shared" si="184"/>
        <v>40</v>
      </c>
      <c r="N793" s="8">
        <v>3.9</v>
      </c>
      <c r="O793" s="10">
        <f t="shared" si="185"/>
        <v>3.9</v>
      </c>
      <c r="P793" s="8" t="s">
        <v>2050</v>
      </c>
      <c r="Q793" s="14">
        <v>0.72</v>
      </c>
      <c r="R793" s="12">
        <f t="shared" si="189"/>
        <v>0.72</v>
      </c>
      <c r="S793" s="12">
        <f t="shared" si="187"/>
        <v>0.72</v>
      </c>
    </row>
    <row r="794" spans="1:19" x14ac:dyDescent="0.35">
      <c r="A794" s="8" t="s">
        <v>1608</v>
      </c>
      <c r="B794" s="8" t="s">
        <v>1609</v>
      </c>
      <c r="C794" s="8" t="s">
        <v>7</v>
      </c>
      <c r="D794" s="8" t="str">
        <f t="shared" si="179"/>
        <v>Female</v>
      </c>
      <c r="E794" s="8">
        <v>20</v>
      </c>
      <c r="F794" s="8">
        <f t="shared" si="182"/>
        <v>20</v>
      </c>
      <c r="G794" s="8" t="s">
        <v>162</v>
      </c>
      <c r="H794" s="8" t="s">
        <v>51</v>
      </c>
      <c r="I794" s="8" t="s">
        <v>27</v>
      </c>
      <c r="J794" s="8">
        <v>1</v>
      </c>
      <c r="K794" s="8">
        <f t="shared" si="183"/>
        <v>1</v>
      </c>
      <c r="L794" s="13"/>
      <c r="M794" s="9">
        <f t="shared" si="184"/>
        <v>40</v>
      </c>
      <c r="N794" s="8">
        <v>3.5</v>
      </c>
      <c r="O794" s="10">
        <f t="shared" si="185"/>
        <v>3.5</v>
      </c>
      <c r="P794" s="8" t="s">
        <v>2050</v>
      </c>
      <c r="Q794" s="14">
        <v>0.71</v>
      </c>
      <c r="R794" s="12">
        <f t="shared" si="189"/>
        <v>0.71</v>
      </c>
      <c r="S794" s="12">
        <f t="shared" si="187"/>
        <v>0.71</v>
      </c>
    </row>
    <row r="795" spans="1:19" x14ac:dyDescent="0.35">
      <c r="A795" s="8" t="s">
        <v>1610</v>
      </c>
      <c r="B795" s="8" t="s">
        <v>1611</v>
      </c>
      <c r="C795" s="8" t="s">
        <v>75</v>
      </c>
      <c r="D795" s="8" t="str">
        <f t="shared" si="179"/>
        <v>Male</v>
      </c>
      <c r="E795" s="8">
        <v>26</v>
      </c>
      <c r="F795" s="8">
        <f t="shared" si="182"/>
        <v>26</v>
      </c>
      <c r="G795" s="8" t="s">
        <v>8</v>
      </c>
      <c r="H795" s="8" t="s">
        <v>9</v>
      </c>
      <c r="I795" s="8" t="s">
        <v>33</v>
      </c>
      <c r="J795" s="8">
        <v>5</v>
      </c>
      <c r="K795" s="8">
        <f t="shared" si="183"/>
        <v>5</v>
      </c>
      <c r="L795" s="8">
        <v>100</v>
      </c>
      <c r="M795" s="9">
        <f t="shared" si="184"/>
        <v>100</v>
      </c>
      <c r="N795" s="8">
        <v>2.5</v>
      </c>
      <c r="O795" s="10">
        <f t="shared" si="185"/>
        <v>2.5</v>
      </c>
      <c r="P795" s="8" t="s">
        <v>2051</v>
      </c>
      <c r="Q795" s="14">
        <v>0.93</v>
      </c>
      <c r="R795" s="12">
        <f t="shared" si="189"/>
        <v>0.93</v>
      </c>
      <c r="S795" s="12">
        <f t="shared" si="187"/>
        <v>0.93</v>
      </c>
    </row>
    <row r="796" spans="1:19" x14ac:dyDescent="0.35">
      <c r="A796" s="8" t="s">
        <v>1612</v>
      </c>
      <c r="B796" s="8" t="s">
        <v>1613</v>
      </c>
      <c r="C796" s="8" t="s">
        <v>70</v>
      </c>
      <c r="D796" s="8" t="str">
        <f t="shared" si="179"/>
        <v>Male</v>
      </c>
      <c r="E796" s="8">
        <v>54</v>
      </c>
      <c r="F796" s="8">
        <f t="shared" si="182"/>
        <v>54</v>
      </c>
      <c r="G796" s="8" t="s">
        <v>46</v>
      </c>
      <c r="H796" s="8" t="s">
        <v>9</v>
      </c>
      <c r="I796" s="8" t="s">
        <v>67</v>
      </c>
      <c r="J796" s="8">
        <v>29</v>
      </c>
      <c r="K796" s="8">
        <f t="shared" si="183"/>
        <v>29</v>
      </c>
      <c r="L796" s="8">
        <v>40</v>
      </c>
      <c r="M796" s="9">
        <f t="shared" si="184"/>
        <v>40</v>
      </c>
      <c r="N796" s="8">
        <v>3.1</v>
      </c>
      <c r="O796" s="10">
        <f t="shared" si="185"/>
        <v>3.1</v>
      </c>
      <c r="P796" s="8" t="s">
        <v>2051</v>
      </c>
      <c r="Q796" s="13"/>
      <c r="S796" s="12">
        <f t="shared" si="187"/>
        <v>0.79269417475728277</v>
      </c>
    </row>
    <row r="797" spans="1:19" x14ac:dyDescent="0.35">
      <c r="A797" s="8" t="s">
        <v>1614</v>
      </c>
      <c r="B797" s="8" t="s">
        <v>1615</v>
      </c>
      <c r="C797" s="8" t="s">
        <v>30</v>
      </c>
      <c r="D797" s="8" t="str">
        <f t="shared" si="179"/>
        <v>Male</v>
      </c>
      <c r="E797" s="8">
        <v>53</v>
      </c>
      <c r="F797" s="8">
        <f t="shared" si="182"/>
        <v>53</v>
      </c>
      <c r="G797" s="8" t="s">
        <v>99</v>
      </c>
      <c r="H797" s="8" t="s">
        <v>100</v>
      </c>
      <c r="I797" s="8" t="s">
        <v>56</v>
      </c>
      <c r="J797" s="8">
        <v>12</v>
      </c>
      <c r="K797" s="8">
        <f t="shared" si="183"/>
        <v>12</v>
      </c>
      <c r="L797" s="8">
        <v>100</v>
      </c>
      <c r="M797" s="9">
        <f t="shared" si="184"/>
        <v>100</v>
      </c>
      <c r="N797" s="8">
        <v>4.7</v>
      </c>
      <c r="O797" s="10">
        <f t="shared" si="185"/>
        <v>4.7</v>
      </c>
      <c r="P797" s="8" t="s">
        <v>2051</v>
      </c>
      <c r="Q797" s="14">
        <v>0.87</v>
      </c>
      <c r="R797" s="12">
        <f>Q797</f>
        <v>0.87</v>
      </c>
      <c r="S797" s="12">
        <f t="shared" si="187"/>
        <v>0.87</v>
      </c>
    </row>
    <row r="798" spans="1:19" x14ac:dyDescent="0.35">
      <c r="A798" s="8" t="s">
        <v>1616</v>
      </c>
      <c r="B798" s="8" t="s">
        <v>1617</v>
      </c>
      <c r="C798" s="8" t="s">
        <v>55</v>
      </c>
      <c r="D798" s="8" t="str">
        <f t="shared" si="179"/>
        <v>Female</v>
      </c>
      <c r="E798" s="8">
        <v>33</v>
      </c>
      <c r="F798" s="8">
        <f t="shared" si="182"/>
        <v>33</v>
      </c>
      <c r="G798" s="8" t="s">
        <v>103</v>
      </c>
      <c r="H798" s="8" t="s">
        <v>9</v>
      </c>
      <c r="I798" s="8" t="s">
        <v>67</v>
      </c>
      <c r="J798" s="8">
        <v>4</v>
      </c>
      <c r="K798" s="8">
        <f t="shared" si="183"/>
        <v>4</v>
      </c>
      <c r="L798" s="13"/>
      <c r="M798" s="9">
        <f t="shared" si="184"/>
        <v>40</v>
      </c>
      <c r="N798" s="8">
        <v>1.9</v>
      </c>
      <c r="O798" s="10">
        <f t="shared" si="185"/>
        <v>1.9</v>
      </c>
      <c r="P798" s="8" t="s">
        <v>2050</v>
      </c>
      <c r="Q798" s="8">
        <v>73</v>
      </c>
      <c r="R798" s="12">
        <v>0.73</v>
      </c>
      <c r="S798" s="12">
        <f t="shared" si="187"/>
        <v>0.73</v>
      </c>
    </row>
    <row r="799" spans="1:19" x14ac:dyDescent="0.35">
      <c r="A799" s="8" t="s">
        <v>1618</v>
      </c>
      <c r="B799" s="8" t="s">
        <v>1619</v>
      </c>
      <c r="C799" s="8" t="s">
        <v>30</v>
      </c>
      <c r="D799" s="8" t="str">
        <f t="shared" si="179"/>
        <v>Male</v>
      </c>
      <c r="E799" s="8">
        <v>43</v>
      </c>
      <c r="F799" s="8">
        <f t="shared" si="182"/>
        <v>43</v>
      </c>
      <c r="G799" s="8" t="s">
        <v>25</v>
      </c>
      <c r="H799" s="8" t="s">
        <v>26</v>
      </c>
      <c r="I799" s="8" t="s">
        <v>20</v>
      </c>
      <c r="J799" s="8">
        <v>12</v>
      </c>
      <c r="K799" s="8">
        <f t="shared" si="183"/>
        <v>12</v>
      </c>
      <c r="L799" s="13"/>
      <c r="M799" s="9">
        <f t="shared" si="184"/>
        <v>40</v>
      </c>
      <c r="N799" s="8">
        <v>1.6</v>
      </c>
      <c r="O799" s="10">
        <f t="shared" si="185"/>
        <v>1.6</v>
      </c>
      <c r="P799" s="8" t="s">
        <v>2051</v>
      </c>
      <c r="Q799" s="14">
        <v>0.74</v>
      </c>
      <c r="R799" s="12">
        <f t="shared" ref="R799:R802" si="190">Q799</f>
        <v>0.74</v>
      </c>
      <c r="S799" s="12">
        <f t="shared" si="187"/>
        <v>0.74</v>
      </c>
    </row>
    <row r="800" spans="1:19" x14ac:dyDescent="0.35">
      <c r="A800" s="8" t="s">
        <v>1620</v>
      </c>
      <c r="B800" s="8" t="s">
        <v>1621</v>
      </c>
      <c r="C800" s="8" t="s">
        <v>70</v>
      </c>
      <c r="D800" s="8" t="str">
        <f t="shared" si="179"/>
        <v>Male</v>
      </c>
      <c r="E800" s="8">
        <v>37</v>
      </c>
      <c r="F800" s="8">
        <f t="shared" si="182"/>
        <v>37</v>
      </c>
      <c r="G800" s="8" t="s">
        <v>103</v>
      </c>
      <c r="H800" s="8" t="s">
        <v>9</v>
      </c>
      <c r="I800" s="8" t="s">
        <v>67</v>
      </c>
      <c r="J800" s="8">
        <v>3</v>
      </c>
      <c r="K800" s="8">
        <f t="shared" si="183"/>
        <v>3</v>
      </c>
      <c r="L800" s="8">
        <v>20</v>
      </c>
      <c r="M800" s="9">
        <f t="shared" si="184"/>
        <v>20</v>
      </c>
      <c r="N800" s="8">
        <v>2.5</v>
      </c>
      <c r="O800" s="10">
        <f t="shared" si="185"/>
        <v>2.5</v>
      </c>
      <c r="P800" s="8" t="s">
        <v>2050</v>
      </c>
      <c r="Q800" s="14">
        <v>0.62</v>
      </c>
      <c r="R800" s="12">
        <f t="shared" si="190"/>
        <v>0.62</v>
      </c>
      <c r="S800" s="12">
        <f t="shared" si="187"/>
        <v>0.62</v>
      </c>
    </row>
    <row r="801" spans="1:19" x14ac:dyDescent="0.35">
      <c r="A801" s="8" t="s">
        <v>1622</v>
      </c>
      <c r="B801" s="8" t="s">
        <v>1623</v>
      </c>
      <c r="C801" s="8" t="s">
        <v>22</v>
      </c>
      <c r="D801" s="8" t="str">
        <f t="shared" si="179"/>
        <v>Female</v>
      </c>
      <c r="E801" s="8">
        <v>58</v>
      </c>
      <c r="F801" s="8">
        <f t="shared" si="182"/>
        <v>58</v>
      </c>
      <c r="G801" s="8" t="s">
        <v>110</v>
      </c>
      <c r="H801" s="8" t="s">
        <v>111</v>
      </c>
      <c r="I801" s="8" t="s">
        <v>33</v>
      </c>
      <c r="J801" s="8">
        <v>15</v>
      </c>
      <c r="K801" s="8">
        <f t="shared" si="183"/>
        <v>15</v>
      </c>
      <c r="L801" s="8">
        <v>20</v>
      </c>
      <c r="M801" s="9">
        <f t="shared" si="184"/>
        <v>20</v>
      </c>
      <c r="N801" s="8">
        <v>3.5</v>
      </c>
      <c r="O801" s="10">
        <f t="shared" si="185"/>
        <v>3.5</v>
      </c>
      <c r="P801" s="13" t="s">
        <v>2050</v>
      </c>
      <c r="Q801" s="14">
        <v>0.98</v>
      </c>
      <c r="R801" s="12">
        <f t="shared" si="190"/>
        <v>0.98</v>
      </c>
      <c r="S801" s="12">
        <f t="shared" si="187"/>
        <v>0.98</v>
      </c>
    </row>
    <row r="802" spans="1:19" x14ac:dyDescent="0.35">
      <c r="A802" s="8" t="s">
        <v>1624</v>
      </c>
      <c r="B802" s="8" t="s">
        <v>1625</v>
      </c>
      <c r="C802" s="8" t="s">
        <v>7</v>
      </c>
      <c r="D802" s="8" t="str">
        <f t="shared" si="179"/>
        <v>Female</v>
      </c>
      <c r="E802" s="8">
        <v>39</v>
      </c>
      <c r="F802" s="8">
        <f t="shared" si="182"/>
        <v>39</v>
      </c>
      <c r="G802" s="8" t="s">
        <v>162</v>
      </c>
      <c r="H802" s="8" t="s">
        <v>51</v>
      </c>
      <c r="I802" s="8" t="s">
        <v>10</v>
      </c>
      <c r="J802" s="8">
        <v>15</v>
      </c>
      <c r="K802" s="8">
        <f t="shared" si="183"/>
        <v>15</v>
      </c>
      <c r="L802" s="8">
        <v>50</v>
      </c>
      <c r="M802" s="9">
        <f t="shared" si="184"/>
        <v>50</v>
      </c>
      <c r="O802" s="10">
        <f t="shared" si="185"/>
        <v>2.5125695216907653</v>
      </c>
      <c r="P802" s="8" t="s">
        <v>2050</v>
      </c>
      <c r="Q802" s="14">
        <v>0.8</v>
      </c>
      <c r="R802" s="12">
        <f t="shared" si="190"/>
        <v>0.8</v>
      </c>
      <c r="S802" s="12">
        <f t="shared" si="187"/>
        <v>0.8</v>
      </c>
    </row>
    <row r="803" spans="1:19" x14ac:dyDescent="0.35">
      <c r="A803" s="8" t="s">
        <v>1626</v>
      </c>
      <c r="B803" s="8" t="s">
        <v>1627</v>
      </c>
      <c r="C803" s="8" t="s">
        <v>13</v>
      </c>
      <c r="D803" s="8" t="str">
        <f t="shared" si="179"/>
        <v>Male</v>
      </c>
      <c r="E803" s="8">
        <v>43</v>
      </c>
      <c r="F803" s="8">
        <f t="shared" si="182"/>
        <v>43</v>
      </c>
      <c r="G803" s="8" t="s">
        <v>42</v>
      </c>
      <c r="H803" s="8" t="s">
        <v>43</v>
      </c>
      <c r="I803" s="8" t="s">
        <v>16</v>
      </c>
      <c r="J803" s="8">
        <v>13</v>
      </c>
      <c r="K803" s="8">
        <f t="shared" si="183"/>
        <v>13</v>
      </c>
      <c r="L803" s="8">
        <v>20</v>
      </c>
      <c r="M803" s="9">
        <f t="shared" si="184"/>
        <v>20</v>
      </c>
      <c r="N803" s="8">
        <v>1.2</v>
      </c>
      <c r="O803" s="10">
        <f t="shared" si="185"/>
        <v>1.2</v>
      </c>
      <c r="P803" s="8" t="s">
        <v>2051</v>
      </c>
      <c r="Q803" s="8">
        <v>69</v>
      </c>
      <c r="R803" s="12">
        <v>0.69</v>
      </c>
      <c r="S803" s="12">
        <f t="shared" si="187"/>
        <v>0.69</v>
      </c>
    </row>
    <row r="804" spans="1:19" x14ac:dyDescent="0.35">
      <c r="A804" s="8" t="s">
        <v>1628</v>
      </c>
      <c r="B804" s="8" t="s">
        <v>1629</v>
      </c>
      <c r="C804" s="8" t="s">
        <v>55</v>
      </c>
      <c r="D804" s="8" t="str">
        <f t="shared" si="179"/>
        <v>Female</v>
      </c>
      <c r="E804" s="8">
        <v>40</v>
      </c>
      <c r="F804" s="8">
        <f t="shared" si="182"/>
        <v>40</v>
      </c>
      <c r="G804" s="8" t="s">
        <v>162</v>
      </c>
      <c r="H804" s="8" t="s">
        <v>51</v>
      </c>
      <c r="I804" s="8" t="s">
        <v>4</v>
      </c>
      <c r="J804" s="8">
        <v>20</v>
      </c>
      <c r="K804" s="8">
        <f t="shared" si="183"/>
        <v>20</v>
      </c>
      <c r="L804" s="8">
        <v>30</v>
      </c>
      <c r="M804" s="9">
        <f t="shared" si="184"/>
        <v>30</v>
      </c>
      <c r="O804" s="10">
        <f t="shared" si="185"/>
        <v>2.5125695216907653</v>
      </c>
      <c r="P804" s="8" t="s">
        <v>2050</v>
      </c>
      <c r="Q804" s="8">
        <v>90</v>
      </c>
      <c r="R804" s="12">
        <v>0.9</v>
      </c>
      <c r="S804" s="12">
        <f t="shared" si="187"/>
        <v>0.9</v>
      </c>
    </row>
    <row r="805" spans="1:19" x14ac:dyDescent="0.35">
      <c r="A805" s="8" t="s">
        <v>1630</v>
      </c>
      <c r="B805" s="8" t="s">
        <v>1631</v>
      </c>
      <c r="C805" s="8" t="s">
        <v>1</v>
      </c>
      <c r="D805" s="8" t="str">
        <f t="shared" si="179"/>
        <v>Female</v>
      </c>
      <c r="E805" s="8">
        <v>51</v>
      </c>
      <c r="F805" s="8">
        <f t="shared" si="182"/>
        <v>51</v>
      </c>
      <c r="G805" s="8" t="s">
        <v>46</v>
      </c>
      <c r="H805" s="8" t="s">
        <v>9</v>
      </c>
      <c r="I805" s="8" t="s">
        <v>90</v>
      </c>
      <c r="J805" s="8">
        <v>30</v>
      </c>
      <c r="K805" s="8">
        <f t="shared" si="183"/>
        <v>30</v>
      </c>
      <c r="L805" s="8">
        <v>75</v>
      </c>
      <c r="M805" s="9">
        <f t="shared" si="184"/>
        <v>75</v>
      </c>
      <c r="O805" s="10">
        <f t="shared" si="185"/>
        <v>2.5125695216907653</v>
      </c>
      <c r="P805" s="8" t="s">
        <v>2051</v>
      </c>
      <c r="Q805" s="14">
        <v>0.74</v>
      </c>
      <c r="R805" s="12">
        <f t="shared" ref="R805:R808" si="191">Q805</f>
        <v>0.74</v>
      </c>
      <c r="S805" s="12">
        <f t="shared" si="187"/>
        <v>0.74</v>
      </c>
    </row>
    <row r="806" spans="1:19" x14ac:dyDescent="0.35">
      <c r="A806" s="8" t="s">
        <v>1632</v>
      </c>
      <c r="B806" s="8" t="s">
        <v>1633</v>
      </c>
      <c r="C806" s="8" t="s">
        <v>13</v>
      </c>
      <c r="D806" s="8" t="str">
        <f t="shared" si="179"/>
        <v>Male</v>
      </c>
      <c r="E806" s="8">
        <v>23</v>
      </c>
      <c r="F806" s="8">
        <f t="shared" si="182"/>
        <v>23</v>
      </c>
      <c r="G806" s="8" t="s">
        <v>14</v>
      </c>
      <c r="H806" s="8" t="s">
        <v>15</v>
      </c>
      <c r="I806" s="8" t="s">
        <v>27</v>
      </c>
      <c r="J806" s="8">
        <v>4</v>
      </c>
      <c r="K806" s="8">
        <f t="shared" si="183"/>
        <v>4</v>
      </c>
      <c r="L806" s="8">
        <v>50</v>
      </c>
      <c r="M806" s="9">
        <f t="shared" si="184"/>
        <v>50</v>
      </c>
      <c r="N806" s="8">
        <v>4.5</v>
      </c>
      <c r="O806" s="10">
        <f t="shared" si="185"/>
        <v>4.5</v>
      </c>
      <c r="P806" s="8" t="s">
        <v>2050</v>
      </c>
      <c r="Q806" s="14">
        <v>0.98</v>
      </c>
      <c r="R806" s="12">
        <f t="shared" si="191"/>
        <v>0.98</v>
      </c>
      <c r="S806" s="12">
        <f t="shared" si="187"/>
        <v>0.98</v>
      </c>
    </row>
    <row r="807" spans="1:19" x14ac:dyDescent="0.35">
      <c r="A807" s="8" t="s">
        <v>1634</v>
      </c>
      <c r="B807" s="8" t="s">
        <v>1635</v>
      </c>
      <c r="C807" s="8" t="s">
        <v>1</v>
      </c>
      <c r="D807" s="8" t="str">
        <f t="shared" si="179"/>
        <v>Female</v>
      </c>
      <c r="E807" s="8">
        <v>31</v>
      </c>
      <c r="F807" s="8">
        <f t="shared" si="182"/>
        <v>31</v>
      </c>
      <c r="G807" s="8" t="s">
        <v>31</v>
      </c>
      <c r="H807" s="8" t="s">
        <v>32</v>
      </c>
      <c r="I807" s="8" t="s">
        <v>16</v>
      </c>
      <c r="J807" s="13"/>
      <c r="K807" s="8">
        <f t="shared" si="183"/>
        <v>9</v>
      </c>
      <c r="L807" s="8">
        <v>20</v>
      </c>
      <c r="M807" s="9">
        <f t="shared" si="184"/>
        <v>20</v>
      </c>
      <c r="O807" s="10">
        <f t="shared" si="185"/>
        <v>2.5125695216907653</v>
      </c>
      <c r="P807" s="8" t="s">
        <v>2051</v>
      </c>
      <c r="Q807" s="14">
        <v>0.84</v>
      </c>
      <c r="R807" s="12">
        <f t="shared" si="191"/>
        <v>0.84</v>
      </c>
      <c r="S807" s="12">
        <f t="shared" si="187"/>
        <v>0.84</v>
      </c>
    </row>
    <row r="808" spans="1:19" x14ac:dyDescent="0.35">
      <c r="A808" s="8" t="s">
        <v>1636</v>
      </c>
      <c r="B808" s="8" t="s">
        <v>1637</v>
      </c>
      <c r="C808" s="8" t="s">
        <v>7</v>
      </c>
      <c r="D808" s="8" t="str">
        <f t="shared" si="179"/>
        <v>Female</v>
      </c>
      <c r="E808" s="8">
        <v>44</v>
      </c>
      <c r="F808" s="8">
        <f t="shared" si="182"/>
        <v>44</v>
      </c>
      <c r="G808" s="8" t="s">
        <v>99</v>
      </c>
      <c r="H808" s="8" t="s">
        <v>100</v>
      </c>
      <c r="I808" s="8" t="s">
        <v>20</v>
      </c>
      <c r="J808" s="8">
        <v>3</v>
      </c>
      <c r="K808" s="8">
        <f t="shared" si="183"/>
        <v>3</v>
      </c>
      <c r="L808" s="8">
        <v>20</v>
      </c>
      <c r="M808" s="9">
        <f t="shared" si="184"/>
        <v>20</v>
      </c>
      <c r="N808" s="8">
        <v>5</v>
      </c>
      <c r="O808" s="10">
        <f t="shared" si="185"/>
        <v>5</v>
      </c>
      <c r="P808" s="8" t="s">
        <v>2051</v>
      </c>
      <c r="Q808" s="14">
        <v>0.75</v>
      </c>
      <c r="R808" s="12">
        <f t="shared" si="191"/>
        <v>0.75</v>
      </c>
      <c r="S808" s="12">
        <f t="shared" si="187"/>
        <v>0.75</v>
      </c>
    </row>
    <row r="809" spans="1:19" x14ac:dyDescent="0.35">
      <c r="A809" s="8" t="s">
        <v>1638</v>
      </c>
      <c r="B809" s="8" t="s">
        <v>1639</v>
      </c>
      <c r="C809" s="8" t="s">
        <v>75</v>
      </c>
      <c r="D809" s="8" t="str">
        <f t="shared" si="179"/>
        <v>Male</v>
      </c>
      <c r="E809" s="8">
        <v>56</v>
      </c>
      <c r="F809" s="8">
        <f t="shared" si="182"/>
        <v>56</v>
      </c>
      <c r="G809" s="8" t="s">
        <v>14</v>
      </c>
      <c r="H809" s="8" t="s">
        <v>15</v>
      </c>
      <c r="I809" s="8" t="s">
        <v>10</v>
      </c>
      <c r="J809" s="8">
        <v>23</v>
      </c>
      <c r="K809" s="8">
        <f t="shared" si="183"/>
        <v>23</v>
      </c>
      <c r="L809" s="8">
        <v>75</v>
      </c>
      <c r="M809" s="9">
        <f t="shared" si="184"/>
        <v>75</v>
      </c>
      <c r="N809" s="8">
        <v>3.9</v>
      </c>
      <c r="O809" s="10">
        <f t="shared" si="185"/>
        <v>3.9</v>
      </c>
      <c r="P809" s="8" t="s">
        <v>2051</v>
      </c>
      <c r="Q809" s="13"/>
      <c r="S809" s="12">
        <f t="shared" si="187"/>
        <v>0.79269417475728277</v>
      </c>
    </row>
    <row r="810" spans="1:19" x14ac:dyDescent="0.35">
      <c r="A810" s="8" t="s">
        <v>1640</v>
      </c>
      <c r="B810" s="8" t="s">
        <v>2021</v>
      </c>
      <c r="C810" s="8" t="s">
        <v>7</v>
      </c>
      <c r="D810" s="8" t="str">
        <f t="shared" ref="D810:D873" si="192">IF(LEFT(C810,1)="f","Female","Male")</f>
        <v>Female</v>
      </c>
      <c r="E810" s="8">
        <v>48</v>
      </c>
      <c r="F810" s="8">
        <f t="shared" si="182"/>
        <v>48</v>
      </c>
      <c r="G810" s="8" t="s">
        <v>8</v>
      </c>
      <c r="H810" s="8" t="s">
        <v>9</v>
      </c>
      <c r="I810" s="8" t="s">
        <v>56</v>
      </c>
      <c r="J810" s="8">
        <v>5</v>
      </c>
      <c r="K810" s="8">
        <f t="shared" si="183"/>
        <v>5</v>
      </c>
      <c r="L810" s="8">
        <v>100</v>
      </c>
      <c r="M810" s="9">
        <f t="shared" si="184"/>
        <v>100</v>
      </c>
      <c r="N810" s="8">
        <v>1.8</v>
      </c>
      <c r="O810" s="10">
        <f t="shared" si="185"/>
        <v>1.8</v>
      </c>
      <c r="P810" s="8" t="s">
        <v>2051</v>
      </c>
      <c r="Q810" s="14">
        <v>0.97</v>
      </c>
      <c r="R810" s="12">
        <f>Q810</f>
        <v>0.97</v>
      </c>
      <c r="S810" s="12">
        <f t="shared" si="187"/>
        <v>0.97</v>
      </c>
    </row>
    <row r="811" spans="1:19" x14ac:dyDescent="0.35">
      <c r="A811" s="8" t="s">
        <v>1641</v>
      </c>
      <c r="B811" s="8" t="s">
        <v>1642</v>
      </c>
      <c r="C811" s="8" t="s">
        <v>1</v>
      </c>
      <c r="D811" s="8" t="str">
        <f t="shared" si="192"/>
        <v>Female</v>
      </c>
      <c r="E811" s="8">
        <v>46</v>
      </c>
      <c r="F811" s="8">
        <f t="shared" si="182"/>
        <v>46</v>
      </c>
      <c r="G811" s="8" t="s">
        <v>99</v>
      </c>
      <c r="H811" s="8" t="s">
        <v>100</v>
      </c>
      <c r="I811" s="8" t="s">
        <v>20</v>
      </c>
      <c r="J811" s="8">
        <v>28</v>
      </c>
      <c r="K811" s="8">
        <f t="shared" si="183"/>
        <v>28</v>
      </c>
      <c r="L811" s="8">
        <v>30</v>
      </c>
      <c r="M811" s="9">
        <f t="shared" si="184"/>
        <v>30</v>
      </c>
      <c r="N811" s="8">
        <v>4.2</v>
      </c>
      <c r="O811" s="10">
        <f t="shared" si="185"/>
        <v>4.2</v>
      </c>
      <c r="P811" s="8" t="s">
        <v>2051</v>
      </c>
      <c r="Q811" s="13"/>
      <c r="S811" s="12">
        <f t="shared" si="187"/>
        <v>0.79269417475728277</v>
      </c>
    </row>
    <row r="812" spans="1:19" x14ac:dyDescent="0.35">
      <c r="A812" s="8" t="s">
        <v>1643</v>
      </c>
      <c r="B812" s="8" t="s">
        <v>1644</v>
      </c>
      <c r="C812" s="8" t="s">
        <v>70</v>
      </c>
      <c r="D812" s="8" t="str">
        <f t="shared" si="192"/>
        <v>Male</v>
      </c>
      <c r="E812" s="8">
        <v>21</v>
      </c>
      <c r="F812" s="8">
        <f t="shared" si="182"/>
        <v>21</v>
      </c>
      <c r="G812" s="8" t="s">
        <v>114</v>
      </c>
      <c r="H812" s="8" t="s">
        <v>115</v>
      </c>
      <c r="I812" s="8" t="s">
        <v>27</v>
      </c>
      <c r="J812" s="8">
        <v>0</v>
      </c>
      <c r="K812" s="8">
        <f t="shared" si="183"/>
        <v>0</v>
      </c>
      <c r="L812" s="8">
        <v>20</v>
      </c>
      <c r="M812" s="9">
        <f t="shared" si="184"/>
        <v>20</v>
      </c>
      <c r="N812" s="8">
        <v>2.6</v>
      </c>
      <c r="O812" s="10">
        <f t="shared" si="185"/>
        <v>2.6</v>
      </c>
      <c r="P812" s="8" t="s">
        <v>2050</v>
      </c>
      <c r="Q812" s="14">
        <v>0.64</v>
      </c>
      <c r="R812" s="12">
        <f t="shared" ref="R812:R819" si="193">Q812</f>
        <v>0.64</v>
      </c>
      <c r="S812" s="12">
        <f t="shared" si="187"/>
        <v>0.64</v>
      </c>
    </row>
    <row r="813" spans="1:19" x14ac:dyDescent="0.35">
      <c r="A813" s="8" t="s">
        <v>1645</v>
      </c>
      <c r="B813" s="8" t="s">
        <v>1646</v>
      </c>
      <c r="C813" s="8" t="s">
        <v>30</v>
      </c>
      <c r="D813" s="8" t="str">
        <f t="shared" si="192"/>
        <v>Male</v>
      </c>
      <c r="E813" s="8">
        <v>52</v>
      </c>
      <c r="F813" s="8">
        <f t="shared" si="182"/>
        <v>52</v>
      </c>
      <c r="G813" s="8" t="s">
        <v>99</v>
      </c>
      <c r="H813" s="8" t="s">
        <v>100</v>
      </c>
      <c r="I813" s="8" t="s">
        <v>33</v>
      </c>
      <c r="J813" s="8">
        <v>30</v>
      </c>
      <c r="K813" s="8">
        <f t="shared" si="183"/>
        <v>30</v>
      </c>
      <c r="L813" s="8">
        <v>30</v>
      </c>
      <c r="M813" s="9">
        <f t="shared" si="184"/>
        <v>30</v>
      </c>
      <c r="N813" s="8">
        <v>2</v>
      </c>
      <c r="O813" s="10">
        <f t="shared" si="185"/>
        <v>2</v>
      </c>
      <c r="P813" s="8" t="s">
        <v>2051</v>
      </c>
      <c r="Q813" s="14">
        <v>0.68</v>
      </c>
      <c r="R813" s="12">
        <f t="shared" si="193"/>
        <v>0.68</v>
      </c>
      <c r="S813" s="12">
        <f t="shared" si="187"/>
        <v>0.68</v>
      </c>
    </row>
    <row r="814" spans="1:19" x14ac:dyDescent="0.35">
      <c r="A814" s="8" t="s">
        <v>1647</v>
      </c>
      <c r="B814" s="8" t="s">
        <v>1648</v>
      </c>
      <c r="C814" s="8" t="s">
        <v>1</v>
      </c>
      <c r="D814" s="8" t="str">
        <f t="shared" si="192"/>
        <v>Female</v>
      </c>
      <c r="E814" s="8">
        <v>39</v>
      </c>
      <c r="F814" s="8">
        <f t="shared" si="182"/>
        <v>39</v>
      </c>
      <c r="G814" s="8" t="s">
        <v>99</v>
      </c>
      <c r="H814" s="8" t="s">
        <v>100</v>
      </c>
      <c r="I814" s="8" t="s">
        <v>16</v>
      </c>
      <c r="J814" s="8">
        <v>20</v>
      </c>
      <c r="K814" s="8">
        <f t="shared" si="183"/>
        <v>20</v>
      </c>
      <c r="L814" s="8">
        <v>75</v>
      </c>
      <c r="M814" s="9">
        <f t="shared" si="184"/>
        <v>75</v>
      </c>
      <c r="N814" s="8">
        <v>2.7</v>
      </c>
      <c r="O814" s="10">
        <f t="shared" si="185"/>
        <v>2.7</v>
      </c>
      <c r="P814" s="8" t="s">
        <v>2051</v>
      </c>
      <c r="Q814" s="14">
        <v>0.67</v>
      </c>
      <c r="R814" s="12">
        <f t="shared" si="193"/>
        <v>0.67</v>
      </c>
      <c r="S814" s="12">
        <f t="shared" si="187"/>
        <v>0.67</v>
      </c>
    </row>
    <row r="815" spans="1:19" x14ac:dyDescent="0.35">
      <c r="A815" s="8" t="s">
        <v>1649</v>
      </c>
      <c r="B815" s="8" t="s">
        <v>1650</v>
      </c>
      <c r="C815" s="8" t="s">
        <v>1</v>
      </c>
      <c r="D815" s="8" t="str">
        <f t="shared" si="192"/>
        <v>Female</v>
      </c>
      <c r="E815" s="8">
        <v>31</v>
      </c>
      <c r="F815" s="8">
        <f t="shared" si="182"/>
        <v>31</v>
      </c>
      <c r="G815" s="8" t="s">
        <v>8</v>
      </c>
      <c r="H815" s="8" t="s">
        <v>9</v>
      </c>
      <c r="I815" s="8" t="s">
        <v>10</v>
      </c>
      <c r="J815" s="8">
        <v>0</v>
      </c>
      <c r="K815" s="8">
        <f t="shared" si="183"/>
        <v>0</v>
      </c>
      <c r="L815" s="8">
        <v>30</v>
      </c>
      <c r="M815" s="9">
        <f t="shared" si="184"/>
        <v>30</v>
      </c>
      <c r="N815" s="8">
        <v>2.2999999999999998</v>
      </c>
      <c r="O815" s="10">
        <f t="shared" si="185"/>
        <v>2.2999999999999998</v>
      </c>
      <c r="P815" s="8" t="s">
        <v>2050</v>
      </c>
      <c r="Q815" s="14">
        <v>0.79</v>
      </c>
      <c r="R815" s="12">
        <f t="shared" si="193"/>
        <v>0.79</v>
      </c>
      <c r="S815" s="12">
        <f t="shared" si="187"/>
        <v>0.79</v>
      </c>
    </row>
    <row r="816" spans="1:19" x14ac:dyDescent="0.35">
      <c r="A816" s="8" t="s">
        <v>1651</v>
      </c>
      <c r="B816" s="8" t="s">
        <v>1652</v>
      </c>
      <c r="C816" s="8" t="s">
        <v>30</v>
      </c>
      <c r="D816" s="8" t="str">
        <f t="shared" si="192"/>
        <v>Male</v>
      </c>
      <c r="E816" s="8">
        <v>22</v>
      </c>
      <c r="F816" s="8">
        <f t="shared" si="182"/>
        <v>22</v>
      </c>
      <c r="G816" s="8" t="s">
        <v>88</v>
      </c>
      <c r="H816" s="8" t="s">
        <v>89</v>
      </c>
      <c r="I816" s="8" t="s">
        <v>52</v>
      </c>
      <c r="J816" s="8">
        <v>4</v>
      </c>
      <c r="K816" s="8">
        <f t="shared" si="183"/>
        <v>4</v>
      </c>
      <c r="L816" s="8">
        <v>40</v>
      </c>
      <c r="M816" s="9">
        <f t="shared" si="184"/>
        <v>40</v>
      </c>
      <c r="N816" s="8">
        <v>3.8</v>
      </c>
      <c r="O816" s="10">
        <f t="shared" si="185"/>
        <v>3.8</v>
      </c>
      <c r="P816" s="8" t="s">
        <v>2051</v>
      </c>
      <c r="Q816" s="14">
        <v>1</v>
      </c>
      <c r="R816" s="12">
        <f t="shared" si="193"/>
        <v>1</v>
      </c>
      <c r="S816" s="12">
        <f t="shared" si="187"/>
        <v>1</v>
      </c>
    </row>
    <row r="817" spans="1:19" x14ac:dyDescent="0.35">
      <c r="A817" s="8" t="s">
        <v>1653</v>
      </c>
      <c r="B817" s="8" t="s">
        <v>1654</v>
      </c>
      <c r="C817" s="8" t="s">
        <v>1</v>
      </c>
      <c r="D817" s="8" t="str">
        <f t="shared" si="192"/>
        <v>Female</v>
      </c>
      <c r="E817" s="8">
        <v>38</v>
      </c>
      <c r="F817" s="8">
        <f t="shared" si="182"/>
        <v>38</v>
      </c>
      <c r="G817" s="8" t="s">
        <v>46</v>
      </c>
      <c r="H817" s="8" t="s">
        <v>9</v>
      </c>
      <c r="I817" s="8" t="s">
        <v>52</v>
      </c>
      <c r="J817" s="8">
        <v>10</v>
      </c>
      <c r="K817" s="8">
        <f t="shared" si="183"/>
        <v>10</v>
      </c>
      <c r="L817" s="8">
        <v>40</v>
      </c>
      <c r="M817" s="9">
        <f t="shared" si="184"/>
        <v>40</v>
      </c>
      <c r="O817" s="10">
        <f t="shared" si="185"/>
        <v>2.5125695216907653</v>
      </c>
      <c r="P817" s="8" t="s">
        <v>2050</v>
      </c>
      <c r="Q817" s="14">
        <v>0.66</v>
      </c>
      <c r="R817" s="12">
        <f t="shared" si="193"/>
        <v>0.66</v>
      </c>
      <c r="S817" s="12">
        <f t="shared" si="187"/>
        <v>0.66</v>
      </c>
    </row>
    <row r="818" spans="1:19" x14ac:dyDescent="0.35">
      <c r="A818" s="8" t="s">
        <v>1655</v>
      </c>
      <c r="B818" s="8" t="s">
        <v>1656</v>
      </c>
      <c r="C818" s="8" t="s">
        <v>75</v>
      </c>
      <c r="D818" s="8" t="str">
        <f t="shared" si="192"/>
        <v>Male</v>
      </c>
      <c r="E818" s="8">
        <v>44</v>
      </c>
      <c r="F818" s="8">
        <f t="shared" si="182"/>
        <v>44</v>
      </c>
      <c r="G818" s="8" t="s">
        <v>50</v>
      </c>
      <c r="H818" s="8" t="s">
        <v>51</v>
      </c>
      <c r="I818" s="8" t="s">
        <v>16</v>
      </c>
      <c r="J818" s="8">
        <v>24</v>
      </c>
      <c r="K818" s="8">
        <f t="shared" si="183"/>
        <v>24</v>
      </c>
      <c r="L818" s="8">
        <v>75</v>
      </c>
      <c r="M818" s="9">
        <f t="shared" si="184"/>
        <v>75</v>
      </c>
      <c r="N818" s="8">
        <v>4.5999999999999996</v>
      </c>
      <c r="O818" s="10">
        <f t="shared" si="185"/>
        <v>4.5999999999999996</v>
      </c>
      <c r="P818" s="8" t="s">
        <v>2050</v>
      </c>
      <c r="Q818" s="14">
        <v>0.97</v>
      </c>
      <c r="R818" s="12">
        <f t="shared" si="193"/>
        <v>0.97</v>
      </c>
      <c r="S818" s="12">
        <f t="shared" si="187"/>
        <v>0.97</v>
      </c>
    </row>
    <row r="819" spans="1:19" x14ac:dyDescent="0.35">
      <c r="A819" s="8" t="s">
        <v>1657</v>
      </c>
      <c r="B819" s="8" t="s">
        <v>1658</v>
      </c>
      <c r="C819" s="8" t="s">
        <v>70</v>
      </c>
      <c r="D819" s="8" t="str">
        <f t="shared" si="192"/>
        <v>Male</v>
      </c>
      <c r="E819" s="8">
        <v>53</v>
      </c>
      <c r="F819" s="8">
        <f t="shared" si="182"/>
        <v>53</v>
      </c>
      <c r="G819" s="8" t="s">
        <v>31</v>
      </c>
      <c r="H819" s="8" t="s">
        <v>32</v>
      </c>
      <c r="I819" s="8" t="s">
        <v>90</v>
      </c>
      <c r="J819" s="8">
        <v>21</v>
      </c>
      <c r="K819" s="8">
        <f t="shared" si="183"/>
        <v>21</v>
      </c>
      <c r="L819" s="8">
        <v>100</v>
      </c>
      <c r="M819" s="9">
        <f t="shared" si="184"/>
        <v>100</v>
      </c>
      <c r="N819" s="8">
        <v>3.4</v>
      </c>
      <c r="O819" s="10">
        <f t="shared" si="185"/>
        <v>3.4</v>
      </c>
      <c r="P819" s="8" t="s">
        <v>2050</v>
      </c>
      <c r="Q819" s="14">
        <v>0.62</v>
      </c>
      <c r="R819" s="12">
        <f t="shared" si="193"/>
        <v>0.62</v>
      </c>
      <c r="S819" s="12">
        <f t="shared" si="187"/>
        <v>0.62</v>
      </c>
    </row>
    <row r="820" spans="1:19" x14ac:dyDescent="0.35">
      <c r="A820" s="8" t="s">
        <v>1659</v>
      </c>
      <c r="B820" s="8" t="s">
        <v>1660</v>
      </c>
      <c r="C820" s="8" t="s">
        <v>75</v>
      </c>
      <c r="D820" s="8" t="str">
        <f t="shared" si="192"/>
        <v>Male</v>
      </c>
      <c r="E820" s="8">
        <v>22</v>
      </c>
      <c r="F820" s="8">
        <f t="shared" si="182"/>
        <v>22</v>
      </c>
      <c r="G820" s="8" t="s">
        <v>147</v>
      </c>
      <c r="H820" s="8" t="s">
        <v>148</v>
      </c>
      <c r="I820" s="8" t="s">
        <v>33</v>
      </c>
      <c r="J820" s="8">
        <v>2</v>
      </c>
      <c r="K820" s="8">
        <f t="shared" si="183"/>
        <v>2</v>
      </c>
      <c r="L820" s="8">
        <v>20</v>
      </c>
      <c r="M820" s="9">
        <f t="shared" si="184"/>
        <v>20</v>
      </c>
      <c r="O820" s="10">
        <f t="shared" si="185"/>
        <v>2.5125695216907653</v>
      </c>
      <c r="P820" s="8" t="s">
        <v>2050</v>
      </c>
      <c r="Q820" s="13"/>
      <c r="S820" s="12">
        <f t="shared" si="187"/>
        <v>0.79269417475728277</v>
      </c>
    </row>
    <row r="821" spans="1:19" x14ac:dyDescent="0.35">
      <c r="A821" s="8" t="s">
        <v>1661</v>
      </c>
      <c r="B821" s="8" t="s">
        <v>1662</v>
      </c>
      <c r="C821" s="8" t="s">
        <v>55</v>
      </c>
      <c r="D821" s="8" t="str">
        <f t="shared" si="192"/>
        <v>Female</v>
      </c>
      <c r="E821" s="8">
        <v>40</v>
      </c>
      <c r="F821" s="8">
        <f t="shared" si="182"/>
        <v>40</v>
      </c>
      <c r="G821" s="8" t="s">
        <v>71</v>
      </c>
      <c r="H821" s="8" t="s">
        <v>72</v>
      </c>
      <c r="I821" s="8" t="s">
        <v>4</v>
      </c>
      <c r="J821" s="8">
        <v>14</v>
      </c>
      <c r="K821" s="8">
        <f t="shared" si="183"/>
        <v>14</v>
      </c>
      <c r="L821" s="8">
        <v>75</v>
      </c>
      <c r="M821" s="9">
        <f t="shared" si="184"/>
        <v>75</v>
      </c>
      <c r="N821" s="8">
        <v>0</v>
      </c>
      <c r="O821" s="11">
        <f t="shared" si="185"/>
        <v>0</v>
      </c>
      <c r="P821" s="8" t="s">
        <v>2051</v>
      </c>
      <c r="Q821" s="14">
        <v>0.79</v>
      </c>
      <c r="R821" s="12">
        <f t="shared" ref="R821:R824" si="194">Q821</f>
        <v>0.79</v>
      </c>
      <c r="S821" s="12">
        <f t="shared" si="187"/>
        <v>0.79</v>
      </c>
    </row>
    <row r="822" spans="1:19" x14ac:dyDescent="0.35">
      <c r="A822" s="8" t="s">
        <v>1663</v>
      </c>
      <c r="B822" s="8" t="s">
        <v>1664</v>
      </c>
      <c r="C822" s="8" t="s">
        <v>22</v>
      </c>
      <c r="D822" s="8" t="str">
        <f t="shared" si="192"/>
        <v>Female</v>
      </c>
      <c r="E822" s="8">
        <v>49</v>
      </c>
      <c r="F822" s="8">
        <f t="shared" si="182"/>
        <v>49</v>
      </c>
      <c r="G822" s="8" t="s">
        <v>147</v>
      </c>
      <c r="H822" s="8" t="s">
        <v>148</v>
      </c>
      <c r="I822" s="8" t="s">
        <v>10</v>
      </c>
      <c r="J822" s="8">
        <v>15</v>
      </c>
      <c r="K822" s="8">
        <f t="shared" si="183"/>
        <v>15</v>
      </c>
      <c r="L822" s="8">
        <v>40</v>
      </c>
      <c r="M822" s="9">
        <f t="shared" si="184"/>
        <v>40</v>
      </c>
      <c r="N822" s="8">
        <v>3.9</v>
      </c>
      <c r="O822" s="10">
        <f t="shared" si="185"/>
        <v>3.9</v>
      </c>
      <c r="P822" s="8" t="s">
        <v>2050</v>
      </c>
      <c r="Q822" s="14">
        <v>0.86</v>
      </c>
      <c r="R822" s="12">
        <f t="shared" si="194"/>
        <v>0.86</v>
      </c>
      <c r="S822" s="12">
        <f t="shared" si="187"/>
        <v>0.86</v>
      </c>
    </row>
    <row r="823" spans="1:19" x14ac:dyDescent="0.35">
      <c r="A823" s="8" t="s">
        <v>1665</v>
      </c>
      <c r="B823" s="8" t="s">
        <v>1666</v>
      </c>
      <c r="C823" s="8" t="s">
        <v>41</v>
      </c>
      <c r="D823" s="8" t="str">
        <f t="shared" si="192"/>
        <v>Male</v>
      </c>
      <c r="E823" s="8">
        <v>30</v>
      </c>
      <c r="F823" s="8">
        <f t="shared" si="182"/>
        <v>30</v>
      </c>
      <c r="G823" s="8" t="s">
        <v>8</v>
      </c>
      <c r="H823" s="8" t="s">
        <v>9</v>
      </c>
      <c r="I823" s="8" t="s">
        <v>52</v>
      </c>
      <c r="J823" s="8">
        <v>11</v>
      </c>
      <c r="K823" s="8">
        <f t="shared" si="183"/>
        <v>11</v>
      </c>
      <c r="L823" s="8">
        <v>30</v>
      </c>
      <c r="M823" s="9">
        <f t="shared" si="184"/>
        <v>30</v>
      </c>
      <c r="N823" s="8">
        <v>4.2</v>
      </c>
      <c r="O823" s="10">
        <f t="shared" si="185"/>
        <v>4.2</v>
      </c>
      <c r="P823" s="8" t="s">
        <v>2050</v>
      </c>
      <c r="Q823" s="14">
        <v>0.65</v>
      </c>
      <c r="R823" s="12">
        <f t="shared" si="194"/>
        <v>0.65</v>
      </c>
      <c r="S823" s="12">
        <f t="shared" si="187"/>
        <v>0.65</v>
      </c>
    </row>
    <row r="824" spans="1:19" x14ac:dyDescent="0.35">
      <c r="A824" s="8" t="s">
        <v>1667</v>
      </c>
      <c r="B824" s="8" t="s">
        <v>1668</v>
      </c>
      <c r="C824" s="8" t="s">
        <v>22</v>
      </c>
      <c r="D824" s="8" t="str">
        <f t="shared" si="192"/>
        <v>Female</v>
      </c>
      <c r="E824" s="8">
        <v>37</v>
      </c>
      <c r="F824" s="8">
        <f t="shared" si="182"/>
        <v>37</v>
      </c>
      <c r="G824" s="8" t="s">
        <v>63</v>
      </c>
      <c r="H824" s="8" t="s">
        <v>64</v>
      </c>
      <c r="I824" s="8" t="s">
        <v>27</v>
      </c>
      <c r="J824" s="8">
        <v>6</v>
      </c>
      <c r="K824" s="8">
        <f t="shared" si="183"/>
        <v>6</v>
      </c>
      <c r="L824" s="8">
        <v>20</v>
      </c>
      <c r="M824" s="9">
        <f t="shared" si="184"/>
        <v>20</v>
      </c>
      <c r="O824" s="10">
        <f t="shared" si="185"/>
        <v>2.5125695216907653</v>
      </c>
      <c r="P824" s="13" t="s">
        <v>2050</v>
      </c>
      <c r="Q824" s="14">
        <v>0.99</v>
      </c>
      <c r="R824" s="12">
        <f t="shared" si="194"/>
        <v>0.99</v>
      </c>
      <c r="S824" s="12">
        <f t="shared" si="187"/>
        <v>0.99</v>
      </c>
    </row>
    <row r="825" spans="1:19" x14ac:dyDescent="0.35">
      <c r="A825" s="8" t="s">
        <v>1669</v>
      </c>
      <c r="B825" s="8" t="s">
        <v>1670</v>
      </c>
      <c r="C825" s="8" t="s">
        <v>13</v>
      </c>
      <c r="D825" s="8" t="str">
        <f t="shared" si="192"/>
        <v>Male</v>
      </c>
      <c r="E825" s="8">
        <v>21</v>
      </c>
      <c r="F825" s="8">
        <f t="shared" si="182"/>
        <v>21</v>
      </c>
      <c r="G825" s="8" t="s">
        <v>114</v>
      </c>
      <c r="H825" s="8" t="s">
        <v>115</v>
      </c>
      <c r="I825" s="8" t="s">
        <v>16</v>
      </c>
      <c r="J825" s="8">
        <v>2</v>
      </c>
      <c r="K825" s="8">
        <f t="shared" si="183"/>
        <v>2</v>
      </c>
      <c r="L825" s="8">
        <v>100</v>
      </c>
      <c r="M825" s="9">
        <f t="shared" si="184"/>
        <v>100</v>
      </c>
      <c r="N825" s="8">
        <v>3.6</v>
      </c>
      <c r="O825" s="10">
        <f t="shared" si="185"/>
        <v>3.6</v>
      </c>
      <c r="P825" s="8" t="s">
        <v>2050</v>
      </c>
      <c r="Q825" s="8">
        <v>85</v>
      </c>
      <c r="R825" s="12">
        <v>0.85</v>
      </c>
      <c r="S825" s="12">
        <f t="shared" si="187"/>
        <v>0.85</v>
      </c>
    </row>
    <row r="826" spans="1:19" x14ac:dyDescent="0.35">
      <c r="A826" s="8" t="s">
        <v>1671</v>
      </c>
      <c r="B826" s="8" t="s">
        <v>1672</v>
      </c>
      <c r="C826" s="8" t="s">
        <v>75</v>
      </c>
      <c r="D826" s="8" t="str">
        <f t="shared" si="192"/>
        <v>Male</v>
      </c>
      <c r="E826" s="8">
        <v>20</v>
      </c>
      <c r="F826" s="8">
        <f t="shared" si="182"/>
        <v>20</v>
      </c>
      <c r="G826" s="8" t="s">
        <v>88</v>
      </c>
      <c r="H826" s="8" t="s">
        <v>89</v>
      </c>
      <c r="I826" s="8" t="s">
        <v>27</v>
      </c>
      <c r="J826" s="8">
        <v>1</v>
      </c>
      <c r="K826" s="8">
        <f t="shared" si="183"/>
        <v>1</v>
      </c>
      <c r="L826" s="8">
        <v>50</v>
      </c>
      <c r="M826" s="9">
        <f t="shared" si="184"/>
        <v>50</v>
      </c>
      <c r="O826" s="10">
        <f t="shared" si="185"/>
        <v>2.5125695216907653</v>
      </c>
      <c r="P826" s="8" t="s">
        <v>2051</v>
      </c>
      <c r="Q826" s="14">
        <v>0.81</v>
      </c>
      <c r="R826" s="12">
        <f t="shared" ref="R826:R829" si="195">Q826</f>
        <v>0.81</v>
      </c>
      <c r="S826" s="12">
        <f t="shared" si="187"/>
        <v>0.81</v>
      </c>
    </row>
    <row r="827" spans="1:19" x14ac:dyDescent="0.35">
      <c r="A827" s="8" t="s">
        <v>1673</v>
      </c>
      <c r="B827" s="8" t="s">
        <v>1674</v>
      </c>
      <c r="C827" s="8" t="s">
        <v>13</v>
      </c>
      <c r="D827" s="8" t="str">
        <f t="shared" si="192"/>
        <v>Male</v>
      </c>
      <c r="E827" s="8">
        <v>20</v>
      </c>
      <c r="F827" s="8">
        <f t="shared" si="182"/>
        <v>20</v>
      </c>
      <c r="G827" s="8" t="s">
        <v>147</v>
      </c>
      <c r="H827" s="8" t="s">
        <v>148</v>
      </c>
      <c r="I827" s="8" t="s">
        <v>33</v>
      </c>
      <c r="J827" s="8">
        <v>2</v>
      </c>
      <c r="K827" s="8">
        <f t="shared" si="183"/>
        <v>2</v>
      </c>
      <c r="L827" s="8">
        <v>40</v>
      </c>
      <c r="M827" s="9">
        <f t="shared" si="184"/>
        <v>40</v>
      </c>
      <c r="N827" s="8">
        <v>2.1</v>
      </c>
      <c r="O827" s="10">
        <f t="shared" si="185"/>
        <v>2.1</v>
      </c>
      <c r="P827" s="8" t="s">
        <v>2050</v>
      </c>
      <c r="Q827" s="14">
        <v>0.64</v>
      </c>
      <c r="R827" s="12">
        <f t="shared" si="195"/>
        <v>0.64</v>
      </c>
      <c r="S827" s="12">
        <f t="shared" si="187"/>
        <v>0.64</v>
      </c>
    </row>
    <row r="828" spans="1:19" x14ac:dyDescent="0.35">
      <c r="A828" s="8" t="s">
        <v>1675</v>
      </c>
      <c r="B828" s="8" t="s">
        <v>1676</v>
      </c>
      <c r="C828" s="8" t="s">
        <v>41</v>
      </c>
      <c r="D828" s="8" t="str">
        <f t="shared" si="192"/>
        <v>Male</v>
      </c>
      <c r="E828" s="8">
        <v>20</v>
      </c>
      <c r="F828" s="8">
        <f t="shared" si="182"/>
        <v>20</v>
      </c>
      <c r="G828" s="8" t="s">
        <v>50</v>
      </c>
      <c r="H828" s="8" t="s">
        <v>51</v>
      </c>
      <c r="I828" s="8" t="s">
        <v>90</v>
      </c>
      <c r="J828" s="8">
        <v>2</v>
      </c>
      <c r="K828" s="8">
        <f t="shared" si="183"/>
        <v>2</v>
      </c>
      <c r="L828" s="8">
        <v>20</v>
      </c>
      <c r="M828" s="9">
        <f t="shared" si="184"/>
        <v>20</v>
      </c>
      <c r="N828" s="8">
        <v>3.9</v>
      </c>
      <c r="O828" s="10">
        <f t="shared" si="185"/>
        <v>3.9</v>
      </c>
      <c r="P828" s="8" t="s">
        <v>2050</v>
      </c>
      <c r="Q828" s="14">
        <v>0.84</v>
      </c>
      <c r="R828" s="12">
        <f t="shared" si="195"/>
        <v>0.84</v>
      </c>
      <c r="S828" s="12">
        <f t="shared" si="187"/>
        <v>0.84</v>
      </c>
    </row>
    <row r="829" spans="1:19" x14ac:dyDescent="0.35">
      <c r="A829" s="8" t="s">
        <v>1677</v>
      </c>
      <c r="B829" s="8" t="s">
        <v>1678</v>
      </c>
      <c r="C829" s="8" t="s">
        <v>1</v>
      </c>
      <c r="D829" s="8" t="str">
        <f t="shared" si="192"/>
        <v>Female</v>
      </c>
      <c r="E829" s="8">
        <v>26</v>
      </c>
      <c r="F829" s="8">
        <f t="shared" si="182"/>
        <v>26</v>
      </c>
      <c r="G829" s="8" t="s">
        <v>99</v>
      </c>
      <c r="H829" s="8" t="s">
        <v>100</v>
      </c>
      <c r="I829" s="8" t="s">
        <v>90</v>
      </c>
      <c r="J829" s="8">
        <v>2</v>
      </c>
      <c r="K829" s="8">
        <f t="shared" si="183"/>
        <v>2</v>
      </c>
      <c r="L829" s="8">
        <v>40</v>
      </c>
      <c r="M829" s="9">
        <f t="shared" si="184"/>
        <v>40</v>
      </c>
      <c r="N829" s="8">
        <v>0</v>
      </c>
      <c r="O829" s="11">
        <f t="shared" si="185"/>
        <v>0</v>
      </c>
      <c r="P829" s="13" t="s">
        <v>2050</v>
      </c>
      <c r="Q829" s="14">
        <v>0.66</v>
      </c>
      <c r="R829" s="12">
        <f t="shared" si="195"/>
        <v>0.66</v>
      </c>
      <c r="S829" s="12">
        <f t="shared" si="187"/>
        <v>0.66</v>
      </c>
    </row>
    <row r="830" spans="1:19" x14ac:dyDescent="0.35">
      <c r="A830" s="8" t="s">
        <v>1679</v>
      </c>
      <c r="B830" s="8" t="s">
        <v>1680</v>
      </c>
      <c r="C830" s="8" t="s">
        <v>22</v>
      </c>
      <c r="D830" s="8" t="str">
        <f t="shared" si="192"/>
        <v>Female</v>
      </c>
      <c r="E830" s="8">
        <v>50</v>
      </c>
      <c r="F830" s="8">
        <f t="shared" si="182"/>
        <v>50</v>
      </c>
      <c r="G830" s="8" t="s">
        <v>88</v>
      </c>
      <c r="H830" s="8" t="s">
        <v>89</v>
      </c>
      <c r="I830" s="8" t="s">
        <v>20</v>
      </c>
      <c r="J830" s="8">
        <v>12</v>
      </c>
      <c r="K830" s="8">
        <f t="shared" si="183"/>
        <v>12</v>
      </c>
      <c r="L830" s="8">
        <v>75</v>
      </c>
      <c r="M830" s="9">
        <f t="shared" si="184"/>
        <v>75</v>
      </c>
      <c r="N830" s="8">
        <v>0</v>
      </c>
      <c r="O830" s="11">
        <f t="shared" si="185"/>
        <v>0</v>
      </c>
      <c r="P830" s="8" t="s">
        <v>2050</v>
      </c>
      <c r="Q830" s="8">
        <v>75</v>
      </c>
      <c r="R830" s="12">
        <v>0.75</v>
      </c>
      <c r="S830" s="12">
        <f t="shared" si="187"/>
        <v>0.75</v>
      </c>
    </row>
    <row r="831" spans="1:19" x14ac:dyDescent="0.35">
      <c r="A831" s="8" t="s">
        <v>1681</v>
      </c>
      <c r="B831" s="8" t="s">
        <v>1682</v>
      </c>
      <c r="C831" s="8" t="s">
        <v>75</v>
      </c>
      <c r="D831" s="8" t="str">
        <f t="shared" si="192"/>
        <v>Male</v>
      </c>
      <c r="E831" s="8">
        <v>50</v>
      </c>
      <c r="F831" s="8">
        <f t="shared" si="182"/>
        <v>50</v>
      </c>
      <c r="G831" s="8" t="s">
        <v>162</v>
      </c>
      <c r="H831" s="8" t="s">
        <v>51</v>
      </c>
      <c r="I831" s="8" t="s">
        <v>27</v>
      </c>
      <c r="J831" s="8">
        <v>28</v>
      </c>
      <c r="K831" s="8">
        <f t="shared" si="183"/>
        <v>28</v>
      </c>
      <c r="L831" s="8">
        <v>30</v>
      </c>
      <c r="M831" s="9">
        <f t="shared" si="184"/>
        <v>30</v>
      </c>
      <c r="N831" s="8">
        <v>1.8</v>
      </c>
      <c r="O831" s="10">
        <f t="shared" si="185"/>
        <v>1.8</v>
      </c>
      <c r="P831" s="13" t="s">
        <v>2050</v>
      </c>
      <c r="Q831" s="13"/>
      <c r="S831" s="12">
        <f t="shared" si="187"/>
        <v>0.79269417475728277</v>
      </c>
    </row>
    <row r="832" spans="1:19" x14ac:dyDescent="0.35">
      <c r="A832" s="8" t="s">
        <v>1683</v>
      </c>
      <c r="B832" s="8" t="s">
        <v>1684</v>
      </c>
      <c r="C832" s="8" t="s">
        <v>55</v>
      </c>
      <c r="D832" s="8" t="str">
        <f t="shared" si="192"/>
        <v>Female</v>
      </c>
      <c r="E832" s="8">
        <v>54</v>
      </c>
      <c r="F832" s="8">
        <f t="shared" si="182"/>
        <v>54</v>
      </c>
      <c r="G832" s="8" t="s">
        <v>31</v>
      </c>
      <c r="H832" s="8" t="s">
        <v>32</v>
      </c>
      <c r="I832" s="8" t="s">
        <v>27</v>
      </c>
      <c r="J832" s="8">
        <v>4</v>
      </c>
      <c r="K832" s="8">
        <f t="shared" si="183"/>
        <v>4</v>
      </c>
      <c r="L832" s="8">
        <v>20</v>
      </c>
      <c r="M832" s="9">
        <f t="shared" si="184"/>
        <v>20</v>
      </c>
      <c r="N832" s="8">
        <v>1.1000000000000001</v>
      </c>
      <c r="O832" s="10">
        <f t="shared" si="185"/>
        <v>1.1000000000000001</v>
      </c>
      <c r="P832" s="8" t="s">
        <v>2051</v>
      </c>
      <c r="Q832" s="14">
        <v>0.63</v>
      </c>
      <c r="R832" s="12">
        <f t="shared" ref="R832:R834" si="196">Q832</f>
        <v>0.63</v>
      </c>
      <c r="S832" s="12">
        <f t="shared" si="187"/>
        <v>0.63</v>
      </c>
    </row>
    <row r="833" spans="1:19" x14ac:dyDescent="0.35">
      <c r="A833" s="8" t="s">
        <v>1685</v>
      </c>
      <c r="B833" s="8" t="s">
        <v>1686</v>
      </c>
      <c r="C833" s="8" t="s">
        <v>13</v>
      </c>
      <c r="D833" s="8" t="str">
        <f t="shared" si="192"/>
        <v>Male</v>
      </c>
      <c r="E833" s="8">
        <v>54</v>
      </c>
      <c r="F833" s="8">
        <f t="shared" si="182"/>
        <v>54</v>
      </c>
      <c r="G833" s="8" t="s">
        <v>162</v>
      </c>
      <c r="H833" s="8" t="s">
        <v>51</v>
      </c>
      <c r="I833" s="8" t="s">
        <v>4</v>
      </c>
      <c r="J833" s="8">
        <v>3</v>
      </c>
      <c r="K833" s="8">
        <f t="shared" si="183"/>
        <v>3</v>
      </c>
      <c r="L833" s="8">
        <v>20</v>
      </c>
      <c r="M833" s="9">
        <f t="shared" si="184"/>
        <v>20</v>
      </c>
      <c r="N833" s="8">
        <v>1.6</v>
      </c>
      <c r="O833" s="10">
        <f t="shared" si="185"/>
        <v>1.6</v>
      </c>
      <c r="P833" s="8" t="s">
        <v>2051</v>
      </c>
      <c r="Q833" s="14">
        <v>0.7</v>
      </c>
      <c r="R833" s="12">
        <f t="shared" si="196"/>
        <v>0.7</v>
      </c>
      <c r="S833" s="12">
        <f t="shared" si="187"/>
        <v>0.7</v>
      </c>
    </row>
    <row r="834" spans="1:19" x14ac:dyDescent="0.35">
      <c r="A834" s="8" t="s">
        <v>1687</v>
      </c>
      <c r="B834" s="8" t="s">
        <v>1688</v>
      </c>
      <c r="C834" s="8" t="s">
        <v>55</v>
      </c>
      <c r="D834" s="8" t="str">
        <f t="shared" si="192"/>
        <v>Female</v>
      </c>
      <c r="E834" s="8">
        <v>34</v>
      </c>
      <c r="F834" s="8">
        <f t="shared" si="182"/>
        <v>34</v>
      </c>
      <c r="G834" s="8" t="s">
        <v>114</v>
      </c>
      <c r="H834" s="8" t="s">
        <v>115</v>
      </c>
      <c r="I834" s="8" t="s">
        <v>90</v>
      </c>
      <c r="J834" s="8">
        <v>4</v>
      </c>
      <c r="K834" s="8">
        <f t="shared" si="183"/>
        <v>4</v>
      </c>
      <c r="L834" s="8">
        <v>30</v>
      </c>
      <c r="M834" s="9">
        <f t="shared" si="184"/>
        <v>30</v>
      </c>
      <c r="N834" s="8">
        <v>3.1</v>
      </c>
      <c r="O834" s="10">
        <f t="shared" si="185"/>
        <v>3.1</v>
      </c>
      <c r="P834" s="13" t="s">
        <v>2050</v>
      </c>
      <c r="Q834" s="14">
        <v>0.9</v>
      </c>
      <c r="R834" s="12">
        <f t="shared" si="196"/>
        <v>0.9</v>
      </c>
      <c r="S834" s="12">
        <f t="shared" si="187"/>
        <v>0.9</v>
      </c>
    </row>
    <row r="835" spans="1:19" x14ac:dyDescent="0.35">
      <c r="A835" s="8" t="s">
        <v>1689</v>
      </c>
      <c r="B835" s="8" t="s">
        <v>1690</v>
      </c>
      <c r="C835" s="8" t="s">
        <v>55</v>
      </c>
      <c r="D835" s="8" t="str">
        <f t="shared" si="192"/>
        <v>Female</v>
      </c>
      <c r="E835" s="8">
        <v>20</v>
      </c>
      <c r="F835" s="8">
        <f t="shared" ref="F835:F898" si="197">IF(ISBLANK(E835),MEDIAN($E$2:$E$1001),E835)</f>
        <v>20</v>
      </c>
      <c r="G835" s="8" t="s">
        <v>2</v>
      </c>
      <c r="H835" s="8" t="s">
        <v>3</v>
      </c>
      <c r="I835" s="8" t="s">
        <v>67</v>
      </c>
      <c r="J835" s="8">
        <v>1</v>
      </c>
      <c r="K835" s="8">
        <f t="shared" ref="K835:K898" si="198">IF(ISBLANK(J835),MEDIAN($J$2:$J$1001),J835)</f>
        <v>1</v>
      </c>
      <c r="L835" s="8">
        <v>50</v>
      </c>
      <c r="M835" s="9">
        <f t="shared" ref="M835:M898" si="199">IF(ISBLANK(L835),MEDIAN($L$2:$L$1001),L835)</f>
        <v>50</v>
      </c>
      <c r="N835" s="8">
        <v>3.4</v>
      </c>
      <c r="O835" s="10">
        <f t="shared" ref="O835:O898" si="200">IF(ISBLANK(N835),AVERAGE($N$2:$N$1001),N835)</f>
        <v>3.4</v>
      </c>
      <c r="P835" s="8" t="s">
        <v>2051</v>
      </c>
      <c r="Q835" s="8">
        <v>79</v>
      </c>
      <c r="R835" s="12">
        <v>0.79</v>
      </c>
      <c r="S835" s="12">
        <f t="shared" si="187"/>
        <v>0.79</v>
      </c>
    </row>
    <row r="836" spans="1:19" x14ac:dyDescent="0.35">
      <c r="A836" s="8" t="s">
        <v>1691</v>
      </c>
      <c r="B836" s="8" t="s">
        <v>1692</v>
      </c>
      <c r="C836" s="8" t="s">
        <v>13</v>
      </c>
      <c r="D836" s="8" t="str">
        <f t="shared" si="192"/>
        <v>Male</v>
      </c>
      <c r="E836" s="8">
        <v>29</v>
      </c>
      <c r="F836" s="8">
        <f t="shared" si="197"/>
        <v>29</v>
      </c>
      <c r="G836" s="8" t="s">
        <v>14</v>
      </c>
      <c r="H836" s="8" t="s">
        <v>15</v>
      </c>
      <c r="I836" s="8" t="s">
        <v>27</v>
      </c>
      <c r="J836" s="8">
        <v>8</v>
      </c>
      <c r="K836" s="8">
        <f t="shared" si="198"/>
        <v>8</v>
      </c>
      <c r="L836" s="8">
        <v>40</v>
      </c>
      <c r="M836" s="9">
        <f t="shared" si="199"/>
        <v>40</v>
      </c>
      <c r="N836" s="8">
        <v>3.1</v>
      </c>
      <c r="O836" s="10">
        <f t="shared" si="200"/>
        <v>3.1</v>
      </c>
      <c r="P836" s="8" t="s">
        <v>2050</v>
      </c>
      <c r="Q836" s="14">
        <v>0.6</v>
      </c>
      <c r="R836" s="12">
        <f>Q836</f>
        <v>0.6</v>
      </c>
      <c r="S836" s="12">
        <f t="shared" ref="S836:S899" si="201">IF(ISBLANK(R836),AVERAGE($R$2:$R$1001),R836)</f>
        <v>0.6</v>
      </c>
    </row>
    <row r="837" spans="1:19" x14ac:dyDescent="0.35">
      <c r="A837" s="8" t="s">
        <v>1693</v>
      </c>
      <c r="B837" s="8" t="s">
        <v>1694</v>
      </c>
      <c r="C837" s="8" t="s">
        <v>22</v>
      </c>
      <c r="D837" s="8" t="str">
        <f t="shared" si="192"/>
        <v>Female</v>
      </c>
      <c r="E837" s="8">
        <v>57</v>
      </c>
      <c r="F837" s="8">
        <f t="shared" si="197"/>
        <v>57</v>
      </c>
      <c r="G837" s="8" t="s">
        <v>46</v>
      </c>
      <c r="H837" s="8" t="s">
        <v>9</v>
      </c>
      <c r="I837" s="8" t="s">
        <v>67</v>
      </c>
      <c r="J837" s="8">
        <v>11</v>
      </c>
      <c r="K837" s="8">
        <f t="shared" si="198"/>
        <v>11</v>
      </c>
      <c r="L837" s="8">
        <v>75</v>
      </c>
      <c r="M837" s="9">
        <f t="shared" si="199"/>
        <v>75</v>
      </c>
      <c r="N837" s="8">
        <v>2.2999999999999998</v>
      </c>
      <c r="O837" s="10">
        <f t="shared" si="200"/>
        <v>2.2999999999999998</v>
      </c>
      <c r="P837" s="8" t="s">
        <v>2050</v>
      </c>
      <c r="Q837" s="13"/>
      <c r="S837" s="12">
        <f t="shared" si="201"/>
        <v>0.79269417475728277</v>
      </c>
    </row>
    <row r="838" spans="1:19" x14ac:dyDescent="0.35">
      <c r="A838" s="8" t="s">
        <v>1695</v>
      </c>
      <c r="B838" s="8" t="s">
        <v>1696</v>
      </c>
      <c r="C838" s="8" t="s">
        <v>19</v>
      </c>
      <c r="D838" s="8" t="str">
        <f t="shared" si="192"/>
        <v>Female</v>
      </c>
      <c r="E838" s="8">
        <v>36</v>
      </c>
      <c r="F838" s="8">
        <f t="shared" si="197"/>
        <v>36</v>
      </c>
      <c r="G838" s="8" t="s">
        <v>25</v>
      </c>
      <c r="H838" s="8" t="s">
        <v>26</v>
      </c>
      <c r="I838" s="8" t="s">
        <v>27</v>
      </c>
      <c r="J838" s="8">
        <v>8</v>
      </c>
      <c r="K838" s="8">
        <f t="shared" si="198"/>
        <v>8</v>
      </c>
      <c r="L838" s="8">
        <v>40</v>
      </c>
      <c r="M838" s="9">
        <f t="shared" si="199"/>
        <v>40</v>
      </c>
      <c r="O838" s="10">
        <f t="shared" si="200"/>
        <v>2.5125695216907653</v>
      </c>
      <c r="P838" s="8" t="s">
        <v>2050</v>
      </c>
      <c r="Q838" s="14">
        <v>0.8</v>
      </c>
      <c r="R838" s="12">
        <f>Q838</f>
        <v>0.8</v>
      </c>
      <c r="S838" s="12">
        <f t="shared" si="201"/>
        <v>0.8</v>
      </c>
    </row>
    <row r="839" spans="1:19" x14ac:dyDescent="0.35">
      <c r="A839" s="8" t="s">
        <v>1697</v>
      </c>
      <c r="B839" s="8" t="s">
        <v>1698</v>
      </c>
      <c r="C839" s="8" t="s">
        <v>75</v>
      </c>
      <c r="D839" s="8" t="str">
        <f t="shared" si="192"/>
        <v>Male</v>
      </c>
      <c r="E839" s="8">
        <v>51</v>
      </c>
      <c r="F839" s="8">
        <f t="shared" si="197"/>
        <v>51</v>
      </c>
      <c r="G839" s="8" t="s">
        <v>88</v>
      </c>
      <c r="H839" s="8" t="s">
        <v>89</v>
      </c>
      <c r="I839" s="8" t="s">
        <v>20</v>
      </c>
      <c r="J839" s="8">
        <v>32</v>
      </c>
      <c r="K839" s="8">
        <f t="shared" si="198"/>
        <v>32</v>
      </c>
      <c r="L839" s="8">
        <v>50</v>
      </c>
      <c r="M839" s="9">
        <f t="shared" si="199"/>
        <v>50</v>
      </c>
      <c r="N839" s="8">
        <v>3.2</v>
      </c>
      <c r="O839" s="10">
        <f t="shared" si="200"/>
        <v>3.2</v>
      </c>
      <c r="P839" s="8" t="s">
        <v>2050</v>
      </c>
      <c r="Q839" s="8">
        <v>88</v>
      </c>
      <c r="R839" s="12">
        <v>0.88</v>
      </c>
      <c r="S839" s="12">
        <f t="shared" si="201"/>
        <v>0.88</v>
      </c>
    </row>
    <row r="840" spans="1:19" x14ac:dyDescent="0.35">
      <c r="A840" s="8" t="s">
        <v>1699</v>
      </c>
      <c r="B840" s="8" t="s">
        <v>1700</v>
      </c>
      <c r="C840" s="8" t="s">
        <v>30</v>
      </c>
      <c r="D840" s="8" t="str">
        <f t="shared" si="192"/>
        <v>Male</v>
      </c>
      <c r="E840" s="8">
        <v>44</v>
      </c>
      <c r="F840" s="8">
        <f t="shared" si="197"/>
        <v>44</v>
      </c>
      <c r="G840" s="8" t="s">
        <v>71</v>
      </c>
      <c r="H840" s="8" t="s">
        <v>72</v>
      </c>
      <c r="I840" s="8" t="s">
        <v>52</v>
      </c>
      <c r="J840" s="8">
        <v>4</v>
      </c>
      <c r="K840" s="8">
        <f t="shared" si="198"/>
        <v>4</v>
      </c>
      <c r="L840" s="8">
        <v>30</v>
      </c>
      <c r="M840" s="9">
        <f t="shared" si="199"/>
        <v>30</v>
      </c>
      <c r="N840" s="8">
        <v>0</v>
      </c>
      <c r="O840" s="11">
        <f t="shared" si="200"/>
        <v>0</v>
      </c>
      <c r="P840" s="8" t="s">
        <v>2050</v>
      </c>
      <c r="Q840" s="14">
        <v>0.8</v>
      </c>
      <c r="R840" s="12">
        <f t="shared" ref="R840:R843" si="202">Q840</f>
        <v>0.8</v>
      </c>
      <c r="S840" s="12">
        <f t="shared" si="201"/>
        <v>0.8</v>
      </c>
    </row>
    <row r="841" spans="1:19" x14ac:dyDescent="0.35">
      <c r="A841" s="8" t="s">
        <v>1701</v>
      </c>
      <c r="B841" s="8" t="s">
        <v>1702</v>
      </c>
      <c r="C841" s="8" t="s">
        <v>75</v>
      </c>
      <c r="D841" s="8" t="str">
        <f t="shared" si="192"/>
        <v>Male</v>
      </c>
      <c r="E841" s="8">
        <v>58</v>
      </c>
      <c r="F841" s="8">
        <f t="shared" si="197"/>
        <v>58</v>
      </c>
      <c r="G841" s="8" t="s">
        <v>162</v>
      </c>
      <c r="H841" s="8" t="s">
        <v>51</v>
      </c>
      <c r="I841" s="8" t="s">
        <v>56</v>
      </c>
      <c r="J841" s="8">
        <v>33</v>
      </c>
      <c r="K841" s="8">
        <f t="shared" si="198"/>
        <v>33</v>
      </c>
      <c r="L841" s="8">
        <v>30</v>
      </c>
      <c r="M841" s="9">
        <f t="shared" si="199"/>
        <v>30</v>
      </c>
      <c r="N841" s="8">
        <v>3.3</v>
      </c>
      <c r="O841" s="10">
        <f t="shared" si="200"/>
        <v>3.3</v>
      </c>
      <c r="P841" s="8" t="s">
        <v>2051</v>
      </c>
      <c r="Q841" s="14">
        <v>0.71</v>
      </c>
      <c r="R841" s="12">
        <f t="shared" si="202"/>
        <v>0.71</v>
      </c>
      <c r="S841" s="12">
        <f t="shared" si="201"/>
        <v>0.71</v>
      </c>
    </row>
    <row r="842" spans="1:19" x14ac:dyDescent="0.35">
      <c r="A842" s="8" t="s">
        <v>1703</v>
      </c>
      <c r="B842" s="8" t="s">
        <v>1704</v>
      </c>
      <c r="C842" s="8" t="s">
        <v>1</v>
      </c>
      <c r="D842" s="8" t="str">
        <f t="shared" si="192"/>
        <v>Female</v>
      </c>
      <c r="E842" s="8">
        <v>38</v>
      </c>
      <c r="F842" s="8">
        <f t="shared" si="197"/>
        <v>38</v>
      </c>
      <c r="G842" s="8" t="s">
        <v>128</v>
      </c>
      <c r="H842" s="8" t="s">
        <v>129</v>
      </c>
      <c r="I842" s="8" t="s">
        <v>10</v>
      </c>
      <c r="J842" s="8">
        <v>14</v>
      </c>
      <c r="K842" s="8">
        <f t="shared" si="198"/>
        <v>14</v>
      </c>
      <c r="L842" s="13"/>
      <c r="M842" s="9">
        <f t="shared" si="199"/>
        <v>40</v>
      </c>
      <c r="N842" s="8">
        <v>1.1000000000000001</v>
      </c>
      <c r="O842" s="10">
        <f t="shared" si="200"/>
        <v>1.1000000000000001</v>
      </c>
      <c r="P842" s="8" t="s">
        <v>2051</v>
      </c>
      <c r="Q842" s="14">
        <v>0.76</v>
      </c>
      <c r="R842" s="12">
        <f t="shared" si="202"/>
        <v>0.76</v>
      </c>
      <c r="S842" s="12">
        <f t="shared" si="201"/>
        <v>0.76</v>
      </c>
    </row>
    <row r="843" spans="1:19" x14ac:dyDescent="0.35">
      <c r="A843" s="8" t="s">
        <v>1705</v>
      </c>
      <c r="B843" s="8" t="s">
        <v>1706</v>
      </c>
      <c r="C843" s="8" t="s">
        <v>70</v>
      </c>
      <c r="D843" s="8" t="str">
        <f t="shared" si="192"/>
        <v>Male</v>
      </c>
      <c r="E843" s="8">
        <v>24</v>
      </c>
      <c r="F843" s="8">
        <f t="shared" si="197"/>
        <v>24</v>
      </c>
      <c r="G843" s="8" t="s">
        <v>38</v>
      </c>
      <c r="H843" s="8" t="s">
        <v>9</v>
      </c>
      <c r="I843" s="8" t="s">
        <v>52</v>
      </c>
      <c r="J843" s="8">
        <v>6</v>
      </c>
      <c r="K843" s="8">
        <f t="shared" si="198"/>
        <v>6</v>
      </c>
      <c r="L843" s="8">
        <v>30</v>
      </c>
      <c r="M843" s="9">
        <f t="shared" si="199"/>
        <v>30</v>
      </c>
      <c r="N843" s="8">
        <v>4.5999999999999996</v>
      </c>
      <c r="O843" s="10">
        <f t="shared" si="200"/>
        <v>4.5999999999999996</v>
      </c>
      <c r="P843" s="8" t="s">
        <v>2051</v>
      </c>
      <c r="Q843" s="14">
        <v>0.93</v>
      </c>
      <c r="R843" s="12">
        <f t="shared" si="202"/>
        <v>0.93</v>
      </c>
      <c r="S843" s="12">
        <f t="shared" si="201"/>
        <v>0.93</v>
      </c>
    </row>
    <row r="844" spans="1:19" x14ac:dyDescent="0.35">
      <c r="A844" s="8" t="s">
        <v>1707</v>
      </c>
      <c r="B844" s="8" t="s">
        <v>1708</v>
      </c>
      <c r="C844" s="8" t="s">
        <v>19</v>
      </c>
      <c r="D844" s="8" t="str">
        <f t="shared" si="192"/>
        <v>Female</v>
      </c>
      <c r="E844" s="8">
        <v>30</v>
      </c>
      <c r="F844" s="8">
        <f t="shared" si="197"/>
        <v>30</v>
      </c>
      <c r="G844" s="8" t="s">
        <v>42</v>
      </c>
      <c r="H844" s="8" t="s">
        <v>43</v>
      </c>
      <c r="I844" s="8" t="s">
        <v>4</v>
      </c>
      <c r="J844" s="8">
        <v>5</v>
      </c>
      <c r="K844" s="8">
        <f t="shared" si="198"/>
        <v>5</v>
      </c>
      <c r="L844" s="8">
        <v>30</v>
      </c>
      <c r="M844" s="9">
        <f t="shared" si="199"/>
        <v>30</v>
      </c>
      <c r="O844" s="10">
        <f t="shared" si="200"/>
        <v>2.5125695216907653</v>
      </c>
      <c r="P844" s="8" t="s">
        <v>2050</v>
      </c>
      <c r="Q844" s="13"/>
      <c r="S844" s="12">
        <f t="shared" si="201"/>
        <v>0.79269417475728277</v>
      </c>
    </row>
    <row r="845" spans="1:19" x14ac:dyDescent="0.35">
      <c r="A845" s="8" t="s">
        <v>1709</v>
      </c>
      <c r="B845" s="8" t="s">
        <v>1710</v>
      </c>
      <c r="C845" s="8" t="s">
        <v>41</v>
      </c>
      <c r="D845" s="8" t="str">
        <f t="shared" si="192"/>
        <v>Male</v>
      </c>
      <c r="E845" s="8">
        <v>25</v>
      </c>
      <c r="F845" s="8">
        <f t="shared" si="197"/>
        <v>25</v>
      </c>
      <c r="G845" s="8" t="s">
        <v>31</v>
      </c>
      <c r="H845" s="8" t="s">
        <v>32</v>
      </c>
      <c r="I845" s="8" t="s">
        <v>56</v>
      </c>
      <c r="J845" s="8">
        <v>3</v>
      </c>
      <c r="K845" s="8">
        <f t="shared" si="198"/>
        <v>3</v>
      </c>
      <c r="L845" s="8">
        <v>75</v>
      </c>
      <c r="M845" s="9">
        <f t="shared" si="199"/>
        <v>75</v>
      </c>
      <c r="O845" s="10">
        <f t="shared" si="200"/>
        <v>2.5125695216907653</v>
      </c>
      <c r="P845" s="8" t="s">
        <v>2050</v>
      </c>
      <c r="Q845" s="14">
        <v>0.83</v>
      </c>
      <c r="R845" s="12">
        <f t="shared" ref="R845:R847" si="203">Q845</f>
        <v>0.83</v>
      </c>
      <c r="S845" s="12">
        <f t="shared" si="201"/>
        <v>0.83</v>
      </c>
    </row>
    <row r="846" spans="1:19" x14ac:dyDescent="0.35">
      <c r="A846" s="8" t="s">
        <v>1711</v>
      </c>
      <c r="B846" s="8" t="s">
        <v>1712</v>
      </c>
      <c r="C846" s="8" t="s">
        <v>70</v>
      </c>
      <c r="D846" s="8" t="str">
        <f t="shared" si="192"/>
        <v>Male</v>
      </c>
      <c r="E846" s="8">
        <v>54</v>
      </c>
      <c r="F846" s="8">
        <f t="shared" si="197"/>
        <v>54</v>
      </c>
      <c r="G846" s="8" t="s">
        <v>31</v>
      </c>
      <c r="H846" s="8" t="s">
        <v>32</v>
      </c>
      <c r="I846" s="8" t="s">
        <v>10</v>
      </c>
      <c r="J846" s="8">
        <v>17</v>
      </c>
      <c r="K846" s="8">
        <f t="shared" si="198"/>
        <v>17</v>
      </c>
      <c r="L846" s="8">
        <v>100</v>
      </c>
      <c r="M846" s="9">
        <f t="shared" si="199"/>
        <v>100</v>
      </c>
      <c r="N846" s="8">
        <v>0</v>
      </c>
      <c r="O846" s="11">
        <f t="shared" si="200"/>
        <v>0</v>
      </c>
      <c r="P846" s="8" t="s">
        <v>2050</v>
      </c>
      <c r="Q846" s="14">
        <v>0.71</v>
      </c>
      <c r="R846" s="12">
        <f t="shared" si="203"/>
        <v>0.71</v>
      </c>
      <c r="S846" s="12">
        <f t="shared" si="201"/>
        <v>0.71</v>
      </c>
    </row>
    <row r="847" spans="1:19" x14ac:dyDescent="0.35">
      <c r="A847" s="8" t="s">
        <v>1713</v>
      </c>
      <c r="B847" s="8" t="s">
        <v>1714</v>
      </c>
      <c r="C847" s="8" t="s">
        <v>13</v>
      </c>
      <c r="D847" s="8" t="str">
        <f t="shared" si="192"/>
        <v>Male</v>
      </c>
      <c r="E847" s="8">
        <v>54</v>
      </c>
      <c r="F847" s="8">
        <f t="shared" si="197"/>
        <v>54</v>
      </c>
      <c r="G847" s="8" t="s">
        <v>2</v>
      </c>
      <c r="H847" s="8" t="s">
        <v>3</v>
      </c>
      <c r="I847" s="8" t="s">
        <v>56</v>
      </c>
      <c r="J847" s="8">
        <v>9</v>
      </c>
      <c r="K847" s="8">
        <f t="shared" si="198"/>
        <v>9</v>
      </c>
      <c r="L847" s="8">
        <v>20</v>
      </c>
      <c r="M847" s="9">
        <f t="shared" si="199"/>
        <v>20</v>
      </c>
      <c r="N847" s="8">
        <v>0</v>
      </c>
      <c r="O847" s="11">
        <f t="shared" si="200"/>
        <v>0</v>
      </c>
      <c r="P847" s="8" t="s">
        <v>2051</v>
      </c>
      <c r="Q847" s="14">
        <v>0.96</v>
      </c>
      <c r="R847" s="12">
        <f t="shared" si="203"/>
        <v>0.96</v>
      </c>
      <c r="S847" s="12">
        <f t="shared" si="201"/>
        <v>0.96</v>
      </c>
    </row>
    <row r="848" spans="1:19" x14ac:dyDescent="0.35">
      <c r="A848" s="8" t="s">
        <v>1715</v>
      </c>
      <c r="B848" s="8" t="s">
        <v>1716</v>
      </c>
      <c r="C848" s="8" t="s">
        <v>19</v>
      </c>
      <c r="D848" s="8" t="str">
        <f t="shared" si="192"/>
        <v>Female</v>
      </c>
      <c r="E848" s="8">
        <v>53</v>
      </c>
      <c r="F848" s="8">
        <f t="shared" si="197"/>
        <v>53</v>
      </c>
      <c r="G848" s="8" t="s">
        <v>110</v>
      </c>
      <c r="H848" s="8" t="s">
        <v>111</v>
      </c>
      <c r="I848" s="8" t="s">
        <v>16</v>
      </c>
      <c r="J848" s="8">
        <v>16</v>
      </c>
      <c r="K848" s="8">
        <f t="shared" si="198"/>
        <v>16</v>
      </c>
      <c r="L848" s="8">
        <v>40</v>
      </c>
      <c r="M848" s="9">
        <f t="shared" si="199"/>
        <v>40</v>
      </c>
      <c r="N848" s="8">
        <v>0</v>
      </c>
      <c r="O848" s="11">
        <f t="shared" si="200"/>
        <v>0</v>
      </c>
      <c r="P848" s="8" t="s">
        <v>2050</v>
      </c>
      <c r="Q848" s="13"/>
      <c r="S848" s="12">
        <f t="shared" si="201"/>
        <v>0.79269417475728277</v>
      </c>
    </row>
    <row r="849" spans="1:19" x14ac:dyDescent="0.35">
      <c r="A849" s="8" t="s">
        <v>1717</v>
      </c>
      <c r="B849" s="8" t="s">
        <v>1718</v>
      </c>
      <c r="C849" s="8" t="s">
        <v>13</v>
      </c>
      <c r="D849" s="8" t="str">
        <f t="shared" si="192"/>
        <v>Male</v>
      </c>
      <c r="E849" s="8">
        <v>22</v>
      </c>
      <c r="F849" s="8">
        <f t="shared" si="197"/>
        <v>22</v>
      </c>
      <c r="G849" s="8" t="s">
        <v>99</v>
      </c>
      <c r="H849" s="8" t="s">
        <v>100</v>
      </c>
      <c r="I849" s="8" t="s">
        <v>27</v>
      </c>
      <c r="J849" s="8">
        <v>3</v>
      </c>
      <c r="K849" s="8">
        <f t="shared" si="198"/>
        <v>3</v>
      </c>
      <c r="L849" s="8">
        <v>75</v>
      </c>
      <c r="M849" s="9">
        <f t="shared" si="199"/>
        <v>75</v>
      </c>
      <c r="N849" s="8">
        <v>3.4</v>
      </c>
      <c r="O849" s="10">
        <f t="shared" si="200"/>
        <v>3.4</v>
      </c>
      <c r="P849" s="8" t="s">
        <v>2051</v>
      </c>
      <c r="Q849" s="14">
        <v>0.65</v>
      </c>
      <c r="R849" s="12">
        <f>Q849</f>
        <v>0.65</v>
      </c>
      <c r="S849" s="12">
        <f t="shared" si="201"/>
        <v>0.65</v>
      </c>
    </row>
    <row r="850" spans="1:19" x14ac:dyDescent="0.35">
      <c r="A850" s="8" t="s">
        <v>1719</v>
      </c>
      <c r="B850" s="8" t="s">
        <v>1720</v>
      </c>
      <c r="C850" s="8" t="s">
        <v>22</v>
      </c>
      <c r="D850" s="8" t="str">
        <f t="shared" si="192"/>
        <v>Female</v>
      </c>
      <c r="E850" s="8">
        <v>23</v>
      </c>
      <c r="F850" s="8">
        <f t="shared" si="197"/>
        <v>23</v>
      </c>
      <c r="G850" s="8" t="s">
        <v>151</v>
      </c>
      <c r="H850" s="8" t="s">
        <v>51</v>
      </c>
      <c r="I850" s="8" t="s">
        <v>33</v>
      </c>
      <c r="J850" s="8">
        <v>2</v>
      </c>
      <c r="K850" s="8">
        <f t="shared" si="198"/>
        <v>2</v>
      </c>
      <c r="L850" s="8">
        <v>20</v>
      </c>
      <c r="M850" s="9">
        <f t="shared" si="199"/>
        <v>20</v>
      </c>
      <c r="N850" s="8">
        <v>1.3</v>
      </c>
      <c r="O850" s="10">
        <f t="shared" si="200"/>
        <v>1.3</v>
      </c>
      <c r="P850" s="8" t="s">
        <v>2050</v>
      </c>
      <c r="Q850" s="13"/>
      <c r="S850" s="12">
        <f t="shared" si="201"/>
        <v>0.79269417475728277</v>
      </c>
    </row>
    <row r="851" spans="1:19" x14ac:dyDescent="0.35">
      <c r="A851" s="8" t="s">
        <v>1721</v>
      </c>
      <c r="B851" s="8" t="s">
        <v>1722</v>
      </c>
      <c r="C851" s="8" t="s">
        <v>7</v>
      </c>
      <c r="D851" s="8" t="str">
        <f t="shared" si="192"/>
        <v>Female</v>
      </c>
      <c r="E851" s="8">
        <v>47</v>
      </c>
      <c r="F851" s="8">
        <f t="shared" si="197"/>
        <v>47</v>
      </c>
      <c r="G851" s="8" t="s">
        <v>110</v>
      </c>
      <c r="H851" s="8" t="s">
        <v>111</v>
      </c>
      <c r="I851" s="8" t="s">
        <v>56</v>
      </c>
      <c r="J851" s="8">
        <v>16</v>
      </c>
      <c r="K851" s="8">
        <f t="shared" si="198"/>
        <v>16</v>
      </c>
      <c r="L851" s="8">
        <v>50</v>
      </c>
      <c r="M851" s="9">
        <f t="shared" si="199"/>
        <v>50</v>
      </c>
      <c r="N851" s="8">
        <v>1.9</v>
      </c>
      <c r="O851" s="10">
        <f t="shared" si="200"/>
        <v>1.9</v>
      </c>
      <c r="P851" s="8" t="s">
        <v>2050</v>
      </c>
      <c r="Q851" s="14">
        <v>0.71</v>
      </c>
      <c r="R851" s="12">
        <f>Q851</f>
        <v>0.71</v>
      </c>
      <c r="S851" s="12">
        <f t="shared" si="201"/>
        <v>0.71</v>
      </c>
    </row>
    <row r="852" spans="1:19" x14ac:dyDescent="0.35">
      <c r="A852" s="8" t="s">
        <v>1723</v>
      </c>
      <c r="B852" s="8" t="s">
        <v>1724</v>
      </c>
      <c r="C852" s="8" t="s">
        <v>75</v>
      </c>
      <c r="D852" s="8" t="str">
        <f t="shared" si="192"/>
        <v>Male</v>
      </c>
      <c r="E852" s="8">
        <v>24</v>
      </c>
      <c r="F852" s="8">
        <f t="shared" si="197"/>
        <v>24</v>
      </c>
      <c r="G852" s="8" t="s">
        <v>110</v>
      </c>
      <c r="H852" s="8" t="s">
        <v>111</v>
      </c>
      <c r="I852" s="8" t="s">
        <v>20</v>
      </c>
      <c r="J852" s="8">
        <v>6</v>
      </c>
      <c r="K852" s="8">
        <f t="shared" si="198"/>
        <v>6</v>
      </c>
      <c r="L852" s="8">
        <v>50</v>
      </c>
      <c r="M852" s="9">
        <f t="shared" si="199"/>
        <v>50</v>
      </c>
      <c r="N852" s="8">
        <v>1.4</v>
      </c>
      <c r="O852" s="10">
        <f t="shared" si="200"/>
        <v>1.4</v>
      </c>
      <c r="P852" s="8" t="s">
        <v>2051</v>
      </c>
      <c r="Q852" s="8">
        <v>63</v>
      </c>
      <c r="R852" s="12">
        <v>0.63</v>
      </c>
      <c r="S852" s="12">
        <f t="shared" si="201"/>
        <v>0.63</v>
      </c>
    </row>
    <row r="853" spans="1:19" x14ac:dyDescent="0.35">
      <c r="A853" s="8" t="s">
        <v>1725</v>
      </c>
      <c r="B853" s="8" t="s">
        <v>1726</v>
      </c>
      <c r="C853" s="8" t="s">
        <v>1</v>
      </c>
      <c r="D853" s="8" t="str">
        <f t="shared" si="192"/>
        <v>Female</v>
      </c>
      <c r="E853" s="8">
        <v>57</v>
      </c>
      <c r="F853" s="8">
        <f t="shared" si="197"/>
        <v>57</v>
      </c>
      <c r="G853" s="8" t="s">
        <v>71</v>
      </c>
      <c r="H853" s="8" t="s">
        <v>72</v>
      </c>
      <c r="I853" s="8" t="s">
        <v>52</v>
      </c>
      <c r="J853" s="8">
        <v>10</v>
      </c>
      <c r="K853" s="8">
        <f t="shared" si="198"/>
        <v>10</v>
      </c>
      <c r="L853" s="8">
        <v>100</v>
      </c>
      <c r="M853" s="9">
        <f t="shared" si="199"/>
        <v>100</v>
      </c>
      <c r="N853" s="8">
        <v>4.3</v>
      </c>
      <c r="O853" s="10">
        <f t="shared" si="200"/>
        <v>4.3</v>
      </c>
      <c r="P853" s="8" t="s">
        <v>2050</v>
      </c>
      <c r="Q853" s="13"/>
      <c r="S853" s="12">
        <f t="shared" si="201"/>
        <v>0.79269417475728277</v>
      </c>
    </row>
    <row r="854" spans="1:19" x14ac:dyDescent="0.35">
      <c r="A854" s="8" t="s">
        <v>1727</v>
      </c>
      <c r="B854" s="8" t="s">
        <v>1728</v>
      </c>
      <c r="C854" s="8" t="s">
        <v>75</v>
      </c>
      <c r="D854" s="8" t="str">
        <f t="shared" si="192"/>
        <v>Male</v>
      </c>
      <c r="E854" s="8">
        <v>48</v>
      </c>
      <c r="F854" s="8">
        <f t="shared" si="197"/>
        <v>48</v>
      </c>
      <c r="G854" s="8" t="s">
        <v>162</v>
      </c>
      <c r="H854" s="8" t="s">
        <v>51</v>
      </c>
      <c r="I854" s="8" t="s">
        <v>16</v>
      </c>
      <c r="J854" s="8">
        <v>16</v>
      </c>
      <c r="K854" s="8">
        <f t="shared" si="198"/>
        <v>16</v>
      </c>
      <c r="L854" s="8">
        <v>30</v>
      </c>
      <c r="M854" s="9">
        <f t="shared" si="199"/>
        <v>30</v>
      </c>
      <c r="O854" s="10">
        <f t="shared" si="200"/>
        <v>2.5125695216907653</v>
      </c>
      <c r="P854" s="8" t="s">
        <v>2050</v>
      </c>
      <c r="Q854" s="14">
        <v>0.97</v>
      </c>
      <c r="R854" s="12">
        <f>Q854</f>
        <v>0.97</v>
      </c>
      <c r="S854" s="12">
        <f t="shared" si="201"/>
        <v>0.97</v>
      </c>
    </row>
    <row r="855" spans="1:19" x14ac:dyDescent="0.35">
      <c r="A855" s="8" t="s">
        <v>1729</v>
      </c>
      <c r="B855" s="8" t="s">
        <v>1730</v>
      </c>
      <c r="C855" s="8" t="s">
        <v>55</v>
      </c>
      <c r="D855" s="8" t="str">
        <f t="shared" si="192"/>
        <v>Female</v>
      </c>
      <c r="E855" s="8">
        <v>21</v>
      </c>
      <c r="F855" s="8">
        <f t="shared" si="197"/>
        <v>21</v>
      </c>
      <c r="G855" s="8" t="s">
        <v>42</v>
      </c>
      <c r="H855" s="8" t="s">
        <v>43</v>
      </c>
      <c r="I855" s="8" t="s">
        <v>52</v>
      </c>
      <c r="J855" s="8">
        <v>0</v>
      </c>
      <c r="K855" s="8">
        <f t="shared" si="198"/>
        <v>0</v>
      </c>
      <c r="L855" s="8">
        <v>100</v>
      </c>
      <c r="M855" s="9">
        <f t="shared" si="199"/>
        <v>100</v>
      </c>
      <c r="N855" s="8">
        <v>4.3</v>
      </c>
      <c r="O855" s="10">
        <f t="shared" si="200"/>
        <v>4.3</v>
      </c>
      <c r="P855" s="8" t="s">
        <v>2050</v>
      </c>
      <c r="Q855" s="13"/>
      <c r="S855" s="12">
        <f t="shared" si="201"/>
        <v>0.79269417475728277</v>
      </c>
    </row>
    <row r="856" spans="1:19" x14ac:dyDescent="0.35">
      <c r="A856" s="8" t="s">
        <v>1731</v>
      </c>
      <c r="B856" s="8" t="s">
        <v>1732</v>
      </c>
      <c r="C856" s="8" t="s">
        <v>30</v>
      </c>
      <c r="D856" s="8" t="str">
        <f t="shared" si="192"/>
        <v>Male</v>
      </c>
      <c r="E856" s="8">
        <v>33</v>
      </c>
      <c r="F856" s="8">
        <f t="shared" si="197"/>
        <v>33</v>
      </c>
      <c r="G856" s="8" t="s">
        <v>63</v>
      </c>
      <c r="H856" s="8" t="s">
        <v>64</v>
      </c>
      <c r="I856" s="8" t="s">
        <v>27</v>
      </c>
      <c r="J856" s="8">
        <v>13</v>
      </c>
      <c r="K856" s="8">
        <f t="shared" si="198"/>
        <v>13</v>
      </c>
      <c r="L856" s="8">
        <v>75</v>
      </c>
      <c r="M856" s="9">
        <f t="shared" si="199"/>
        <v>75</v>
      </c>
      <c r="N856" s="8">
        <v>0</v>
      </c>
      <c r="O856" s="11">
        <f t="shared" si="200"/>
        <v>0</v>
      </c>
      <c r="P856" s="8" t="s">
        <v>2051</v>
      </c>
      <c r="Q856" s="13"/>
      <c r="S856" s="12">
        <f t="shared" si="201"/>
        <v>0.79269417475728277</v>
      </c>
    </row>
    <row r="857" spans="1:19" x14ac:dyDescent="0.35">
      <c r="A857" s="8" t="s">
        <v>1733</v>
      </c>
      <c r="B857" s="8" t="s">
        <v>1734</v>
      </c>
      <c r="C857" s="8" t="s">
        <v>75</v>
      </c>
      <c r="D857" s="8" t="str">
        <f t="shared" si="192"/>
        <v>Male</v>
      </c>
      <c r="E857" s="8">
        <v>41</v>
      </c>
      <c r="F857" s="8">
        <f t="shared" si="197"/>
        <v>41</v>
      </c>
      <c r="G857" s="8" t="s">
        <v>42</v>
      </c>
      <c r="H857" s="8" t="s">
        <v>43</v>
      </c>
      <c r="I857" s="8" t="s">
        <v>67</v>
      </c>
      <c r="J857" s="8">
        <v>12</v>
      </c>
      <c r="K857" s="8">
        <f t="shared" si="198"/>
        <v>12</v>
      </c>
      <c r="L857" s="13"/>
      <c r="M857" s="9">
        <f t="shared" si="199"/>
        <v>40</v>
      </c>
      <c r="N857" s="8">
        <v>1.3</v>
      </c>
      <c r="O857" s="10">
        <f t="shared" si="200"/>
        <v>1.3</v>
      </c>
      <c r="P857" s="8" t="s">
        <v>2050</v>
      </c>
      <c r="Q857" s="14">
        <v>0.85</v>
      </c>
      <c r="R857" s="12">
        <f t="shared" ref="R857:R859" si="204">Q857</f>
        <v>0.85</v>
      </c>
      <c r="S857" s="12">
        <f t="shared" si="201"/>
        <v>0.85</v>
      </c>
    </row>
    <row r="858" spans="1:19" x14ac:dyDescent="0.35">
      <c r="A858" s="8" t="s">
        <v>1735</v>
      </c>
      <c r="B858" s="8" t="s">
        <v>1736</v>
      </c>
      <c r="C858" s="8" t="s">
        <v>41</v>
      </c>
      <c r="D858" s="8" t="str">
        <f t="shared" si="192"/>
        <v>Male</v>
      </c>
      <c r="E858" s="8">
        <v>40</v>
      </c>
      <c r="F858" s="8">
        <f t="shared" si="197"/>
        <v>40</v>
      </c>
      <c r="G858" s="8" t="s">
        <v>8</v>
      </c>
      <c r="H858" s="8" t="s">
        <v>9</v>
      </c>
      <c r="I858" s="8" t="s">
        <v>56</v>
      </c>
      <c r="J858" s="8">
        <v>13</v>
      </c>
      <c r="K858" s="8">
        <f t="shared" si="198"/>
        <v>13</v>
      </c>
      <c r="L858" s="8">
        <v>50</v>
      </c>
      <c r="M858" s="9">
        <f t="shared" si="199"/>
        <v>50</v>
      </c>
      <c r="N858" s="8">
        <v>2.9</v>
      </c>
      <c r="O858" s="10">
        <f t="shared" si="200"/>
        <v>2.9</v>
      </c>
      <c r="P858" s="8" t="s">
        <v>2050</v>
      </c>
      <c r="Q858" s="14">
        <v>0.82</v>
      </c>
      <c r="R858" s="12">
        <f t="shared" si="204"/>
        <v>0.82</v>
      </c>
      <c r="S858" s="12">
        <f t="shared" si="201"/>
        <v>0.82</v>
      </c>
    </row>
    <row r="859" spans="1:19" x14ac:dyDescent="0.35">
      <c r="A859" s="8" t="s">
        <v>1737</v>
      </c>
      <c r="B859" s="8" t="s">
        <v>1738</v>
      </c>
      <c r="C859" s="8" t="s">
        <v>1</v>
      </c>
      <c r="D859" s="8" t="str">
        <f t="shared" si="192"/>
        <v>Female</v>
      </c>
      <c r="E859" s="8">
        <v>40</v>
      </c>
      <c r="F859" s="8">
        <f t="shared" si="197"/>
        <v>40</v>
      </c>
      <c r="G859" s="8" t="s">
        <v>151</v>
      </c>
      <c r="H859" s="8" t="s">
        <v>51</v>
      </c>
      <c r="I859" s="8" t="s">
        <v>16</v>
      </c>
      <c r="J859" s="8">
        <v>22</v>
      </c>
      <c r="K859" s="8">
        <f t="shared" si="198"/>
        <v>22</v>
      </c>
      <c r="L859" s="8">
        <v>40</v>
      </c>
      <c r="M859" s="9">
        <f t="shared" si="199"/>
        <v>40</v>
      </c>
      <c r="N859" s="8">
        <v>4.3</v>
      </c>
      <c r="O859" s="10">
        <f t="shared" si="200"/>
        <v>4.3</v>
      </c>
      <c r="P859" s="8" t="s">
        <v>2050</v>
      </c>
      <c r="Q859" s="14">
        <v>0.95</v>
      </c>
      <c r="R859" s="12">
        <f t="shared" si="204"/>
        <v>0.95</v>
      </c>
      <c r="S859" s="12">
        <f t="shared" si="201"/>
        <v>0.95</v>
      </c>
    </row>
    <row r="860" spans="1:19" x14ac:dyDescent="0.35">
      <c r="A860" s="8" t="s">
        <v>1739</v>
      </c>
      <c r="B860" s="8" t="s">
        <v>1740</v>
      </c>
      <c r="C860" s="8" t="s">
        <v>55</v>
      </c>
      <c r="D860" s="8" t="str">
        <f t="shared" si="192"/>
        <v>Female</v>
      </c>
      <c r="E860" s="8">
        <v>20</v>
      </c>
      <c r="F860" s="8">
        <f t="shared" si="197"/>
        <v>20</v>
      </c>
      <c r="G860" s="8" t="s">
        <v>38</v>
      </c>
      <c r="H860" s="8" t="s">
        <v>9</v>
      </c>
      <c r="I860" s="8" t="s">
        <v>16</v>
      </c>
      <c r="J860" s="8">
        <v>1</v>
      </c>
      <c r="K860" s="8">
        <f t="shared" si="198"/>
        <v>1</v>
      </c>
      <c r="L860" s="13"/>
      <c r="M860" s="9">
        <f t="shared" si="199"/>
        <v>40</v>
      </c>
      <c r="N860" s="8">
        <v>2.7</v>
      </c>
      <c r="O860" s="10">
        <f t="shared" si="200"/>
        <v>2.7</v>
      </c>
      <c r="P860" s="8" t="s">
        <v>2050</v>
      </c>
      <c r="Q860" s="8">
        <v>94</v>
      </c>
      <c r="R860" s="12">
        <v>0.94</v>
      </c>
      <c r="S860" s="12">
        <f t="shared" si="201"/>
        <v>0.94</v>
      </c>
    </row>
    <row r="861" spans="1:19" x14ac:dyDescent="0.35">
      <c r="A861" s="8" t="s">
        <v>1741</v>
      </c>
      <c r="B861" s="8" t="s">
        <v>1742</v>
      </c>
      <c r="C861" s="8" t="s">
        <v>19</v>
      </c>
      <c r="D861" s="8" t="str">
        <f t="shared" si="192"/>
        <v>Female</v>
      </c>
      <c r="E861" s="8">
        <v>42</v>
      </c>
      <c r="F861" s="8">
        <f t="shared" si="197"/>
        <v>42</v>
      </c>
      <c r="G861" s="8" t="s">
        <v>151</v>
      </c>
      <c r="H861" s="8" t="s">
        <v>51</v>
      </c>
      <c r="I861" s="8" t="s">
        <v>20</v>
      </c>
      <c r="J861" s="13"/>
      <c r="K861" s="8">
        <f t="shared" si="198"/>
        <v>9</v>
      </c>
      <c r="L861" s="8">
        <v>50</v>
      </c>
      <c r="M861" s="9">
        <f t="shared" si="199"/>
        <v>50</v>
      </c>
      <c r="N861" s="8">
        <v>4.2</v>
      </c>
      <c r="O861" s="10">
        <f t="shared" si="200"/>
        <v>4.2</v>
      </c>
      <c r="P861" s="13" t="s">
        <v>2050</v>
      </c>
      <c r="Q861" s="14">
        <v>0.96</v>
      </c>
      <c r="R861" s="12">
        <f t="shared" ref="R861:R868" si="205">Q861</f>
        <v>0.96</v>
      </c>
      <c r="S861" s="12">
        <f t="shared" si="201"/>
        <v>0.96</v>
      </c>
    </row>
    <row r="862" spans="1:19" x14ac:dyDescent="0.35">
      <c r="A862" s="8" t="s">
        <v>1743</v>
      </c>
      <c r="B862" s="8" t="s">
        <v>1744</v>
      </c>
      <c r="C862" s="8" t="s">
        <v>30</v>
      </c>
      <c r="D862" s="8" t="str">
        <f t="shared" si="192"/>
        <v>Male</v>
      </c>
      <c r="E862" s="8">
        <v>32</v>
      </c>
      <c r="F862" s="8">
        <f t="shared" si="197"/>
        <v>32</v>
      </c>
      <c r="G862" s="8" t="s">
        <v>103</v>
      </c>
      <c r="H862" s="8" t="s">
        <v>9</v>
      </c>
      <c r="I862" s="8" t="s">
        <v>4</v>
      </c>
      <c r="J862" s="8">
        <v>12</v>
      </c>
      <c r="K862" s="8">
        <f t="shared" si="198"/>
        <v>12</v>
      </c>
      <c r="L862" s="8">
        <v>40</v>
      </c>
      <c r="M862" s="9">
        <f t="shared" si="199"/>
        <v>40</v>
      </c>
      <c r="N862" s="8">
        <v>0</v>
      </c>
      <c r="O862" s="11">
        <f t="shared" si="200"/>
        <v>0</v>
      </c>
      <c r="P862" s="8" t="s">
        <v>2051</v>
      </c>
      <c r="Q862" s="14">
        <v>0.63</v>
      </c>
      <c r="R862" s="12">
        <f t="shared" si="205"/>
        <v>0.63</v>
      </c>
      <c r="S862" s="12">
        <f t="shared" si="201"/>
        <v>0.63</v>
      </c>
    </row>
    <row r="863" spans="1:19" x14ac:dyDescent="0.35">
      <c r="A863" s="8" t="s">
        <v>1745</v>
      </c>
      <c r="B863" s="8" t="s">
        <v>1746</v>
      </c>
      <c r="C863" s="8" t="s">
        <v>75</v>
      </c>
      <c r="D863" s="8" t="str">
        <f t="shared" si="192"/>
        <v>Male</v>
      </c>
      <c r="E863" s="8">
        <v>60</v>
      </c>
      <c r="F863" s="8">
        <f t="shared" si="197"/>
        <v>60</v>
      </c>
      <c r="G863" s="8" t="s">
        <v>63</v>
      </c>
      <c r="H863" s="8" t="s">
        <v>64</v>
      </c>
      <c r="I863" s="8" t="s">
        <v>27</v>
      </c>
      <c r="J863" s="13"/>
      <c r="K863" s="8">
        <f t="shared" si="198"/>
        <v>9</v>
      </c>
      <c r="L863" s="8">
        <v>20</v>
      </c>
      <c r="M863" s="9">
        <f t="shared" si="199"/>
        <v>20</v>
      </c>
      <c r="N863" s="8">
        <v>2.2000000000000002</v>
      </c>
      <c r="O863" s="10">
        <f t="shared" si="200"/>
        <v>2.2000000000000002</v>
      </c>
      <c r="P863" s="8" t="s">
        <v>2050</v>
      </c>
      <c r="Q863" s="14">
        <v>0.6</v>
      </c>
      <c r="R863" s="12">
        <f t="shared" si="205"/>
        <v>0.6</v>
      </c>
      <c r="S863" s="12">
        <f t="shared" si="201"/>
        <v>0.6</v>
      </c>
    </row>
    <row r="864" spans="1:19" x14ac:dyDescent="0.35">
      <c r="A864" s="8" t="s">
        <v>1747</v>
      </c>
      <c r="B864" s="8" t="s">
        <v>1748</v>
      </c>
      <c r="C864" s="8" t="s">
        <v>70</v>
      </c>
      <c r="D864" s="8" t="str">
        <f t="shared" si="192"/>
        <v>Male</v>
      </c>
      <c r="E864" s="8">
        <v>46</v>
      </c>
      <c r="F864" s="8">
        <f t="shared" si="197"/>
        <v>46</v>
      </c>
      <c r="G864" s="8" t="s">
        <v>114</v>
      </c>
      <c r="H864" s="8" t="s">
        <v>115</v>
      </c>
      <c r="I864" s="8" t="s">
        <v>90</v>
      </c>
      <c r="J864" s="8">
        <v>12</v>
      </c>
      <c r="K864" s="8">
        <f t="shared" si="198"/>
        <v>12</v>
      </c>
      <c r="L864" s="8">
        <v>50</v>
      </c>
      <c r="M864" s="9">
        <f t="shared" si="199"/>
        <v>50</v>
      </c>
      <c r="N864" s="8">
        <v>4.7</v>
      </c>
      <c r="O864" s="10">
        <f t="shared" si="200"/>
        <v>4.7</v>
      </c>
      <c r="P864" s="8" t="s">
        <v>2051</v>
      </c>
      <c r="Q864" s="14">
        <v>0.77</v>
      </c>
      <c r="R864" s="12">
        <f t="shared" si="205"/>
        <v>0.77</v>
      </c>
      <c r="S864" s="12">
        <f t="shared" si="201"/>
        <v>0.77</v>
      </c>
    </row>
    <row r="865" spans="1:19" x14ac:dyDescent="0.35">
      <c r="A865" s="8" t="s">
        <v>1749</v>
      </c>
      <c r="B865" s="8" t="s">
        <v>2045</v>
      </c>
      <c r="C865" s="8" t="s">
        <v>13</v>
      </c>
      <c r="D865" s="8" t="str">
        <f t="shared" si="192"/>
        <v>Male</v>
      </c>
      <c r="E865" s="8">
        <v>29</v>
      </c>
      <c r="F865" s="8">
        <f t="shared" si="197"/>
        <v>29</v>
      </c>
      <c r="G865" s="8" t="s">
        <v>147</v>
      </c>
      <c r="H865" s="8" t="s">
        <v>148</v>
      </c>
      <c r="I865" s="8" t="s">
        <v>67</v>
      </c>
      <c r="J865" s="8">
        <v>0</v>
      </c>
      <c r="K865" s="8">
        <f t="shared" si="198"/>
        <v>0</v>
      </c>
      <c r="L865" s="8">
        <v>30</v>
      </c>
      <c r="M865" s="9">
        <f t="shared" si="199"/>
        <v>30</v>
      </c>
      <c r="N865" s="8">
        <v>0</v>
      </c>
      <c r="O865" s="11">
        <f t="shared" si="200"/>
        <v>0</v>
      </c>
      <c r="P865" s="8" t="s">
        <v>2050</v>
      </c>
      <c r="Q865" s="14">
        <v>0.63</v>
      </c>
      <c r="R865" s="12">
        <f t="shared" si="205"/>
        <v>0.63</v>
      </c>
      <c r="S865" s="12">
        <f t="shared" si="201"/>
        <v>0.63</v>
      </c>
    </row>
    <row r="866" spans="1:19" x14ac:dyDescent="0.35">
      <c r="A866" s="8" t="s">
        <v>1750</v>
      </c>
      <c r="B866" s="8" t="s">
        <v>1751</v>
      </c>
      <c r="C866" s="8" t="s">
        <v>7</v>
      </c>
      <c r="D866" s="8" t="str">
        <f t="shared" si="192"/>
        <v>Female</v>
      </c>
      <c r="E866" s="8">
        <v>39</v>
      </c>
      <c r="F866" s="8">
        <f t="shared" si="197"/>
        <v>39</v>
      </c>
      <c r="G866" s="8" t="s">
        <v>84</v>
      </c>
      <c r="H866" s="8" t="s">
        <v>85</v>
      </c>
      <c r="I866" s="8" t="s">
        <v>10</v>
      </c>
      <c r="J866" s="8">
        <v>18</v>
      </c>
      <c r="K866" s="8">
        <f t="shared" si="198"/>
        <v>18</v>
      </c>
      <c r="L866" s="8">
        <v>20</v>
      </c>
      <c r="M866" s="9">
        <f t="shared" si="199"/>
        <v>20</v>
      </c>
      <c r="N866" s="8">
        <v>2.5</v>
      </c>
      <c r="O866" s="10">
        <f t="shared" si="200"/>
        <v>2.5</v>
      </c>
      <c r="P866" s="8" t="s">
        <v>2051</v>
      </c>
      <c r="Q866" s="14">
        <v>0.61</v>
      </c>
      <c r="R866" s="12">
        <f t="shared" si="205"/>
        <v>0.61</v>
      </c>
      <c r="S866" s="12">
        <f t="shared" si="201"/>
        <v>0.61</v>
      </c>
    </row>
    <row r="867" spans="1:19" x14ac:dyDescent="0.35">
      <c r="A867" s="8" t="s">
        <v>1752</v>
      </c>
      <c r="B867" s="8" t="s">
        <v>1753</v>
      </c>
      <c r="C867" s="8" t="s">
        <v>41</v>
      </c>
      <c r="D867" s="8" t="str">
        <f t="shared" si="192"/>
        <v>Male</v>
      </c>
      <c r="E867" s="8">
        <v>55</v>
      </c>
      <c r="F867" s="8">
        <f t="shared" si="197"/>
        <v>55</v>
      </c>
      <c r="G867" s="8" t="s">
        <v>99</v>
      </c>
      <c r="H867" s="8" t="s">
        <v>100</v>
      </c>
      <c r="I867" s="8" t="s">
        <v>10</v>
      </c>
      <c r="J867" s="8">
        <v>2</v>
      </c>
      <c r="K867" s="8">
        <f t="shared" si="198"/>
        <v>2</v>
      </c>
      <c r="L867" s="8">
        <v>50</v>
      </c>
      <c r="M867" s="9">
        <f t="shared" si="199"/>
        <v>50</v>
      </c>
      <c r="N867" s="8">
        <v>3.9</v>
      </c>
      <c r="O867" s="10">
        <f t="shared" si="200"/>
        <v>3.9</v>
      </c>
      <c r="P867" s="8" t="s">
        <v>2051</v>
      </c>
      <c r="Q867" s="14">
        <v>0.88</v>
      </c>
      <c r="R867" s="12">
        <f t="shared" si="205"/>
        <v>0.88</v>
      </c>
      <c r="S867" s="12">
        <f t="shared" si="201"/>
        <v>0.88</v>
      </c>
    </row>
    <row r="868" spans="1:19" x14ac:dyDescent="0.35">
      <c r="A868" s="8" t="s">
        <v>1754</v>
      </c>
      <c r="B868" s="8" t="s">
        <v>1755</v>
      </c>
      <c r="C868" s="8" t="s">
        <v>30</v>
      </c>
      <c r="D868" s="8" t="str">
        <f t="shared" si="192"/>
        <v>Male</v>
      </c>
      <c r="E868" s="8">
        <v>55</v>
      </c>
      <c r="F868" s="8">
        <f t="shared" si="197"/>
        <v>55</v>
      </c>
      <c r="G868" s="8" t="s">
        <v>42</v>
      </c>
      <c r="H868" s="8" t="s">
        <v>43</v>
      </c>
      <c r="I868" s="8" t="s">
        <v>56</v>
      </c>
      <c r="J868" s="13"/>
      <c r="K868" s="8">
        <f t="shared" si="198"/>
        <v>9</v>
      </c>
      <c r="L868" s="8">
        <v>100</v>
      </c>
      <c r="M868" s="9">
        <f t="shared" si="199"/>
        <v>100</v>
      </c>
      <c r="N868" s="8">
        <v>1.2</v>
      </c>
      <c r="O868" s="10">
        <f t="shared" si="200"/>
        <v>1.2</v>
      </c>
      <c r="P868" s="8" t="s">
        <v>2051</v>
      </c>
      <c r="Q868" s="14">
        <v>0.69</v>
      </c>
      <c r="R868" s="12">
        <f t="shared" si="205"/>
        <v>0.69</v>
      </c>
      <c r="S868" s="12">
        <f t="shared" si="201"/>
        <v>0.69</v>
      </c>
    </row>
    <row r="869" spans="1:19" x14ac:dyDescent="0.35">
      <c r="A869" s="8" t="s">
        <v>1756</v>
      </c>
      <c r="B869" s="8" t="s">
        <v>1757</v>
      </c>
      <c r="C869" s="8" t="s">
        <v>75</v>
      </c>
      <c r="D869" s="8" t="str">
        <f t="shared" si="192"/>
        <v>Male</v>
      </c>
      <c r="E869" s="8">
        <v>40</v>
      </c>
      <c r="F869" s="8">
        <f t="shared" si="197"/>
        <v>40</v>
      </c>
      <c r="G869" s="8" t="s">
        <v>31</v>
      </c>
      <c r="H869" s="8" t="s">
        <v>32</v>
      </c>
      <c r="I869" s="8" t="s">
        <v>33</v>
      </c>
      <c r="J869" s="8">
        <v>2</v>
      </c>
      <c r="K869" s="8">
        <f t="shared" si="198"/>
        <v>2</v>
      </c>
      <c r="L869" s="8">
        <v>75</v>
      </c>
      <c r="M869" s="9">
        <f t="shared" si="199"/>
        <v>75</v>
      </c>
      <c r="N869" s="8">
        <v>4.5</v>
      </c>
      <c r="O869" s="10">
        <f t="shared" si="200"/>
        <v>4.5</v>
      </c>
      <c r="P869" s="8" t="s">
        <v>2051</v>
      </c>
      <c r="Q869" s="13"/>
      <c r="S869" s="12">
        <f t="shared" si="201"/>
        <v>0.79269417475728277</v>
      </c>
    </row>
    <row r="870" spans="1:19" x14ac:dyDescent="0.35">
      <c r="A870" s="8" t="s">
        <v>1758</v>
      </c>
      <c r="B870" s="8" t="s">
        <v>1759</v>
      </c>
      <c r="C870" s="8" t="s">
        <v>1</v>
      </c>
      <c r="D870" s="8" t="str">
        <f t="shared" si="192"/>
        <v>Female</v>
      </c>
      <c r="E870" s="8">
        <v>56</v>
      </c>
      <c r="F870" s="8">
        <f t="shared" si="197"/>
        <v>56</v>
      </c>
      <c r="G870" s="8" t="s">
        <v>147</v>
      </c>
      <c r="H870" s="8" t="s">
        <v>148</v>
      </c>
      <c r="I870" s="8" t="s">
        <v>52</v>
      </c>
      <c r="J870" s="8">
        <v>35</v>
      </c>
      <c r="K870" s="8">
        <f t="shared" si="198"/>
        <v>35</v>
      </c>
      <c r="L870" s="8">
        <v>40</v>
      </c>
      <c r="M870" s="9">
        <f t="shared" si="199"/>
        <v>40</v>
      </c>
      <c r="N870" s="8">
        <v>2.7</v>
      </c>
      <c r="O870" s="10">
        <f t="shared" si="200"/>
        <v>2.7</v>
      </c>
      <c r="P870" s="8" t="s">
        <v>2051</v>
      </c>
      <c r="Q870" s="14">
        <v>0.82</v>
      </c>
      <c r="R870" s="12">
        <f t="shared" ref="R870:R873" si="206">Q870</f>
        <v>0.82</v>
      </c>
      <c r="S870" s="12">
        <f t="shared" si="201"/>
        <v>0.82</v>
      </c>
    </row>
    <row r="871" spans="1:19" x14ac:dyDescent="0.35">
      <c r="A871" s="8" t="s">
        <v>1760</v>
      </c>
      <c r="B871" s="8" t="s">
        <v>1761</v>
      </c>
      <c r="C871" s="8" t="s">
        <v>41</v>
      </c>
      <c r="D871" s="8" t="str">
        <f t="shared" si="192"/>
        <v>Male</v>
      </c>
      <c r="E871" s="8">
        <v>57</v>
      </c>
      <c r="F871" s="8">
        <f t="shared" si="197"/>
        <v>57</v>
      </c>
      <c r="G871" s="8" t="s">
        <v>151</v>
      </c>
      <c r="H871" s="8" t="s">
        <v>51</v>
      </c>
      <c r="I871" s="8" t="s">
        <v>10</v>
      </c>
      <c r="J871" s="8">
        <v>21</v>
      </c>
      <c r="K871" s="8">
        <f t="shared" si="198"/>
        <v>21</v>
      </c>
      <c r="L871" s="8">
        <v>75</v>
      </c>
      <c r="M871" s="9">
        <f t="shared" si="199"/>
        <v>75</v>
      </c>
      <c r="N871" s="8">
        <v>2</v>
      </c>
      <c r="O871" s="10">
        <f t="shared" si="200"/>
        <v>2</v>
      </c>
      <c r="P871" s="8" t="s">
        <v>2050</v>
      </c>
      <c r="Q871" s="14">
        <v>0.96</v>
      </c>
      <c r="R871" s="12">
        <f t="shared" si="206"/>
        <v>0.96</v>
      </c>
      <c r="S871" s="12">
        <f t="shared" si="201"/>
        <v>0.96</v>
      </c>
    </row>
    <row r="872" spans="1:19" x14ac:dyDescent="0.35">
      <c r="A872" s="8" t="s">
        <v>1762</v>
      </c>
      <c r="B872" s="8" t="s">
        <v>1763</v>
      </c>
      <c r="C872" s="8" t="s">
        <v>19</v>
      </c>
      <c r="D872" s="8" t="str">
        <f t="shared" si="192"/>
        <v>Female</v>
      </c>
      <c r="E872" s="8">
        <v>56</v>
      </c>
      <c r="F872" s="8">
        <f t="shared" si="197"/>
        <v>56</v>
      </c>
      <c r="G872" s="8" t="s">
        <v>99</v>
      </c>
      <c r="H872" s="8" t="s">
        <v>100</v>
      </c>
      <c r="I872" s="8" t="s">
        <v>67</v>
      </c>
      <c r="J872" s="8">
        <v>3</v>
      </c>
      <c r="K872" s="8">
        <f t="shared" si="198"/>
        <v>3</v>
      </c>
      <c r="L872" s="8">
        <v>40</v>
      </c>
      <c r="M872" s="9">
        <f t="shared" si="199"/>
        <v>40</v>
      </c>
      <c r="N872" s="8">
        <v>1.7</v>
      </c>
      <c r="O872" s="10">
        <f t="shared" si="200"/>
        <v>1.7</v>
      </c>
      <c r="P872" s="8" t="s">
        <v>2050</v>
      </c>
      <c r="Q872" s="14">
        <v>0.71</v>
      </c>
      <c r="R872" s="12">
        <f t="shared" si="206"/>
        <v>0.71</v>
      </c>
      <c r="S872" s="12">
        <f t="shared" si="201"/>
        <v>0.71</v>
      </c>
    </row>
    <row r="873" spans="1:19" x14ac:dyDescent="0.35">
      <c r="A873" s="8" t="s">
        <v>1764</v>
      </c>
      <c r="B873" s="8" t="s">
        <v>1765</v>
      </c>
      <c r="C873" s="8" t="s">
        <v>1</v>
      </c>
      <c r="D873" s="8" t="str">
        <f t="shared" si="192"/>
        <v>Female</v>
      </c>
      <c r="E873" s="8">
        <v>49</v>
      </c>
      <c r="F873" s="8">
        <f t="shared" si="197"/>
        <v>49</v>
      </c>
      <c r="G873" s="8" t="s">
        <v>14</v>
      </c>
      <c r="H873" s="8" t="s">
        <v>15</v>
      </c>
      <c r="I873" s="8" t="s">
        <v>10</v>
      </c>
      <c r="J873" s="8">
        <v>24</v>
      </c>
      <c r="K873" s="8">
        <f t="shared" si="198"/>
        <v>24</v>
      </c>
      <c r="L873" s="8">
        <v>75</v>
      </c>
      <c r="M873" s="9">
        <f t="shared" si="199"/>
        <v>75</v>
      </c>
      <c r="N873" s="8">
        <v>3</v>
      </c>
      <c r="O873" s="10">
        <f t="shared" si="200"/>
        <v>3</v>
      </c>
      <c r="P873" s="8" t="s">
        <v>2051</v>
      </c>
      <c r="Q873" s="14">
        <v>0.77</v>
      </c>
      <c r="R873" s="12">
        <f t="shared" si="206"/>
        <v>0.77</v>
      </c>
      <c r="S873" s="12">
        <f t="shared" si="201"/>
        <v>0.77</v>
      </c>
    </row>
    <row r="874" spans="1:19" x14ac:dyDescent="0.35">
      <c r="A874" s="8" t="s">
        <v>1766</v>
      </c>
      <c r="B874" s="8" t="s">
        <v>1767</v>
      </c>
      <c r="C874" s="8" t="s">
        <v>41</v>
      </c>
      <c r="D874" s="8" t="str">
        <f t="shared" ref="D874:D937" si="207">IF(LEFT(C874,1)="f","Female","Male")</f>
        <v>Male</v>
      </c>
      <c r="E874" s="8">
        <v>26</v>
      </c>
      <c r="F874" s="8">
        <f t="shared" si="197"/>
        <v>26</v>
      </c>
      <c r="G874" s="8" t="s">
        <v>162</v>
      </c>
      <c r="H874" s="8" t="s">
        <v>51</v>
      </c>
      <c r="I874" s="8" t="s">
        <v>4</v>
      </c>
      <c r="J874" s="13"/>
      <c r="K874" s="8">
        <f t="shared" si="198"/>
        <v>9</v>
      </c>
      <c r="L874" s="8">
        <v>75</v>
      </c>
      <c r="M874" s="9">
        <f t="shared" si="199"/>
        <v>75</v>
      </c>
      <c r="N874" s="8">
        <v>2.1</v>
      </c>
      <c r="O874" s="10">
        <f t="shared" si="200"/>
        <v>2.1</v>
      </c>
      <c r="P874" s="8" t="s">
        <v>2051</v>
      </c>
      <c r="Q874" s="13"/>
      <c r="S874" s="12">
        <f t="shared" si="201"/>
        <v>0.79269417475728277</v>
      </c>
    </row>
    <row r="875" spans="1:19" x14ac:dyDescent="0.35">
      <c r="A875" s="8" t="s">
        <v>1768</v>
      </c>
      <c r="B875" s="8" t="s">
        <v>1769</v>
      </c>
      <c r="C875" s="8" t="s">
        <v>55</v>
      </c>
      <c r="D875" s="8" t="str">
        <f t="shared" si="207"/>
        <v>Female</v>
      </c>
      <c r="E875" s="8">
        <v>36</v>
      </c>
      <c r="F875" s="8">
        <f t="shared" si="197"/>
        <v>36</v>
      </c>
      <c r="G875" s="8" t="s">
        <v>88</v>
      </c>
      <c r="H875" s="8" t="s">
        <v>89</v>
      </c>
      <c r="I875" s="8" t="s">
        <v>52</v>
      </c>
      <c r="J875" s="8">
        <v>0</v>
      </c>
      <c r="K875" s="8">
        <f t="shared" si="198"/>
        <v>0</v>
      </c>
      <c r="L875" s="8">
        <v>75</v>
      </c>
      <c r="M875" s="9">
        <f t="shared" si="199"/>
        <v>75</v>
      </c>
      <c r="N875" s="8">
        <v>1.5</v>
      </c>
      <c r="O875" s="10">
        <f t="shared" si="200"/>
        <v>1.5</v>
      </c>
      <c r="P875" s="13" t="s">
        <v>2050</v>
      </c>
      <c r="Q875" s="14">
        <v>0.73</v>
      </c>
      <c r="R875" s="12">
        <f t="shared" ref="R875:R878" si="208">Q875</f>
        <v>0.73</v>
      </c>
      <c r="S875" s="12">
        <f t="shared" si="201"/>
        <v>0.73</v>
      </c>
    </row>
    <row r="876" spans="1:19" x14ac:dyDescent="0.35">
      <c r="A876" s="8" t="s">
        <v>1770</v>
      </c>
      <c r="B876" s="8" t="s">
        <v>1771</v>
      </c>
      <c r="C876" s="8" t="s">
        <v>70</v>
      </c>
      <c r="D876" s="8" t="str">
        <f t="shared" si="207"/>
        <v>Male</v>
      </c>
      <c r="E876" s="8">
        <v>20</v>
      </c>
      <c r="F876" s="8">
        <f t="shared" si="197"/>
        <v>20</v>
      </c>
      <c r="G876" s="8" t="s">
        <v>99</v>
      </c>
      <c r="H876" s="8" t="s">
        <v>100</v>
      </c>
      <c r="I876" s="8" t="s">
        <v>20</v>
      </c>
      <c r="J876" s="8">
        <v>2</v>
      </c>
      <c r="K876" s="8">
        <f t="shared" si="198"/>
        <v>2</v>
      </c>
      <c r="L876" s="8">
        <v>30</v>
      </c>
      <c r="M876" s="9">
        <f t="shared" si="199"/>
        <v>30</v>
      </c>
      <c r="N876" s="8">
        <v>1.7</v>
      </c>
      <c r="O876" s="10">
        <f t="shared" si="200"/>
        <v>1.7</v>
      </c>
      <c r="P876" s="8" t="s">
        <v>2051</v>
      </c>
      <c r="Q876" s="14">
        <v>0.6</v>
      </c>
      <c r="R876" s="12">
        <f t="shared" si="208"/>
        <v>0.6</v>
      </c>
      <c r="S876" s="12">
        <f t="shared" si="201"/>
        <v>0.6</v>
      </c>
    </row>
    <row r="877" spans="1:19" x14ac:dyDescent="0.35">
      <c r="A877" s="8" t="s">
        <v>1772</v>
      </c>
      <c r="B877" s="8" t="s">
        <v>1773</v>
      </c>
      <c r="C877" s="8" t="s">
        <v>1</v>
      </c>
      <c r="D877" s="8" t="str">
        <f t="shared" si="207"/>
        <v>Female</v>
      </c>
      <c r="E877" s="8">
        <v>40</v>
      </c>
      <c r="F877" s="8">
        <f t="shared" si="197"/>
        <v>40</v>
      </c>
      <c r="G877" s="8" t="s">
        <v>162</v>
      </c>
      <c r="H877" s="8" t="s">
        <v>51</v>
      </c>
      <c r="I877" s="8" t="s">
        <v>27</v>
      </c>
      <c r="J877" s="13"/>
      <c r="K877" s="8">
        <f t="shared" si="198"/>
        <v>9</v>
      </c>
      <c r="L877" s="13"/>
      <c r="M877" s="9">
        <f t="shared" si="199"/>
        <v>40</v>
      </c>
      <c r="N877" s="8">
        <v>1.2</v>
      </c>
      <c r="O877" s="10">
        <f t="shared" si="200"/>
        <v>1.2</v>
      </c>
      <c r="P877" s="8" t="s">
        <v>2051</v>
      </c>
      <c r="Q877" s="14">
        <v>0.67</v>
      </c>
      <c r="R877" s="12">
        <f t="shared" si="208"/>
        <v>0.67</v>
      </c>
      <c r="S877" s="12">
        <f t="shared" si="201"/>
        <v>0.67</v>
      </c>
    </row>
    <row r="878" spans="1:19" x14ac:dyDescent="0.35">
      <c r="A878" s="8" t="s">
        <v>1774</v>
      </c>
      <c r="B878" s="8" t="s">
        <v>2042</v>
      </c>
      <c r="C878" s="8" t="s">
        <v>22</v>
      </c>
      <c r="D878" s="8" t="str">
        <f t="shared" si="207"/>
        <v>Female</v>
      </c>
      <c r="E878" s="8">
        <v>30</v>
      </c>
      <c r="F878" s="8">
        <f t="shared" si="197"/>
        <v>30</v>
      </c>
      <c r="G878" s="8" t="s">
        <v>71</v>
      </c>
      <c r="H878" s="8" t="s">
        <v>72</v>
      </c>
      <c r="I878" s="8" t="s">
        <v>10</v>
      </c>
      <c r="J878" s="8">
        <v>6</v>
      </c>
      <c r="K878" s="8">
        <f t="shared" si="198"/>
        <v>6</v>
      </c>
      <c r="L878" s="8">
        <v>75</v>
      </c>
      <c r="M878" s="9">
        <f t="shared" si="199"/>
        <v>75</v>
      </c>
      <c r="N878" s="8">
        <v>0</v>
      </c>
      <c r="O878" s="11">
        <f t="shared" si="200"/>
        <v>0</v>
      </c>
      <c r="P878" s="8" t="s">
        <v>2050</v>
      </c>
      <c r="Q878" s="14">
        <v>0.8</v>
      </c>
      <c r="R878" s="12">
        <f t="shared" si="208"/>
        <v>0.8</v>
      </c>
      <c r="S878" s="12">
        <f t="shared" si="201"/>
        <v>0.8</v>
      </c>
    </row>
    <row r="879" spans="1:19" x14ac:dyDescent="0.35">
      <c r="A879" s="8" t="s">
        <v>1775</v>
      </c>
      <c r="B879" s="8" t="s">
        <v>1776</v>
      </c>
      <c r="C879" s="8" t="s">
        <v>75</v>
      </c>
      <c r="D879" s="8" t="str">
        <f t="shared" si="207"/>
        <v>Male</v>
      </c>
      <c r="E879" s="8">
        <v>51</v>
      </c>
      <c r="F879" s="8">
        <f t="shared" si="197"/>
        <v>51</v>
      </c>
      <c r="G879" s="8" t="s">
        <v>8</v>
      </c>
      <c r="H879" s="8" t="s">
        <v>9</v>
      </c>
      <c r="I879" s="8" t="s">
        <v>16</v>
      </c>
      <c r="J879" s="8">
        <v>21</v>
      </c>
      <c r="K879" s="8">
        <f t="shared" si="198"/>
        <v>21</v>
      </c>
      <c r="L879" s="8">
        <v>20</v>
      </c>
      <c r="M879" s="9">
        <f t="shared" si="199"/>
        <v>20</v>
      </c>
      <c r="O879" s="10">
        <f t="shared" si="200"/>
        <v>2.5125695216907653</v>
      </c>
      <c r="P879" s="8" t="s">
        <v>2051</v>
      </c>
      <c r="Q879" s="13"/>
      <c r="S879" s="12">
        <f t="shared" si="201"/>
        <v>0.79269417475728277</v>
      </c>
    </row>
    <row r="880" spans="1:19" x14ac:dyDescent="0.35">
      <c r="A880" s="8" t="s">
        <v>1777</v>
      </c>
      <c r="B880" s="8" t="s">
        <v>1778</v>
      </c>
      <c r="C880" s="8" t="s">
        <v>75</v>
      </c>
      <c r="D880" s="8" t="str">
        <f t="shared" si="207"/>
        <v>Male</v>
      </c>
      <c r="E880" s="8">
        <v>46</v>
      </c>
      <c r="F880" s="8">
        <f t="shared" si="197"/>
        <v>46</v>
      </c>
      <c r="G880" s="8" t="s">
        <v>38</v>
      </c>
      <c r="H880" s="8" t="s">
        <v>9</v>
      </c>
      <c r="I880" s="8" t="s">
        <v>52</v>
      </c>
      <c r="J880" s="8">
        <v>24</v>
      </c>
      <c r="K880" s="8">
        <f t="shared" si="198"/>
        <v>24</v>
      </c>
      <c r="L880" s="8">
        <v>40</v>
      </c>
      <c r="M880" s="9">
        <f t="shared" si="199"/>
        <v>40</v>
      </c>
      <c r="N880" s="8">
        <v>3.3</v>
      </c>
      <c r="O880" s="10">
        <f t="shared" si="200"/>
        <v>3.3</v>
      </c>
      <c r="P880" s="8" t="s">
        <v>2051</v>
      </c>
      <c r="Q880" s="14">
        <v>0.87</v>
      </c>
      <c r="R880" s="12">
        <f>Q880</f>
        <v>0.87</v>
      </c>
      <c r="S880" s="12">
        <f t="shared" si="201"/>
        <v>0.87</v>
      </c>
    </row>
    <row r="881" spans="1:19" x14ac:dyDescent="0.35">
      <c r="A881" s="8" t="s">
        <v>1779</v>
      </c>
      <c r="B881" s="8" t="s">
        <v>2043</v>
      </c>
      <c r="C881" s="8" t="s">
        <v>7</v>
      </c>
      <c r="D881" s="8" t="str">
        <f t="shared" si="207"/>
        <v>Female</v>
      </c>
      <c r="E881" s="8">
        <v>25</v>
      </c>
      <c r="F881" s="8">
        <f t="shared" si="197"/>
        <v>25</v>
      </c>
      <c r="G881" s="8" t="s">
        <v>88</v>
      </c>
      <c r="H881" s="8" t="s">
        <v>89</v>
      </c>
      <c r="I881" s="8" t="s">
        <v>27</v>
      </c>
      <c r="J881" s="8">
        <v>6</v>
      </c>
      <c r="K881" s="8">
        <f t="shared" si="198"/>
        <v>6</v>
      </c>
      <c r="L881" s="8">
        <v>20</v>
      </c>
      <c r="M881" s="9">
        <f t="shared" si="199"/>
        <v>20</v>
      </c>
      <c r="N881" s="8">
        <v>2.1</v>
      </c>
      <c r="O881" s="10">
        <f t="shared" si="200"/>
        <v>2.1</v>
      </c>
      <c r="P881" s="8" t="s">
        <v>2050</v>
      </c>
      <c r="Q881" s="13"/>
      <c r="S881" s="12">
        <f t="shared" si="201"/>
        <v>0.79269417475728277</v>
      </c>
    </row>
    <row r="882" spans="1:19" x14ac:dyDescent="0.35">
      <c r="A882" s="8" t="s">
        <v>1780</v>
      </c>
      <c r="B882" s="8" t="s">
        <v>1781</v>
      </c>
      <c r="C882" s="8" t="s">
        <v>13</v>
      </c>
      <c r="D882" s="8" t="str">
        <f t="shared" si="207"/>
        <v>Male</v>
      </c>
      <c r="E882" s="8">
        <v>53</v>
      </c>
      <c r="F882" s="8">
        <f t="shared" si="197"/>
        <v>53</v>
      </c>
      <c r="G882" s="8" t="s">
        <v>25</v>
      </c>
      <c r="H882" s="8" t="s">
        <v>26</v>
      </c>
      <c r="I882" s="8" t="s">
        <v>20</v>
      </c>
      <c r="J882" s="8">
        <v>32</v>
      </c>
      <c r="K882" s="8">
        <f t="shared" si="198"/>
        <v>32</v>
      </c>
      <c r="L882" s="8">
        <v>50</v>
      </c>
      <c r="M882" s="9">
        <f t="shared" si="199"/>
        <v>50</v>
      </c>
      <c r="O882" s="10">
        <f t="shared" si="200"/>
        <v>2.5125695216907653</v>
      </c>
      <c r="P882" s="8" t="s">
        <v>2051</v>
      </c>
      <c r="Q882" s="13"/>
      <c r="S882" s="12">
        <f t="shared" si="201"/>
        <v>0.79269417475728277</v>
      </c>
    </row>
    <row r="883" spans="1:19" x14ac:dyDescent="0.35">
      <c r="A883" s="8" t="s">
        <v>1782</v>
      </c>
      <c r="B883" s="8" t="s">
        <v>1783</v>
      </c>
      <c r="C883" s="8" t="s">
        <v>7</v>
      </c>
      <c r="D883" s="8" t="str">
        <f t="shared" si="207"/>
        <v>Female</v>
      </c>
      <c r="E883" s="8">
        <v>50</v>
      </c>
      <c r="F883" s="8">
        <f t="shared" si="197"/>
        <v>50</v>
      </c>
      <c r="G883" s="8" t="s">
        <v>114</v>
      </c>
      <c r="H883" s="8" t="s">
        <v>115</v>
      </c>
      <c r="I883" s="8" t="s">
        <v>10</v>
      </c>
      <c r="J883" s="8">
        <v>31</v>
      </c>
      <c r="K883" s="8">
        <f t="shared" si="198"/>
        <v>31</v>
      </c>
      <c r="L883" s="8">
        <v>100</v>
      </c>
      <c r="M883" s="9">
        <f t="shared" si="199"/>
        <v>100</v>
      </c>
      <c r="N883" s="8">
        <v>2.9</v>
      </c>
      <c r="O883" s="10">
        <f t="shared" si="200"/>
        <v>2.9</v>
      </c>
      <c r="P883" s="8" t="s">
        <v>2051</v>
      </c>
      <c r="Q883" s="14">
        <v>0.89</v>
      </c>
      <c r="R883" s="12">
        <f t="shared" ref="R883:R890" si="209">Q883</f>
        <v>0.89</v>
      </c>
      <c r="S883" s="12">
        <f t="shared" si="201"/>
        <v>0.89</v>
      </c>
    </row>
    <row r="884" spans="1:19" x14ac:dyDescent="0.35">
      <c r="A884" s="8" t="s">
        <v>1784</v>
      </c>
      <c r="B884" s="8" t="s">
        <v>1785</v>
      </c>
      <c r="C884" s="8" t="s">
        <v>13</v>
      </c>
      <c r="D884" s="8" t="str">
        <f t="shared" si="207"/>
        <v>Male</v>
      </c>
      <c r="E884" s="8">
        <v>45</v>
      </c>
      <c r="F884" s="8">
        <f t="shared" si="197"/>
        <v>45</v>
      </c>
      <c r="G884" s="8" t="s">
        <v>88</v>
      </c>
      <c r="H884" s="8" t="s">
        <v>89</v>
      </c>
      <c r="I884" s="8" t="s">
        <v>27</v>
      </c>
      <c r="J884" s="13"/>
      <c r="K884" s="8">
        <f t="shared" si="198"/>
        <v>9</v>
      </c>
      <c r="L884" s="8">
        <v>20</v>
      </c>
      <c r="M884" s="9">
        <f t="shared" si="199"/>
        <v>20</v>
      </c>
      <c r="N884" s="8">
        <v>3.3</v>
      </c>
      <c r="O884" s="10">
        <f t="shared" si="200"/>
        <v>3.3</v>
      </c>
      <c r="P884" s="8" t="s">
        <v>2051</v>
      </c>
      <c r="Q884" s="14">
        <v>0.93</v>
      </c>
      <c r="R884" s="12">
        <f t="shared" si="209"/>
        <v>0.93</v>
      </c>
      <c r="S884" s="12">
        <f t="shared" si="201"/>
        <v>0.93</v>
      </c>
    </row>
    <row r="885" spans="1:19" x14ac:dyDescent="0.35">
      <c r="A885" s="8" t="s">
        <v>1786</v>
      </c>
      <c r="B885" s="8" t="s">
        <v>1787</v>
      </c>
      <c r="C885" s="8" t="s">
        <v>19</v>
      </c>
      <c r="D885" s="8" t="str">
        <f t="shared" si="207"/>
        <v>Female</v>
      </c>
      <c r="E885" s="8">
        <v>48</v>
      </c>
      <c r="F885" s="8">
        <f t="shared" si="197"/>
        <v>48</v>
      </c>
      <c r="G885" s="8" t="s">
        <v>103</v>
      </c>
      <c r="H885" s="8" t="s">
        <v>9</v>
      </c>
      <c r="I885" s="8" t="s">
        <v>56</v>
      </c>
      <c r="J885" s="8">
        <v>24</v>
      </c>
      <c r="K885" s="8">
        <f t="shared" si="198"/>
        <v>24</v>
      </c>
      <c r="L885" s="8">
        <v>100</v>
      </c>
      <c r="M885" s="9">
        <f t="shared" si="199"/>
        <v>100</v>
      </c>
      <c r="N885" s="8">
        <v>4.8</v>
      </c>
      <c r="O885" s="10">
        <f t="shared" si="200"/>
        <v>4.8</v>
      </c>
      <c r="P885" s="8" t="s">
        <v>2051</v>
      </c>
      <c r="Q885" s="14">
        <v>0.84</v>
      </c>
      <c r="R885" s="12">
        <f t="shared" si="209"/>
        <v>0.84</v>
      </c>
      <c r="S885" s="12">
        <f t="shared" si="201"/>
        <v>0.84</v>
      </c>
    </row>
    <row r="886" spans="1:19" x14ac:dyDescent="0.35">
      <c r="A886" s="8" t="s">
        <v>1788</v>
      </c>
      <c r="B886" s="8" t="s">
        <v>1789</v>
      </c>
      <c r="C886" s="8" t="s">
        <v>41</v>
      </c>
      <c r="D886" s="8" t="str">
        <f t="shared" si="207"/>
        <v>Male</v>
      </c>
      <c r="E886" s="8">
        <v>30</v>
      </c>
      <c r="F886" s="8">
        <f t="shared" si="197"/>
        <v>30</v>
      </c>
      <c r="G886" s="8" t="s">
        <v>31</v>
      </c>
      <c r="H886" s="8" t="s">
        <v>32</v>
      </c>
      <c r="I886" s="8" t="s">
        <v>67</v>
      </c>
      <c r="J886" s="13"/>
      <c r="K886" s="8">
        <f t="shared" si="198"/>
        <v>9</v>
      </c>
      <c r="L886" s="8">
        <v>100</v>
      </c>
      <c r="M886" s="9">
        <f t="shared" si="199"/>
        <v>100</v>
      </c>
      <c r="N886" s="8">
        <v>4.5</v>
      </c>
      <c r="O886" s="10">
        <f t="shared" si="200"/>
        <v>4.5</v>
      </c>
      <c r="P886" s="13" t="s">
        <v>2050</v>
      </c>
      <c r="Q886" s="14">
        <v>0.78</v>
      </c>
      <c r="R886" s="12">
        <f t="shared" si="209"/>
        <v>0.78</v>
      </c>
      <c r="S886" s="12">
        <f t="shared" si="201"/>
        <v>0.78</v>
      </c>
    </row>
    <row r="887" spans="1:19" x14ac:dyDescent="0.35">
      <c r="A887" s="8" t="s">
        <v>1790</v>
      </c>
      <c r="B887" s="8" t="s">
        <v>533</v>
      </c>
      <c r="C887" s="8" t="s">
        <v>19</v>
      </c>
      <c r="D887" s="8" t="str">
        <f t="shared" si="207"/>
        <v>Female</v>
      </c>
      <c r="E887" s="8">
        <v>33</v>
      </c>
      <c r="F887" s="8">
        <f t="shared" si="197"/>
        <v>33</v>
      </c>
      <c r="G887" s="8" t="s">
        <v>25</v>
      </c>
      <c r="H887" s="8" t="s">
        <v>26</v>
      </c>
      <c r="I887" s="8" t="s">
        <v>52</v>
      </c>
      <c r="J887" s="8">
        <v>6</v>
      </c>
      <c r="K887" s="8">
        <f t="shared" si="198"/>
        <v>6</v>
      </c>
      <c r="L887" s="8">
        <v>50</v>
      </c>
      <c r="M887" s="9">
        <f t="shared" si="199"/>
        <v>50</v>
      </c>
      <c r="N887" s="8">
        <v>3.1</v>
      </c>
      <c r="O887" s="10">
        <f t="shared" si="200"/>
        <v>3.1</v>
      </c>
      <c r="P887" s="8" t="s">
        <v>2050</v>
      </c>
      <c r="Q887" s="14">
        <v>0.9</v>
      </c>
      <c r="R887" s="12">
        <f t="shared" si="209"/>
        <v>0.9</v>
      </c>
      <c r="S887" s="12">
        <f t="shared" si="201"/>
        <v>0.9</v>
      </c>
    </row>
    <row r="888" spans="1:19" x14ac:dyDescent="0.35">
      <c r="A888" s="8" t="s">
        <v>1791</v>
      </c>
      <c r="B888" s="8" t="s">
        <v>1792</v>
      </c>
      <c r="C888" s="8" t="s">
        <v>19</v>
      </c>
      <c r="D888" s="8" t="str">
        <f t="shared" si="207"/>
        <v>Female</v>
      </c>
      <c r="E888" s="8">
        <v>50</v>
      </c>
      <c r="F888" s="8">
        <f t="shared" si="197"/>
        <v>50</v>
      </c>
      <c r="G888" s="8" t="s">
        <v>46</v>
      </c>
      <c r="H888" s="8" t="s">
        <v>9</v>
      </c>
      <c r="I888" s="8" t="s">
        <v>67</v>
      </c>
      <c r="J888" s="8">
        <v>11</v>
      </c>
      <c r="K888" s="8">
        <f t="shared" si="198"/>
        <v>11</v>
      </c>
      <c r="L888" s="13"/>
      <c r="M888" s="9">
        <f t="shared" si="199"/>
        <v>40</v>
      </c>
      <c r="N888" s="8">
        <v>4.9000000000000004</v>
      </c>
      <c r="O888" s="10">
        <f t="shared" si="200"/>
        <v>4.9000000000000004</v>
      </c>
      <c r="P888" s="8" t="s">
        <v>2051</v>
      </c>
      <c r="Q888" s="14">
        <v>0.88</v>
      </c>
      <c r="R888" s="12">
        <f t="shared" si="209"/>
        <v>0.88</v>
      </c>
      <c r="S888" s="12">
        <f t="shared" si="201"/>
        <v>0.88</v>
      </c>
    </row>
    <row r="889" spans="1:19" x14ac:dyDescent="0.35">
      <c r="A889" s="8" t="s">
        <v>1793</v>
      </c>
      <c r="B889" s="8" t="s">
        <v>1794</v>
      </c>
      <c r="C889" s="8" t="s">
        <v>55</v>
      </c>
      <c r="D889" s="8" t="str">
        <f t="shared" si="207"/>
        <v>Female</v>
      </c>
      <c r="E889" s="8">
        <v>24</v>
      </c>
      <c r="F889" s="8">
        <f t="shared" si="197"/>
        <v>24</v>
      </c>
      <c r="G889" s="8" t="s">
        <v>31</v>
      </c>
      <c r="H889" s="8" t="s">
        <v>32</v>
      </c>
      <c r="I889" s="8" t="s">
        <v>33</v>
      </c>
      <c r="J889" s="13"/>
      <c r="K889" s="8">
        <f t="shared" si="198"/>
        <v>9</v>
      </c>
      <c r="L889" s="8">
        <v>20</v>
      </c>
      <c r="M889" s="9">
        <f t="shared" si="199"/>
        <v>20</v>
      </c>
      <c r="N889" s="8">
        <v>0</v>
      </c>
      <c r="O889" s="11">
        <f t="shared" si="200"/>
        <v>0</v>
      </c>
      <c r="P889" s="8" t="s">
        <v>2050</v>
      </c>
      <c r="Q889" s="14">
        <v>0.76</v>
      </c>
      <c r="R889" s="12">
        <f t="shared" si="209"/>
        <v>0.76</v>
      </c>
      <c r="S889" s="12">
        <f t="shared" si="201"/>
        <v>0.76</v>
      </c>
    </row>
    <row r="890" spans="1:19" x14ac:dyDescent="0.35">
      <c r="A890" s="8" t="s">
        <v>1795</v>
      </c>
      <c r="B890" s="8" t="s">
        <v>1796</v>
      </c>
      <c r="C890" s="8" t="s">
        <v>13</v>
      </c>
      <c r="D890" s="8" t="str">
        <f t="shared" si="207"/>
        <v>Male</v>
      </c>
      <c r="E890" s="8">
        <v>38</v>
      </c>
      <c r="F890" s="8">
        <f t="shared" si="197"/>
        <v>38</v>
      </c>
      <c r="G890" s="8" t="s">
        <v>2</v>
      </c>
      <c r="H890" s="8" t="s">
        <v>3</v>
      </c>
      <c r="I890" s="8" t="s">
        <v>20</v>
      </c>
      <c r="J890" s="8">
        <v>14</v>
      </c>
      <c r="K890" s="8">
        <f t="shared" si="198"/>
        <v>14</v>
      </c>
      <c r="L890" s="8">
        <v>75</v>
      </c>
      <c r="M890" s="9">
        <f t="shared" si="199"/>
        <v>75</v>
      </c>
      <c r="N890" s="8">
        <v>1.5</v>
      </c>
      <c r="O890" s="10">
        <f t="shared" si="200"/>
        <v>1.5</v>
      </c>
      <c r="P890" s="8" t="s">
        <v>2050</v>
      </c>
      <c r="Q890" s="14">
        <v>0.62</v>
      </c>
      <c r="R890" s="12">
        <f t="shared" si="209"/>
        <v>0.62</v>
      </c>
      <c r="S890" s="12">
        <f t="shared" si="201"/>
        <v>0.62</v>
      </c>
    </row>
    <row r="891" spans="1:19" x14ac:dyDescent="0.35">
      <c r="A891" s="8" t="s">
        <v>1797</v>
      </c>
      <c r="B891" s="8" t="s">
        <v>1798</v>
      </c>
      <c r="C891" s="8" t="s">
        <v>41</v>
      </c>
      <c r="D891" s="8" t="str">
        <f t="shared" si="207"/>
        <v>Male</v>
      </c>
      <c r="E891" s="8">
        <v>56</v>
      </c>
      <c r="F891" s="8">
        <f t="shared" si="197"/>
        <v>56</v>
      </c>
      <c r="G891" s="8" t="s">
        <v>63</v>
      </c>
      <c r="H891" s="8" t="s">
        <v>64</v>
      </c>
      <c r="I891" s="8" t="s">
        <v>67</v>
      </c>
      <c r="J891" s="8">
        <v>2</v>
      </c>
      <c r="K891" s="8">
        <f t="shared" si="198"/>
        <v>2</v>
      </c>
      <c r="L891" s="8">
        <v>75</v>
      </c>
      <c r="M891" s="9">
        <f t="shared" si="199"/>
        <v>75</v>
      </c>
      <c r="N891" s="8">
        <v>2.4</v>
      </c>
      <c r="O891" s="10">
        <f t="shared" si="200"/>
        <v>2.4</v>
      </c>
      <c r="P891" s="8" t="s">
        <v>2050</v>
      </c>
      <c r="Q891" s="13"/>
      <c r="S891" s="12">
        <f t="shared" si="201"/>
        <v>0.79269417475728277</v>
      </c>
    </row>
    <row r="892" spans="1:19" x14ac:dyDescent="0.35">
      <c r="A892" s="8" t="s">
        <v>1799</v>
      </c>
      <c r="B892" s="8" t="s">
        <v>1800</v>
      </c>
      <c r="C892" s="8" t="s">
        <v>1</v>
      </c>
      <c r="D892" s="8" t="str">
        <f t="shared" si="207"/>
        <v>Female</v>
      </c>
      <c r="E892" s="8">
        <v>41</v>
      </c>
      <c r="F892" s="8">
        <f t="shared" si="197"/>
        <v>41</v>
      </c>
      <c r="G892" s="8" t="s">
        <v>99</v>
      </c>
      <c r="H892" s="8" t="s">
        <v>100</v>
      </c>
      <c r="I892" s="8" t="s">
        <v>67</v>
      </c>
      <c r="J892" s="8">
        <v>2</v>
      </c>
      <c r="K892" s="8">
        <f t="shared" si="198"/>
        <v>2</v>
      </c>
      <c r="L892" s="8">
        <v>100</v>
      </c>
      <c r="M892" s="9">
        <f t="shared" si="199"/>
        <v>100</v>
      </c>
      <c r="N892" s="8">
        <v>4.5</v>
      </c>
      <c r="O892" s="10">
        <f t="shared" si="200"/>
        <v>4.5</v>
      </c>
      <c r="P892" s="8" t="s">
        <v>2050</v>
      </c>
      <c r="Q892" s="8">
        <v>75</v>
      </c>
      <c r="R892" s="12">
        <v>0.75</v>
      </c>
      <c r="S892" s="12">
        <f t="shared" si="201"/>
        <v>0.75</v>
      </c>
    </row>
    <row r="893" spans="1:19" x14ac:dyDescent="0.35">
      <c r="A893" s="8" t="s">
        <v>1801</v>
      </c>
      <c r="B893" s="8" t="s">
        <v>1802</v>
      </c>
      <c r="C893" s="8" t="s">
        <v>75</v>
      </c>
      <c r="D893" s="8" t="str">
        <f t="shared" si="207"/>
        <v>Male</v>
      </c>
      <c r="E893" s="13"/>
      <c r="F893" s="8">
        <f t="shared" si="197"/>
        <v>41</v>
      </c>
      <c r="G893" s="8" t="s">
        <v>2</v>
      </c>
      <c r="H893" s="8" t="s">
        <v>3</v>
      </c>
      <c r="I893" s="8" t="s">
        <v>52</v>
      </c>
      <c r="J893" s="8">
        <v>11</v>
      </c>
      <c r="K893" s="8">
        <f t="shared" si="198"/>
        <v>11</v>
      </c>
      <c r="L893" s="8">
        <v>100</v>
      </c>
      <c r="M893" s="9">
        <f t="shared" si="199"/>
        <v>100</v>
      </c>
      <c r="N893" s="8">
        <v>2.5</v>
      </c>
      <c r="O893" s="10">
        <f t="shared" si="200"/>
        <v>2.5</v>
      </c>
      <c r="P893" s="8" t="s">
        <v>2051</v>
      </c>
      <c r="Q893" s="8">
        <v>80</v>
      </c>
      <c r="R893" s="12">
        <v>0.8</v>
      </c>
      <c r="S893" s="12">
        <f t="shared" si="201"/>
        <v>0.8</v>
      </c>
    </row>
    <row r="894" spans="1:19" x14ac:dyDescent="0.35">
      <c r="A894" s="8" t="s">
        <v>1803</v>
      </c>
      <c r="B894" s="8" t="s">
        <v>1804</v>
      </c>
      <c r="C894" s="8" t="s">
        <v>1</v>
      </c>
      <c r="D894" s="8" t="str">
        <f t="shared" si="207"/>
        <v>Female</v>
      </c>
      <c r="E894" s="8">
        <v>42</v>
      </c>
      <c r="F894" s="8">
        <f t="shared" si="197"/>
        <v>42</v>
      </c>
      <c r="G894" s="8" t="s">
        <v>14</v>
      </c>
      <c r="H894" s="8" t="s">
        <v>15</v>
      </c>
      <c r="I894" s="8" t="s">
        <v>16</v>
      </c>
      <c r="J894" s="8">
        <v>13</v>
      </c>
      <c r="K894" s="8">
        <f t="shared" si="198"/>
        <v>13</v>
      </c>
      <c r="L894" s="8">
        <v>30</v>
      </c>
      <c r="M894" s="9">
        <f t="shared" si="199"/>
        <v>30</v>
      </c>
      <c r="N894" s="8">
        <v>3.3</v>
      </c>
      <c r="O894" s="10">
        <f t="shared" si="200"/>
        <v>3.3</v>
      </c>
      <c r="P894" s="13" t="s">
        <v>2050</v>
      </c>
      <c r="Q894" s="14">
        <v>0.63</v>
      </c>
      <c r="R894" s="12">
        <f t="shared" ref="R894:R895" si="210">Q894</f>
        <v>0.63</v>
      </c>
      <c r="S894" s="12">
        <f t="shared" si="201"/>
        <v>0.63</v>
      </c>
    </row>
    <row r="895" spans="1:19" x14ac:dyDescent="0.35">
      <c r="A895" s="8" t="s">
        <v>1805</v>
      </c>
      <c r="B895" s="8" t="s">
        <v>1806</v>
      </c>
      <c r="C895" s="8" t="s">
        <v>75</v>
      </c>
      <c r="D895" s="8" t="str">
        <f t="shared" si="207"/>
        <v>Male</v>
      </c>
      <c r="E895" s="8">
        <v>26</v>
      </c>
      <c r="F895" s="8">
        <f t="shared" si="197"/>
        <v>26</v>
      </c>
      <c r="G895" s="8" t="s">
        <v>71</v>
      </c>
      <c r="H895" s="8" t="s">
        <v>72</v>
      </c>
      <c r="I895" s="8" t="s">
        <v>4</v>
      </c>
      <c r="J895" s="8">
        <v>7</v>
      </c>
      <c r="K895" s="8">
        <f t="shared" si="198"/>
        <v>7</v>
      </c>
      <c r="L895" s="8">
        <v>75</v>
      </c>
      <c r="M895" s="9">
        <f t="shared" si="199"/>
        <v>75</v>
      </c>
      <c r="N895" s="8">
        <v>3</v>
      </c>
      <c r="O895" s="10">
        <f t="shared" si="200"/>
        <v>3</v>
      </c>
      <c r="P895" s="13" t="s">
        <v>2050</v>
      </c>
      <c r="Q895" s="14">
        <v>0.84</v>
      </c>
      <c r="R895" s="12">
        <f t="shared" si="210"/>
        <v>0.84</v>
      </c>
      <c r="S895" s="12">
        <f t="shared" si="201"/>
        <v>0.84</v>
      </c>
    </row>
    <row r="896" spans="1:19" x14ac:dyDescent="0.35">
      <c r="A896" s="8" t="s">
        <v>1807</v>
      </c>
      <c r="B896" s="8" t="s">
        <v>1808</v>
      </c>
      <c r="C896" s="8" t="s">
        <v>1</v>
      </c>
      <c r="D896" s="8" t="str">
        <f t="shared" si="207"/>
        <v>Female</v>
      </c>
      <c r="E896" s="8">
        <v>44</v>
      </c>
      <c r="F896" s="8">
        <f t="shared" si="197"/>
        <v>44</v>
      </c>
      <c r="G896" s="8" t="s">
        <v>103</v>
      </c>
      <c r="H896" s="8" t="s">
        <v>9</v>
      </c>
      <c r="I896" s="8" t="s">
        <v>56</v>
      </c>
      <c r="J896" s="8">
        <v>25</v>
      </c>
      <c r="K896" s="8">
        <f t="shared" si="198"/>
        <v>25</v>
      </c>
      <c r="L896" s="8">
        <v>75</v>
      </c>
      <c r="M896" s="9">
        <f t="shared" si="199"/>
        <v>75</v>
      </c>
      <c r="N896" s="8">
        <v>2.7</v>
      </c>
      <c r="O896" s="10">
        <f t="shared" si="200"/>
        <v>2.7</v>
      </c>
      <c r="P896" s="8" t="s">
        <v>2051</v>
      </c>
      <c r="Q896" s="8">
        <v>78</v>
      </c>
      <c r="R896" s="12">
        <v>0.78</v>
      </c>
      <c r="S896" s="12">
        <f t="shared" si="201"/>
        <v>0.78</v>
      </c>
    </row>
    <row r="897" spans="1:19" x14ac:dyDescent="0.35">
      <c r="A897" s="8" t="s">
        <v>1809</v>
      </c>
      <c r="B897" s="8" t="s">
        <v>1810</v>
      </c>
      <c r="C897" s="8" t="s">
        <v>41</v>
      </c>
      <c r="D897" s="8" t="str">
        <f t="shared" si="207"/>
        <v>Male</v>
      </c>
      <c r="E897" s="8">
        <v>46</v>
      </c>
      <c r="F897" s="8">
        <f t="shared" si="197"/>
        <v>46</v>
      </c>
      <c r="G897" s="8" t="s">
        <v>103</v>
      </c>
      <c r="H897" s="8" t="s">
        <v>9</v>
      </c>
      <c r="I897" s="8" t="s">
        <v>16</v>
      </c>
      <c r="J897" s="8">
        <v>20</v>
      </c>
      <c r="K897" s="8">
        <f t="shared" si="198"/>
        <v>20</v>
      </c>
      <c r="L897" s="8">
        <v>20</v>
      </c>
      <c r="M897" s="9">
        <f t="shared" si="199"/>
        <v>20</v>
      </c>
      <c r="N897" s="8">
        <v>1.2</v>
      </c>
      <c r="O897" s="10">
        <f t="shared" si="200"/>
        <v>1.2</v>
      </c>
      <c r="P897" s="8" t="s">
        <v>2050</v>
      </c>
      <c r="Q897" s="14">
        <v>0.74</v>
      </c>
      <c r="R897" s="12">
        <f t="shared" ref="R897:R898" si="211">Q897</f>
        <v>0.74</v>
      </c>
      <c r="S897" s="12">
        <f t="shared" si="201"/>
        <v>0.74</v>
      </c>
    </row>
    <row r="898" spans="1:19" x14ac:dyDescent="0.35">
      <c r="A898" s="8" t="s">
        <v>1811</v>
      </c>
      <c r="B898" s="8" t="s">
        <v>1812</v>
      </c>
      <c r="C898" s="8" t="s">
        <v>22</v>
      </c>
      <c r="D898" s="8" t="str">
        <f t="shared" si="207"/>
        <v>Female</v>
      </c>
      <c r="E898" s="8">
        <v>36</v>
      </c>
      <c r="F898" s="8">
        <f t="shared" si="197"/>
        <v>36</v>
      </c>
      <c r="G898" s="8" t="s">
        <v>38</v>
      </c>
      <c r="H898" s="8" t="s">
        <v>9</v>
      </c>
      <c r="I898" s="8" t="s">
        <v>52</v>
      </c>
      <c r="J898" s="8">
        <v>8</v>
      </c>
      <c r="K898" s="8">
        <f t="shared" si="198"/>
        <v>8</v>
      </c>
      <c r="L898" s="8">
        <v>50</v>
      </c>
      <c r="M898" s="9">
        <f t="shared" si="199"/>
        <v>50</v>
      </c>
      <c r="N898" s="8">
        <v>4.3</v>
      </c>
      <c r="O898" s="10">
        <f t="shared" si="200"/>
        <v>4.3</v>
      </c>
      <c r="P898" s="8" t="s">
        <v>2050</v>
      </c>
      <c r="Q898" s="14">
        <v>0.9</v>
      </c>
      <c r="R898" s="12">
        <f t="shared" si="211"/>
        <v>0.9</v>
      </c>
      <c r="S898" s="12">
        <f t="shared" si="201"/>
        <v>0.9</v>
      </c>
    </row>
    <row r="899" spans="1:19" x14ac:dyDescent="0.35">
      <c r="A899" s="8" t="s">
        <v>1813</v>
      </c>
      <c r="B899" s="8" t="s">
        <v>1814</v>
      </c>
      <c r="C899" s="8" t="s">
        <v>75</v>
      </c>
      <c r="D899" s="8" t="str">
        <f t="shared" si="207"/>
        <v>Male</v>
      </c>
      <c r="E899" s="8">
        <v>26</v>
      </c>
      <c r="F899" s="8">
        <f t="shared" ref="F899:F962" si="212">IF(ISBLANK(E899),MEDIAN($E$2:$E$1001),E899)</f>
        <v>26</v>
      </c>
      <c r="G899" s="8" t="s">
        <v>25</v>
      </c>
      <c r="H899" s="8" t="s">
        <v>26</v>
      </c>
      <c r="I899" s="8" t="s">
        <v>27</v>
      </c>
      <c r="J899" s="8">
        <v>6</v>
      </c>
      <c r="K899" s="8">
        <f t="shared" ref="K899:K962" si="213">IF(ISBLANK(J899),MEDIAN($J$2:$J$1001),J899)</f>
        <v>6</v>
      </c>
      <c r="L899" s="8">
        <v>40</v>
      </c>
      <c r="M899" s="9">
        <f t="shared" ref="M899:M962" si="214">IF(ISBLANK(L899),MEDIAN($L$2:$L$1001),L899)</f>
        <v>40</v>
      </c>
      <c r="N899" s="8">
        <v>1.3</v>
      </c>
      <c r="O899" s="10">
        <f t="shared" ref="O899:O962" si="215">IF(ISBLANK(N899),AVERAGE($N$2:$N$1001),N899)</f>
        <v>1.3</v>
      </c>
      <c r="P899" s="8" t="s">
        <v>2050</v>
      </c>
      <c r="Q899" s="13"/>
      <c r="S899" s="12">
        <f t="shared" si="201"/>
        <v>0.79269417475728277</v>
      </c>
    </row>
    <row r="900" spans="1:19" x14ac:dyDescent="0.35">
      <c r="A900" s="8" t="s">
        <v>1815</v>
      </c>
      <c r="B900" s="8" t="s">
        <v>1816</v>
      </c>
      <c r="C900" s="8" t="s">
        <v>13</v>
      </c>
      <c r="D900" s="8" t="str">
        <f t="shared" si="207"/>
        <v>Male</v>
      </c>
      <c r="E900" s="8">
        <v>21</v>
      </c>
      <c r="F900" s="8">
        <f t="shared" si="212"/>
        <v>21</v>
      </c>
      <c r="G900" s="8" t="s">
        <v>14</v>
      </c>
      <c r="H900" s="8" t="s">
        <v>15</v>
      </c>
      <c r="I900" s="8" t="s">
        <v>52</v>
      </c>
      <c r="J900" s="8">
        <v>3</v>
      </c>
      <c r="K900" s="8">
        <f t="shared" si="213"/>
        <v>3</v>
      </c>
      <c r="L900" s="8">
        <v>50</v>
      </c>
      <c r="M900" s="9">
        <f t="shared" si="214"/>
        <v>50</v>
      </c>
      <c r="N900" s="8">
        <v>4.5999999999999996</v>
      </c>
      <c r="O900" s="10">
        <f t="shared" si="215"/>
        <v>4.5999999999999996</v>
      </c>
      <c r="P900" s="8" t="s">
        <v>2051</v>
      </c>
      <c r="Q900" s="13"/>
      <c r="S900" s="12">
        <f t="shared" ref="S900:S963" si="216">IF(ISBLANK(R900),AVERAGE($R$2:$R$1001),R900)</f>
        <v>0.79269417475728277</v>
      </c>
    </row>
    <row r="901" spans="1:19" x14ac:dyDescent="0.35">
      <c r="A901" s="8" t="s">
        <v>1817</v>
      </c>
      <c r="B901" s="8" t="s">
        <v>1818</v>
      </c>
      <c r="C901" s="8" t="s">
        <v>1</v>
      </c>
      <c r="D901" s="8" t="str">
        <f t="shared" si="207"/>
        <v>Female</v>
      </c>
      <c r="E901" s="8">
        <v>39</v>
      </c>
      <c r="F901" s="8">
        <f t="shared" si="212"/>
        <v>39</v>
      </c>
      <c r="G901" s="8" t="s">
        <v>31</v>
      </c>
      <c r="H901" s="8" t="s">
        <v>32</v>
      </c>
      <c r="I901" s="8" t="s">
        <v>52</v>
      </c>
      <c r="J901" s="8">
        <v>18</v>
      </c>
      <c r="K901" s="8">
        <f t="shared" si="213"/>
        <v>18</v>
      </c>
      <c r="L901" s="8">
        <v>50</v>
      </c>
      <c r="M901" s="9">
        <f t="shared" si="214"/>
        <v>50</v>
      </c>
      <c r="N901" s="8">
        <v>2.1</v>
      </c>
      <c r="O901" s="10">
        <f t="shared" si="215"/>
        <v>2.1</v>
      </c>
      <c r="P901" s="8" t="s">
        <v>2050</v>
      </c>
      <c r="Q901" s="8">
        <v>75</v>
      </c>
      <c r="R901" s="12">
        <v>0.75</v>
      </c>
      <c r="S901" s="12">
        <f t="shared" si="216"/>
        <v>0.75</v>
      </c>
    </row>
    <row r="902" spans="1:19" x14ac:dyDescent="0.35">
      <c r="A902" s="8" t="s">
        <v>1819</v>
      </c>
      <c r="B902" s="8" t="s">
        <v>1820</v>
      </c>
      <c r="C902" s="8" t="s">
        <v>55</v>
      </c>
      <c r="D902" s="8" t="str">
        <f t="shared" si="207"/>
        <v>Female</v>
      </c>
      <c r="E902" s="8">
        <v>37</v>
      </c>
      <c r="F902" s="8">
        <f t="shared" si="212"/>
        <v>37</v>
      </c>
      <c r="G902" s="8" t="s">
        <v>38</v>
      </c>
      <c r="H902" s="8" t="s">
        <v>9</v>
      </c>
      <c r="I902" s="8" t="s">
        <v>4</v>
      </c>
      <c r="J902" s="8">
        <v>18</v>
      </c>
      <c r="K902" s="8">
        <f t="shared" si="213"/>
        <v>18</v>
      </c>
      <c r="L902" s="8">
        <v>40</v>
      </c>
      <c r="M902" s="9">
        <f t="shared" si="214"/>
        <v>40</v>
      </c>
      <c r="N902" s="8">
        <v>4.5</v>
      </c>
      <c r="O902" s="10">
        <f t="shared" si="215"/>
        <v>4.5</v>
      </c>
      <c r="P902" s="8" t="s">
        <v>2050</v>
      </c>
      <c r="Q902" s="14">
        <v>0.72</v>
      </c>
      <c r="R902" s="12">
        <f t="shared" ref="R902:R903" si="217">Q902</f>
        <v>0.72</v>
      </c>
      <c r="S902" s="12">
        <f t="shared" si="216"/>
        <v>0.72</v>
      </c>
    </row>
    <row r="903" spans="1:19" x14ac:dyDescent="0.35">
      <c r="A903" s="8" t="s">
        <v>1821</v>
      </c>
      <c r="B903" s="8" t="s">
        <v>1822</v>
      </c>
      <c r="C903" s="8" t="s">
        <v>55</v>
      </c>
      <c r="D903" s="8" t="str">
        <f t="shared" si="207"/>
        <v>Female</v>
      </c>
      <c r="E903" s="8">
        <v>47</v>
      </c>
      <c r="F903" s="8">
        <f t="shared" si="212"/>
        <v>47</v>
      </c>
      <c r="G903" s="8" t="s">
        <v>99</v>
      </c>
      <c r="H903" s="8" t="s">
        <v>100</v>
      </c>
      <c r="I903" s="8" t="s">
        <v>52</v>
      </c>
      <c r="J903" s="8">
        <v>3</v>
      </c>
      <c r="K903" s="8">
        <f t="shared" si="213"/>
        <v>3</v>
      </c>
      <c r="L903" s="8">
        <v>40</v>
      </c>
      <c r="M903" s="9">
        <f t="shared" si="214"/>
        <v>40</v>
      </c>
      <c r="N903" s="8">
        <v>4.4000000000000004</v>
      </c>
      <c r="O903" s="10">
        <f t="shared" si="215"/>
        <v>4.4000000000000004</v>
      </c>
      <c r="P903" s="8" t="s">
        <v>2051</v>
      </c>
      <c r="Q903" s="14">
        <v>0.92</v>
      </c>
      <c r="R903" s="12">
        <f t="shared" si="217"/>
        <v>0.92</v>
      </c>
      <c r="S903" s="12">
        <f t="shared" si="216"/>
        <v>0.92</v>
      </c>
    </row>
    <row r="904" spans="1:19" x14ac:dyDescent="0.35">
      <c r="A904" s="8" t="s">
        <v>1823</v>
      </c>
      <c r="B904" s="8" t="s">
        <v>1824</v>
      </c>
      <c r="C904" s="8" t="s">
        <v>7</v>
      </c>
      <c r="D904" s="8" t="str">
        <f t="shared" si="207"/>
        <v>Female</v>
      </c>
      <c r="E904" s="8">
        <v>53</v>
      </c>
      <c r="F904" s="8">
        <f t="shared" si="212"/>
        <v>53</v>
      </c>
      <c r="G904" s="8" t="s">
        <v>99</v>
      </c>
      <c r="H904" s="8" t="s">
        <v>100</v>
      </c>
      <c r="I904" s="8" t="s">
        <v>16</v>
      </c>
      <c r="J904" s="8">
        <v>32</v>
      </c>
      <c r="K904" s="8">
        <f t="shared" si="213"/>
        <v>32</v>
      </c>
      <c r="L904" s="8">
        <v>20</v>
      </c>
      <c r="M904" s="9">
        <f t="shared" si="214"/>
        <v>20</v>
      </c>
      <c r="N904" s="8">
        <v>0</v>
      </c>
      <c r="O904" s="11">
        <f t="shared" si="215"/>
        <v>0</v>
      </c>
      <c r="P904" s="8" t="s">
        <v>2050</v>
      </c>
      <c r="Q904" s="13"/>
      <c r="S904" s="12">
        <f t="shared" si="216"/>
        <v>0.79269417475728277</v>
      </c>
    </row>
    <row r="905" spans="1:19" x14ac:dyDescent="0.35">
      <c r="A905" s="8" t="s">
        <v>1825</v>
      </c>
      <c r="B905" s="8" t="s">
        <v>1826</v>
      </c>
      <c r="C905" s="8" t="s">
        <v>22</v>
      </c>
      <c r="D905" s="8" t="str">
        <f t="shared" si="207"/>
        <v>Female</v>
      </c>
      <c r="E905" s="8">
        <v>53</v>
      </c>
      <c r="F905" s="8">
        <f t="shared" si="212"/>
        <v>53</v>
      </c>
      <c r="G905" s="8" t="s">
        <v>50</v>
      </c>
      <c r="H905" s="8" t="s">
        <v>51</v>
      </c>
      <c r="I905" s="8" t="s">
        <v>10</v>
      </c>
      <c r="J905" s="8">
        <v>19</v>
      </c>
      <c r="K905" s="8">
        <f t="shared" si="213"/>
        <v>19</v>
      </c>
      <c r="L905" s="8">
        <v>20</v>
      </c>
      <c r="M905" s="9">
        <f t="shared" si="214"/>
        <v>20</v>
      </c>
      <c r="N905" s="8">
        <v>1.3</v>
      </c>
      <c r="O905" s="10">
        <f t="shared" si="215"/>
        <v>1.3</v>
      </c>
      <c r="P905" s="8" t="s">
        <v>2050</v>
      </c>
      <c r="Q905" s="13"/>
      <c r="S905" s="12">
        <f t="shared" si="216"/>
        <v>0.79269417475728277</v>
      </c>
    </row>
    <row r="906" spans="1:19" x14ac:dyDescent="0.35">
      <c r="A906" s="8" t="s">
        <v>1827</v>
      </c>
      <c r="B906" s="8" t="s">
        <v>1828</v>
      </c>
      <c r="C906" s="8" t="s">
        <v>13</v>
      </c>
      <c r="D906" s="8" t="str">
        <f t="shared" si="207"/>
        <v>Male</v>
      </c>
      <c r="E906" s="8">
        <v>21</v>
      </c>
      <c r="F906" s="8">
        <f t="shared" si="212"/>
        <v>21</v>
      </c>
      <c r="G906" s="8" t="s">
        <v>71</v>
      </c>
      <c r="H906" s="8" t="s">
        <v>72</v>
      </c>
      <c r="I906" s="8" t="s">
        <v>33</v>
      </c>
      <c r="J906" s="8">
        <v>2</v>
      </c>
      <c r="K906" s="8">
        <f t="shared" si="213"/>
        <v>2</v>
      </c>
      <c r="L906" s="8">
        <v>50</v>
      </c>
      <c r="M906" s="9">
        <f t="shared" si="214"/>
        <v>50</v>
      </c>
      <c r="N906" s="8">
        <v>2.6</v>
      </c>
      <c r="O906" s="10">
        <f t="shared" si="215"/>
        <v>2.6</v>
      </c>
      <c r="P906" s="8" t="s">
        <v>2050</v>
      </c>
      <c r="Q906" s="14">
        <v>0.86</v>
      </c>
      <c r="R906" s="12">
        <f>Q906</f>
        <v>0.86</v>
      </c>
      <c r="S906" s="12">
        <f t="shared" si="216"/>
        <v>0.86</v>
      </c>
    </row>
    <row r="907" spans="1:19" x14ac:dyDescent="0.35">
      <c r="A907" s="8" t="s">
        <v>1829</v>
      </c>
      <c r="B907" s="8" t="s">
        <v>1830</v>
      </c>
      <c r="C907" s="8" t="s">
        <v>22</v>
      </c>
      <c r="D907" s="8" t="str">
        <f t="shared" si="207"/>
        <v>Female</v>
      </c>
      <c r="E907" s="8">
        <v>35</v>
      </c>
      <c r="F907" s="8">
        <f t="shared" si="212"/>
        <v>35</v>
      </c>
      <c r="G907" s="8" t="s">
        <v>46</v>
      </c>
      <c r="H907" s="8" t="s">
        <v>9</v>
      </c>
      <c r="I907" s="8" t="s">
        <v>4</v>
      </c>
      <c r="J907" s="8">
        <v>0</v>
      </c>
      <c r="K907" s="8">
        <f t="shared" si="213"/>
        <v>0</v>
      </c>
      <c r="L907" s="13"/>
      <c r="M907" s="9">
        <f t="shared" si="214"/>
        <v>40</v>
      </c>
      <c r="O907" s="10">
        <f t="shared" si="215"/>
        <v>2.5125695216907653</v>
      </c>
      <c r="P907" s="8" t="s">
        <v>2051</v>
      </c>
      <c r="Q907" s="8">
        <v>85</v>
      </c>
      <c r="R907" s="12">
        <v>0.85</v>
      </c>
      <c r="S907" s="12">
        <f t="shared" si="216"/>
        <v>0.85</v>
      </c>
    </row>
    <row r="908" spans="1:19" x14ac:dyDescent="0.35">
      <c r="A908" s="8" t="s">
        <v>1831</v>
      </c>
      <c r="B908" s="8" t="s">
        <v>1832</v>
      </c>
      <c r="C908" s="8" t="s">
        <v>75</v>
      </c>
      <c r="D908" s="8" t="str">
        <f t="shared" si="207"/>
        <v>Male</v>
      </c>
      <c r="E908" s="8">
        <v>31</v>
      </c>
      <c r="F908" s="8">
        <f t="shared" si="212"/>
        <v>31</v>
      </c>
      <c r="G908" s="8" t="s">
        <v>50</v>
      </c>
      <c r="H908" s="8" t="s">
        <v>51</v>
      </c>
      <c r="I908" s="8" t="s">
        <v>90</v>
      </c>
      <c r="J908" s="8">
        <v>13</v>
      </c>
      <c r="K908" s="8">
        <f t="shared" si="213"/>
        <v>13</v>
      </c>
      <c r="L908" s="8">
        <v>40</v>
      </c>
      <c r="M908" s="9">
        <f t="shared" si="214"/>
        <v>40</v>
      </c>
      <c r="N908" s="8">
        <v>1.2</v>
      </c>
      <c r="O908" s="10">
        <f t="shared" si="215"/>
        <v>1.2</v>
      </c>
      <c r="P908" s="8" t="s">
        <v>2050</v>
      </c>
      <c r="Q908" s="8">
        <v>62</v>
      </c>
      <c r="R908" s="12">
        <v>0.62</v>
      </c>
      <c r="S908" s="12">
        <f t="shared" si="216"/>
        <v>0.62</v>
      </c>
    </row>
    <row r="909" spans="1:19" x14ac:dyDescent="0.35">
      <c r="A909" s="8" t="s">
        <v>1833</v>
      </c>
      <c r="B909" s="8" t="s">
        <v>1834</v>
      </c>
      <c r="C909" s="8" t="s">
        <v>55</v>
      </c>
      <c r="D909" s="8" t="str">
        <f t="shared" si="207"/>
        <v>Female</v>
      </c>
      <c r="E909" s="8">
        <v>55</v>
      </c>
      <c r="F909" s="8">
        <f t="shared" si="212"/>
        <v>55</v>
      </c>
      <c r="G909" s="8" t="s">
        <v>88</v>
      </c>
      <c r="H909" s="8" t="s">
        <v>89</v>
      </c>
      <c r="I909" s="8" t="s">
        <v>27</v>
      </c>
      <c r="J909" s="8">
        <v>2</v>
      </c>
      <c r="K909" s="8">
        <f t="shared" si="213"/>
        <v>2</v>
      </c>
      <c r="L909" s="8">
        <v>30</v>
      </c>
      <c r="M909" s="9">
        <f t="shared" si="214"/>
        <v>30</v>
      </c>
      <c r="N909" s="8">
        <v>3.1</v>
      </c>
      <c r="O909" s="10">
        <f t="shared" si="215"/>
        <v>3.1</v>
      </c>
      <c r="P909" s="8" t="s">
        <v>2051</v>
      </c>
      <c r="Q909" s="14">
        <v>0.91</v>
      </c>
      <c r="R909" s="12">
        <f t="shared" ref="R909:R911" si="218">Q909</f>
        <v>0.91</v>
      </c>
      <c r="S909" s="12">
        <f t="shared" si="216"/>
        <v>0.91</v>
      </c>
    </row>
    <row r="910" spans="1:19" x14ac:dyDescent="0.35">
      <c r="A910" s="8" t="s">
        <v>1835</v>
      </c>
      <c r="B910" s="8" t="s">
        <v>1836</v>
      </c>
      <c r="C910" s="8" t="s">
        <v>1</v>
      </c>
      <c r="D910" s="8" t="str">
        <f t="shared" si="207"/>
        <v>Female</v>
      </c>
      <c r="E910" s="8">
        <v>59</v>
      </c>
      <c r="F910" s="8">
        <f t="shared" si="212"/>
        <v>59</v>
      </c>
      <c r="G910" s="8" t="s">
        <v>42</v>
      </c>
      <c r="H910" s="8" t="s">
        <v>43</v>
      </c>
      <c r="I910" s="8" t="s">
        <v>20</v>
      </c>
      <c r="J910" s="8">
        <v>11</v>
      </c>
      <c r="K910" s="8">
        <f t="shared" si="213"/>
        <v>11</v>
      </c>
      <c r="L910" s="8">
        <v>75</v>
      </c>
      <c r="M910" s="9">
        <f t="shared" si="214"/>
        <v>75</v>
      </c>
      <c r="N910" s="8">
        <v>2.2999999999999998</v>
      </c>
      <c r="O910" s="10">
        <f t="shared" si="215"/>
        <v>2.2999999999999998</v>
      </c>
      <c r="P910" s="8" t="s">
        <v>2051</v>
      </c>
      <c r="Q910" s="14">
        <v>0.8</v>
      </c>
      <c r="R910" s="12">
        <f t="shared" si="218"/>
        <v>0.8</v>
      </c>
      <c r="S910" s="12">
        <f t="shared" si="216"/>
        <v>0.8</v>
      </c>
    </row>
    <row r="911" spans="1:19" x14ac:dyDescent="0.35">
      <c r="A911" s="8" t="s">
        <v>1837</v>
      </c>
      <c r="B911" s="8" t="s">
        <v>1838</v>
      </c>
      <c r="C911" s="8" t="s">
        <v>41</v>
      </c>
      <c r="D911" s="8" t="str">
        <f t="shared" si="207"/>
        <v>Male</v>
      </c>
      <c r="E911" s="8">
        <v>59</v>
      </c>
      <c r="F911" s="8">
        <f t="shared" si="212"/>
        <v>59</v>
      </c>
      <c r="G911" s="8" t="s">
        <v>110</v>
      </c>
      <c r="H911" s="8" t="s">
        <v>111</v>
      </c>
      <c r="I911" s="8" t="s">
        <v>56</v>
      </c>
      <c r="J911" s="8">
        <v>17</v>
      </c>
      <c r="K911" s="8">
        <f t="shared" si="213"/>
        <v>17</v>
      </c>
      <c r="L911" s="8">
        <v>100</v>
      </c>
      <c r="M911" s="9">
        <f t="shared" si="214"/>
        <v>100</v>
      </c>
      <c r="N911" s="8">
        <v>4</v>
      </c>
      <c r="O911" s="10">
        <f t="shared" si="215"/>
        <v>4</v>
      </c>
      <c r="P911" s="8" t="s">
        <v>2050</v>
      </c>
      <c r="Q911" s="14">
        <v>0.72</v>
      </c>
      <c r="R911" s="12">
        <f t="shared" si="218"/>
        <v>0.72</v>
      </c>
      <c r="S911" s="12">
        <f t="shared" si="216"/>
        <v>0.72</v>
      </c>
    </row>
    <row r="912" spans="1:19" x14ac:dyDescent="0.35">
      <c r="A912" s="8" t="s">
        <v>1839</v>
      </c>
      <c r="B912" s="8" t="s">
        <v>1840</v>
      </c>
      <c r="C912" s="8" t="s">
        <v>70</v>
      </c>
      <c r="D912" s="8" t="str">
        <f t="shared" si="207"/>
        <v>Male</v>
      </c>
      <c r="E912" s="8">
        <v>47</v>
      </c>
      <c r="F912" s="8">
        <f t="shared" si="212"/>
        <v>47</v>
      </c>
      <c r="G912" s="8" t="s">
        <v>71</v>
      </c>
      <c r="H912" s="8" t="s">
        <v>72</v>
      </c>
      <c r="I912" s="8" t="s">
        <v>4</v>
      </c>
      <c r="J912" s="8">
        <v>10</v>
      </c>
      <c r="K912" s="8">
        <f t="shared" si="213"/>
        <v>10</v>
      </c>
      <c r="L912" s="8">
        <v>75</v>
      </c>
      <c r="M912" s="9">
        <f t="shared" si="214"/>
        <v>75</v>
      </c>
      <c r="N912" s="8">
        <v>1.9</v>
      </c>
      <c r="O912" s="10">
        <f t="shared" si="215"/>
        <v>1.9</v>
      </c>
      <c r="P912" s="13" t="s">
        <v>2050</v>
      </c>
      <c r="Q912" s="13"/>
      <c r="S912" s="12">
        <f t="shared" si="216"/>
        <v>0.79269417475728277</v>
      </c>
    </row>
    <row r="913" spans="1:19" x14ac:dyDescent="0.35">
      <c r="A913" s="8" t="s">
        <v>1841</v>
      </c>
      <c r="B913" s="8" t="s">
        <v>1842</v>
      </c>
      <c r="C913" s="8" t="s">
        <v>22</v>
      </c>
      <c r="D913" s="8" t="str">
        <f t="shared" si="207"/>
        <v>Female</v>
      </c>
      <c r="E913" s="8">
        <v>53</v>
      </c>
      <c r="F913" s="8">
        <f t="shared" si="212"/>
        <v>53</v>
      </c>
      <c r="G913" s="8" t="s">
        <v>128</v>
      </c>
      <c r="H913" s="8" t="s">
        <v>129</v>
      </c>
      <c r="I913" s="8" t="s">
        <v>90</v>
      </c>
      <c r="J913" s="8">
        <v>26</v>
      </c>
      <c r="K913" s="8">
        <f t="shared" si="213"/>
        <v>26</v>
      </c>
      <c r="L913" s="8">
        <v>75</v>
      </c>
      <c r="M913" s="9">
        <f t="shared" si="214"/>
        <v>75</v>
      </c>
      <c r="N913" s="8">
        <v>2.4</v>
      </c>
      <c r="O913" s="10">
        <f t="shared" si="215"/>
        <v>2.4</v>
      </c>
      <c r="P913" s="8" t="s">
        <v>2051</v>
      </c>
      <c r="Q913" s="13"/>
      <c r="S913" s="12">
        <f t="shared" si="216"/>
        <v>0.79269417475728277</v>
      </c>
    </row>
    <row r="914" spans="1:19" x14ac:dyDescent="0.35">
      <c r="A914" s="8" t="s">
        <v>1843</v>
      </c>
      <c r="B914" s="8" t="s">
        <v>486</v>
      </c>
      <c r="C914" s="8" t="s">
        <v>41</v>
      </c>
      <c r="D914" s="8" t="str">
        <f t="shared" si="207"/>
        <v>Male</v>
      </c>
      <c r="E914" s="8">
        <v>49</v>
      </c>
      <c r="F914" s="8">
        <f t="shared" si="212"/>
        <v>49</v>
      </c>
      <c r="G914" s="8" t="s">
        <v>128</v>
      </c>
      <c r="H914" s="8" t="s">
        <v>129</v>
      </c>
      <c r="I914" s="8" t="s">
        <v>33</v>
      </c>
      <c r="J914" s="13"/>
      <c r="K914" s="8">
        <f t="shared" si="213"/>
        <v>9</v>
      </c>
      <c r="L914" s="8">
        <v>30</v>
      </c>
      <c r="M914" s="9">
        <f t="shared" si="214"/>
        <v>30</v>
      </c>
      <c r="O914" s="10">
        <f t="shared" si="215"/>
        <v>2.5125695216907653</v>
      </c>
      <c r="P914" s="8" t="s">
        <v>2051</v>
      </c>
      <c r="Q914" s="14">
        <v>0.74</v>
      </c>
      <c r="R914" s="12">
        <f t="shared" ref="R914:R919" si="219">Q914</f>
        <v>0.74</v>
      </c>
      <c r="S914" s="12">
        <f t="shared" si="216"/>
        <v>0.74</v>
      </c>
    </row>
    <row r="915" spans="1:19" x14ac:dyDescent="0.35">
      <c r="A915" s="8" t="s">
        <v>1844</v>
      </c>
      <c r="B915" s="8" t="s">
        <v>1845</v>
      </c>
      <c r="C915" s="8" t="s">
        <v>1</v>
      </c>
      <c r="D915" s="8" t="str">
        <f t="shared" si="207"/>
        <v>Female</v>
      </c>
      <c r="E915" s="8">
        <v>50</v>
      </c>
      <c r="F915" s="8">
        <f t="shared" si="212"/>
        <v>50</v>
      </c>
      <c r="G915" s="8" t="s">
        <v>128</v>
      </c>
      <c r="H915" s="8" t="s">
        <v>129</v>
      </c>
      <c r="I915" s="8" t="s">
        <v>10</v>
      </c>
      <c r="J915" s="8">
        <v>8</v>
      </c>
      <c r="K915" s="8">
        <f t="shared" si="213"/>
        <v>8</v>
      </c>
      <c r="L915" s="8">
        <v>50</v>
      </c>
      <c r="M915" s="9">
        <f t="shared" si="214"/>
        <v>50</v>
      </c>
      <c r="N915" s="8">
        <v>3.7</v>
      </c>
      <c r="O915" s="10">
        <f t="shared" si="215"/>
        <v>3.7</v>
      </c>
      <c r="P915" s="8" t="s">
        <v>2051</v>
      </c>
      <c r="Q915" s="14">
        <v>0.82</v>
      </c>
      <c r="R915" s="12">
        <f t="shared" si="219"/>
        <v>0.82</v>
      </c>
      <c r="S915" s="12">
        <f t="shared" si="216"/>
        <v>0.82</v>
      </c>
    </row>
    <row r="916" spans="1:19" x14ac:dyDescent="0.35">
      <c r="A916" s="8" t="s">
        <v>1846</v>
      </c>
      <c r="B916" s="8" t="s">
        <v>1847</v>
      </c>
      <c r="C916" s="8" t="s">
        <v>22</v>
      </c>
      <c r="D916" s="8" t="str">
        <f t="shared" si="207"/>
        <v>Female</v>
      </c>
      <c r="E916" s="8">
        <v>59</v>
      </c>
      <c r="F916" s="8">
        <f t="shared" si="212"/>
        <v>59</v>
      </c>
      <c r="G916" s="8" t="s">
        <v>88</v>
      </c>
      <c r="H916" s="8" t="s">
        <v>89</v>
      </c>
      <c r="I916" s="8" t="s">
        <v>90</v>
      </c>
      <c r="J916" s="8">
        <v>22</v>
      </c>
      <c r="K916" s="8">
        <f t="shared" si="213"/>
        <v>22</v>
      </c>
      <c r="L916" s="8">
        <v>100</v>
      </c>
      <c r="M916" s="9">
        <f t="shared" si="214"/>
        <v>100</v>
      </c>
      <c r="N916" s="8">
        <v>1.1000000000000001</v>
      </c>
      <c r="O916" s="10">
        <f t="shared" si="215"/>
        <v>1.1000000000000001</v>
      </c>
      <c r="P916" s="8" t="s">
        <v>2050</v>
      </c>
      <c r="Q916" s="14">
        <v>0.85</v>
      </c>
      <c r="R916" s="12">
        <f t="shared" si="219"/>
        <v>0.85</v>
      </c>
      <c r="S916" s="12">
        <f t="shared" si="216"/>
        <v>0.85</v>
      </c>
    </row>
    <row r="917" spans="1:19" x14ac:dyDescent="0.35">
      <c r="A917" s="8" t="s">
        <v>1848</v>
      </c>
      <c r="B917" s="8" t="s">
        <v>1849</v>
      </c>
      <c r="C917" s="8" t="s">
        <v>70</v>
      </c>
      <c r="D917" s="8" t="str">
        <f t="shared" si="207"/>
        <v>Male</v>
      </c>
      <c r="E917" s="8">
        <v>33</v>
      </c>
      <c r="F917" s="8">
        <f t="shared" si="212"/>
        <v>33</v>
      </c>
      <c r="G917" s="8" t="s">
        <v>42</v>
      </c>
      <c r="H917" s="8" t="s">
        <v>43</v>
      </c>
      <c r="I917" s="8" t="s">
        <v>33</v>
      </c>
      <c r="J917" s="8">
        <v>8</v>
      </c>
      <c r="K917" s="8">
        <f t="shared" si="213"/>
        <v>8</v>
      </c>
      <c r="L917" s="8">
        <v>75</v>
      </c>
      <c r="M917" s="9">
        <f t="shared" si="214"/>
        <v>75</v>
      </c>
      <c r="N917" s="8">
        <v>2.2999999999999998</v>
      </c>
      <c r="O917" s="10">
        <f t="shared" si="215"/>
        <v>2.2999999999999998</v>
      </c>
      <c r="P917" s="8" t="s">
        <v>2051</v>
      </c>
      <c r="Q917" s="14">
        <v>0.68</v>
      </c>
      <c r="R917" s="12">
        <f t="shared" si="219"/>
        <v>0.68</v>
      </c>
      <c r="S917" s="12">
        <f t="shared" si="216"/>
        <v>0.68</v>
      </c>
    </row>
    <row r="918" spans="1:19" x14ac:dyDescent="0.35">
      <c r="A918" s="8" t="s">
        <v>1850</v>
      </c>
      <c r="B918" s="8" t="s">
        <v>1851</v>
      </c>
      <c r="C918" s="8" t="s">
        <v>1</v>
      </c>
      <c r="D918" s="8" t="str">
        <f t="shared" si="207"/>
        <v>Female</v>
      </c>
      <c r="E918" s="8">
        <v>45</v>
      </c>
      <c r="F918" s="8">
        <f t="shared" si="212"/>
        <v>45</v>
      </c>
      <c r="G918" s="8" t="s">
        <v>103</v>
      </c>
      <c r="H918" s="8" t="s">
        <v>9</v>
      </c>
      <c r="I918" s="8" t="s">
        <v>20</v>
      </c>
      <c r="J918" s="8">
        <v>22</v>
      </c>
      <c r="K918" s="8">
        <f t="shared" si="213"/>
        <v>22</v>
      </c>
      <c r="L918" s="8">
        <v>40</v>
      </c>
      <c r="M918" s="9">
        <f t="shared" si="214"/>
        <v>40</v>
      </c>
      <c r="N918" s="8">
        <v>3.7</v>
      </c>
      <c r="O918" s="10">
        <f t="shared" si="215"/>
        <v>3.7</v>
      </c>
      <c r="P918" s="8" t="s">
        <v>2051</v>
      </c>
      <c r="Q918" s="14">
        <v>0.99</v>
      </c>
      <c r="R918" s="12">
        <f t="shared" si="219"/>
        <v>0.99</v>
      </c>
      <c r="S918" s="12">
        <f t="shared" si="216"/>
        <v>0.99</v>
      </c>
    </row>
    <row r="919" spans="1:19" x14ac:dyDescent="0.35">
      <c r="A919" s="8" t="s">
        <v>1852</v>
      </c>
      <c r="B919" s="8" t="s">
        <v>1853</v>
      </c>
      <c r="C919" s="8" t="s">
        <v>22</v>
      </c>
      <c r="D919" s="8" t="str">
        <f t="shared" si="207"/>
        <v>Female</v>
      </c>
      <c r="E919" s="8">
        <v>36</v>
      </c>
      <c r="F919" s="8">
        <f t="shared" si="212"/>
        <v>36</v>
      </c>
      <c r="G919" s="8" t="s">
        <v>2</v>
      </c>
      <c r="H919" s="8" t="s">
        <v>3</v>
      </c>
      <c r="I919" s="8" t="s">
        <v>16</v>
      </c>
      <c r="J919" s="8">
        <v>14</v>
      </c>
      <c r="K919" s="8">
        <f t="shared" si="213"/>
        <v>14</v>
      </c>
      <c r="L919" s="8">
        <v>30</v>
      </c>
      <c r="M919" s="9">
        <f t="shared" si="214"/>
        <v>30</v>
      </c>
      <c r="N919" s="8">
        <v>1.9</v>
      </c>
      <c r="O919" s="10">
        <f t="shared" si="215"/>
        <v>1.9</v>
      </c>
      <c r="P919" s="8" t="s">
        <v>2050</v>
      </c>
      <c r="Q919" s="14">
        <v>0.62</v>
      </c>
      <c r="R919" s="12">
        <f t="shared" si="219"/>
        <v>0.62</v>
      </c>
      <c r="S919" s="12">
        <f t="shared" si="216"/>
        <v>0.62</v>
      </c>
    </row>
    <row r="920" spans="1:19" x14ac:dyDescent="0.35">
      <c r="A920" s="8" t="s">
        <v>1854</v>
      </c>
      <c r="B920" s="8" t="s">
        <v>1855</v>
      </c>
      <c r="C920" s="8" t="s">
        <v>13</v>
      </c>
      <c r="D920" s="8" t="str">
        <f t="shared" si="207"/>
        <v>Male</v>
      </c>
      <c r="E920" s="8">
        <v>46</v>
      </c>
      <c r="F920" s="8">
        <f t="shared" si="212"/>
        <v>46</v>
      </c>
      <c r="G920" s="8" t="s">
        <v>128</v>
      </c>
      <c r="H920" s="8" t="s">
        <v>129</v>
      </c>
      <c r="I920" s="8" t="s">
        <v>52</v>
      </c>
      <c r="J920" s="8">
        <v>6</v>
      </c>
      <c r="K920" s="8">
        <f t="shared" si="213"/>
        <v>6</v>
      </c>
      <c r="L920" s="8">
        <v>30</v>
      </c>
      <c r="M920" s="9">
        <f t="shared" si="214"/>
        <v>30</v>
      </c>
      <c r="N920" s="8">
        <v>1.5</v>
      </c>
      <c r="O920" s="10">
        <f t="shared" si="215"/>
        <v>1.5</v>
      </c>
      <c r="P920" s="8" t="s">
        <v>2050</v>
      </c>
      <c r="Q920" s="13"/>
      <c r="S920" s="12">
        <f t="shared" si="216"/>
        <v>0.79269417475728277</v>
      </c>
    </row>
    <row r="921" spans="1:19" x14ac:dyDescent="0.35">
      <c r="A921" s="8" t="s">
        <v>1856</v>
      </c>
      <c r="B921" s="8" t="s">
        <v>1857</v>
      </c>
      <c r="C921" s="8" t="s">
        <v>22</v>
      </c>
      <c r="D921" s="8" t="str">
        <f t="shared" si="207"/>
        <v>Female</v>
      </c>
      <c r="E921" s="8">
        <v>53</v>
      </c>
      <c r="F921" s="8">
        <f t="shared" si="212"/>
        <v>53</v>
      </c>
      <c r="G921" s="8" t="s">
        <v>42</v>
      </c>
      <c r="H921" s="8" t="s">
        <v>43</v>
      </c>
      <c r="I921" s="8" t="s">
        <v>16</v>
      </c>
      <c r="J921" s="8">
        <v>14</v>
      </c>
      <c r="K921" s="8">
        <f t="shared" si="213"/>
        <v>14</v>
      </c>
      <c r="L921" s="8">
        <v>30</v>
      </c>
      <c r="M921" s="9">
        <f t="shared" si="214"/>
        <v>30</v>
      </c>
      <c r="N921" s="8">
        <v>0</v>
      </c>
      <c r="O921" s="11">
        <f t="shared" si="215"/>
        <v>0</v>
      </c>
      <c r="P921" s="8" t="s">
        <v>2050</v>
      </c>
      <c r="Q921" s="14">
        <v>0.83</v>
      </c>
      <c r="R921" s="12">
        <f t="shared" ref="R921:R923" si="220">Q921</f>
        <v>0.83</v>
      </c>
      <c r="S921" s="12">
        <f t="shared" si="216"/>
        <v>0.83</v>
      </c>
    </row>
    <row r="922" spans="1:19" x14ac:dyDescent="0.35">
      <c r="A922" s="8" t="s">
        <v>1858</v>
      </c>
      <c r="B922" s="8" t="s">
        <v>1859</v>
      </c>
      <c r="C922" s="8" t="s">
        <v>1</v>
      </c>
      <c r="D922" s="8" t="str">
        <f t="shared" si="207"/>
        <v>Female</v>
      </c>
      <c r="E922" s="8">
        <v>24</v>
      </c>
      <c r="F922" s="8">
        <f t="shared" si="212"/>
        <v>24</v>
      </c>
      <c r="G922" s="8" t="s">
        <v>38</v>
      </c>
      <c r="H922" s="8" t="s">
        <v>9</v>
      </c>
      <c r="I922" s="8" t="s">
        <v>20</v>
      </c>
      <c r="J922" s="8">
        <v>2</v>
      </c>
      <c r="K922" s="8">
        <f t="shared" si="213"/>
        <v>2</v>
      </c>
      <c r="L922" s="8">
        <v>30</v>
      </c>
      <c r="M922" s="9">
        <f t="shared" si="214"/>
        <v>30</v>
      </c>
      <c r="N922" s="8">
        <v>3.6</v>
      </c>
      <c r="O922" s="10">
        <f t="shared" si="215"/>
        <v>3.6</v>
      </c>
      <c r="P922" s="13" t="s">
        <v>2050</v>
      </c>
      <c r="Q922" s="14">
        <v>0.92</v>
      </c>
      <c r="R922" s="12">
        <f t="shared" si="220"/>
        <v>0.92</v>
      </c>
      <c r="S922" s="12">
        <f t="shared" si="216"/>
        <v>0.92</v>
      </c>
    </row>
    <row r="923" spans="1:19" x14ac:dyDescent="0.35">
      <c r="A923" s="8" t="s">
        <v>1860</v>
      </c>
      <c r="B923" s="8" t="s">
        <v>1861</v>
      </c>
      <c r="C923" s="8" t="s">
        <v>22</v>
      </c>
      <c r="D923" s="8" t="str">
        <f t="shared" si="207"/>
        <v>Female</v>
      </c>
      <c r="E923" s="8">
        <v>49</v>
      </c>
      <c r="F923" s="8">
        <f t="shared" si="212"/>
        <v>49</v>
      </c>
      <c r="G923" s="8" t="s">
        <v>162</v>
      </c>
      <c r="H923" s="8" t="s">
        <v>51</v>
      </c>
      <c r="I923" s="8" t="s">
        <v>67</v>
      </c>
      <c r="J923" s="8">
        <v>4</v>
      </c>
      <c r="K923" s="8">
        <f t="shared" si="213"/>
        <v>4</v>
      </c>
      <c r="L923" s="8">
        <v>75</v>
      </c>
      <c r="M923" s="9">
        <f t="shared" si="214"/>
        <v>75</v>
      </c>
      <c r="N923" s="8">
        <v>2.1</v>
      </c>
      <c r="O923" s="10">
        <f t="shared" si="215"/>
        <v>2.1</v>
      </c>
      <c r="P923" s="13" t="s">
        <v>2050</v>
      </c>
      <c r="Q923" s="14">
        <v>0.85</v>
      </c>
      <c r="R923" s="12">
        <f t="shared" si="220"/>
        <v>0.85</v>
      </c>
      <c r="S923" s="12">
        <f t="shared" si="216"/>
        <v>0.85</v>
      </c>
    </row>
    <row r="924" spans="1:19" x14ac:dyDescent="0.35">
      <c r="A924" s="8" t="s">
        <v>1862</v>
      </c>
      <c r="B924" s="8" t="s">
        <v>2036</v>
      </c>
      <c r="C924" s="8" t="s">
        <v>19</v>
      </c>
      <c r="D924" s="8" t="str">
        <f t="shared" si="207"/>
        <v>Female</v>
      </c>
      <c r="E924" s="8">
        <v>49</v>
      </c>
      <c r="F924" s="8">
        <f t="shared" si="212"/>
        <v>49</v>
      </c>
      <c r="G924" s="8" t="s">
        <v>88</v>
      </c>
      <c r="H924" s="8" t="s">
        <v>89</v>
      </c>
      <c r="I924" s="8" t="s">
        <v>27</v>
      </c>
      <c r="J924" s="8">
        <v>4</v>
      </c>
      <c r="K924" s="8">
        <f t="shared" si="213"/>
        <v>4</v>
      </c>
      <c r="L924" s="8">
        <v>75</v>
      </c>
      <c r="M924" s="9">
        <f t="shared" si="214"/>
        <v>75</v>
      </c>
      <c r="N924" s="8">
        <v>2.9</v>
      </c>
      <c r="O924" s="10">
        <f t="shared" si="215"/>
        <v>2.9</v>
      </c>
      <c r="P924" s="8" t="s">
        <v>2050</v>
      </c>
      <c r="Q924" s="13"/>
      <c r="S924" s="12">
        <f t="shared" si="216"/>
        <v>0.79269417475728277</v>
      </c>
    </row>
    <row r="925" spans="1:19" x14ac:dyDescent="0.35">
      <c r="A925" s="8" t="s">
        <v>1863</v>
      </c>
      <c r="B925" s="8" t="s">
        <v>1864</v>
      </c>
      <c r="C925" s="8" t="s">
        <v>7</v>
      </c>
      <c r="D925" s="8" t="str">
        <f t="shared" si="207"/>
        <v>Female</v>
      </c>
      <c r="E925" s="8">
        <v>49</v>
      </c>
      <c r="F925" s="8">
        <f t="shared" si="212"/>
        <v>49</v>
      </c>
      <c r="G925" s="8" t="s">
        <v>88</v>
      </c>
      <c r="H925" s="8" t="s">
        <v>89</v>
      </c>
      <c r="I925" s="8" t="s">
        <v>10</v>
      </c>
      <c r="J925" s="8">
        <v>24</v>
      </c>
      <c r="K925" s="8">
        <f t="shared" si="213"/>
        <v>24</v>
      </c>
      <c r="L925" s="8">
        <v>100</v>
      </c>
      <c r="M925" s="9">
        <f t="shared" si="214"/>
        <v>100</v>
      </c>
      <c r="N925" s="8">
        <v>3.6</v>
      </c>
      <c r="O925" s="10">
        <f t="shared" si="215"/>
        <v>3.6</v>
      </c>
      <c r="P925" s="8" t="s">
        <v>2051</v>
      </c>
      <c r="Q925" s="13"/>
      <c r="S925" s="12">
        <f t="shared" si="216"/>
        <v>0.79269417475728277</v>
      </c>
    </row>
    <row r="926" spans="1:19" x14ac:dyDescent="0.35">
      <c r="A926" s="8" t="s">
        <v>1865</v>
      </c>
      <c r="B926" s="8" t="s">
        <v>1866</v>
      </c>
      <c r="C926" s="8" t="s">
        <v>55</v>
      </c>
      <c r="D926" s="8" t="str">
        <f t="shared" si="207"/>
        <v>Female</v>
      </c>
      <c r="E926" s="8">
        <v>58</v>
      </c>
      <c r="F926" s="8">
        <f t="shared" si="212"/>
        <v>58</v>
      </c>
      <c r="G926" s="8" t="s">
        <v>84</v>
      </c>
      <c r="H926" s="8" t="s">
        <v>85</v>
      </c>
      <c r="I926" s="8" t="s">
        <v>4</v>
      </c>
      <c r="J926" s="8">
        <v>29</v>
      </c>
      <c r="K926" s="8">
        <f t="shared" si="213"/>
        <v>29</v>
      </c>
      <c r="L926" s="8">
        <v>30</v>
      </c>
      <c r="M926" s="9">
        <f t="shared" si="214"/>
        <v>30</v>
      </c>
      <c r="N926" s="8">
        <v>3.3</v>
      </c>
      <c r="O926" s="10">
        <f t="shared" si="215"/>
        <v>3.3</v>
      </c>
      <c r="P926" s="8" t="s">
        <v>2051</v>
      </c>
      <c r="Q926" s="14">
        <v>0.89</v>
      </c>
      <c r="R926" s="12">
        <f t="shared" ref="R926:R927" si="221">Q926</f>
        <v>0.89</v>
      </c>
      <c r="S926" s="12">
        <f t="shared" si="216"/>
        <v>0.89</v>
      </c>
    </row>
    <row r="927" spans="1:19" x14ac:dyDescent="0.35">
      <c r="A927" s="8" t="s">
        <v>1867</v>
      </c>
      <c r="B927" s="8" t="s">
        <v>1868</v>
      </c>
      <c r="C927" s="8" t="s">
        <v>41</v>
      </c>
      <c r="D927" s="8" t="str">
        <f t="shared" si="207"/>
        <v>Male</v>
      </c>
      <c r="E927" s="8">
        <v>50</v>
      </c>
      <c r="F927" s="8">
        <f t="shared" si="212"/>
        <v>50</v>
      </c>
      <c r="G927" s="8" t="s">
        <v>128</v>
      </c>
      <c r="H927" s="8" t="s">
        <v>129</v>
      </c>
      <c r="I927" s="8" t="s">
        <v>52</v>
      </c>
      <c r="J927" s="8">
        <v>13</v>
      </c>
      <c r="K927" s="8">
        <f t="shared" si="213"/>
        <v>13</v>
      </c>
      <c r="L927" s="13"/>
      <c r="M927" s="9">
        <f t="shared" si="214"/>
        <v>40</v>
      </c>
      <c r="N927" s="8">
        <v>2.5</v>
      </c>
      <c r="O927" s="10">
        <f t="shared" si="215"/>
        <v>2.5</v>
      </c>
      <c r="P927" s="8" t="s">
        <v>2051</v>
      </c>
      <c r="Q927" s="14">
        <v>0.81</v>
      </c>
      <c r="R927" s="12">
        <f t="shared" si="221"/>
        <v>0.81</v>
      </c>
      <c r="S927" s="12">
        <f t="shared" si="216"/>
        <v>0.81</v>
      </c>
    </row>
    <row r="928" spans="1:19" x14ac:dyDescent="0.35">
      <c r="A928" s="8" t="s">
        <v>1869</v>
      </c>
      <c r="B928" s="8" t="s">
        <v>1870</v>
      </c>
      <c r="C928" s="8" t="s">
        <v>70</v>
      </c>
      <c r="D928" s="8" t="str">
        <f t="shared" si="207"/>
        <v>Male</v>
      </c>
      <c r="E928" s="8">
        <v>27</v>
      </c>
      <c r="F928" s="8">
        <f t="shared" si="212"/>
        <v>27</v>
      </c>
      <c r="G928" s="8" t="s">
        <v>128</v>
      </c>
      <c r="H928" s="8" t="s">
        <v>129</v>
      </c>
      <c r="I928" s="8" t="s">
        <v>67</v>
      </c>
      <c r="J928" s="8">
        <v>1</v>
      </c>
      <c r="K928" s="8">
        <f t="shared" si="213"/>
        <v>1</v>
      </c>
      <c r="L928" s="8">
        <v>100</v>
      </c>
      <c r="M928" s="9">
        <f t="shared" si="214"/>
        <v>100</v>
      </c>
      <c r="N928" s="8">
        <v>3.7</v>
      </c>
      <c r="O928" s="10">
        <f t="shared" si="215"/>
        <v>3.7</v>
      </c>
      <c r="P928" s="8" t="s">
        <v>2051</v>
      </c>
      <c r="Q928" s="8">
        <v>61</v>
      </c>
      <c r="R928" s="12">
        <v>0.61</v>
      </c>
      <c r="S928" s="12">
        <f t="shared" si="216"/>
        <v>0.61</v>
      </c>
    </row>
    <row r="929" spans="1:19" x14ac:dyDescent="0.35">
      <c r="A929" s="8" t="s">
        <v>1871</v>
      </c>
      <c r="B929" s="8" t="s">
        <v>1872</v>
      </c>
      <c r="C929" s="8" t="s">
        <v>19</v>
      </c>
      <c r="D929" s="8" t="str">
        <f t="shared" si="207"/>
        <v>Female</v>
      </c>
      <c r="E929" s="8">
        <v>20</v>
      </c>
      <c r="F929" s="8">
        <f t="shared" si="212"/>
        <v>20</v>
      </c>
      <c r="G929" s="8" t="s">
        <v>88</v>
      </c>
      <c r="H929" s="8" t="s">
        <v>89</v>
      </c>
      <c r="I929" s="8" t="s">
        <v>90</v>
      </c>
      <c r="J929" s="13"/>
      <c r="K929" s="8">
        <f t="shared" si="213"/>
        <v>9</v>
      </c>
      <c r="L929" s="8">
        <v>30</v>
      </c>
      <c r="M929" s="9">
        <f t="shared" si="214"/>
        <v>30</v>
      </c>
      <c r="N929" s="8">
        <v>4.5999999999999996</v>
      </c>
      <c r="O929" s="10">
        <f t="shared" si="215"/>
        <v>4.5999999999999996</v>
      </c>
      <c r="P929" s="8" t="s">
        <v>2051</v>
      </c>
      <c r="Q929" s="13"/>
      <c r="S929" s="12">
        <f t="shared" si="216"/>
        <v>0.79269417475728277</v>
      </c>
    </row>
    <row r="930" spans="1:19" x14ac:dyDescent="0.35">
      <c r="A930" s="8" t="s">
        <v>1873</v>
      </c>
      <c r="B930" s="8" t="s">
        <v>1874</v>
      </c>
      <c r="C930" s="8" t="s">
        <v>41</v>
      </c>
      <c r="D930" s="8" t="str">
        <f t="shared" si="207"/>
        <v>Male</v>
      </c>
      <c r="E930" s="8">
        <v>52</v>
      </c>
      <c r="F930" s="8">
        <f t="shared" si="212"/>
        <v>52</v>
      </c>
      <c r="G930" s="8" t="s">
        <v>99</v>
      </c>
      <c r="H930" s="8" t="s">
        <v>100</v>
      </c>
      <c r="I930" s="8" t="s">
        <v>4</v>
      </c>
      <c r="J930" s="8">
        <v>15</v>
      </c>
      <c r="K930" s="8">
        <f t="shared" si="213"/>
        <v>15</v>
      </c>
      <c r="L930" s="8">
        <v>40</v>
      </c>
      <c r="M930" s="9">
        <f t="shared" si="214"/>
        <v>40</v>
      </c>
      <c r="N930" s="8">
        <v>0</v>
      </c>
      <c r="O930" s="11">
        <f t="shared" si="215"/>
        <v>0</v>
      </c>
      <c r="P930" s="8" t="s">
        <v>2051</v>
      </c>
      <c r="Q930" s="14">
        <v>0.92</v>
      </c>
      <c r="R930" s="12">
        <f t="shared" ref="R930:R935" si="222">Q930</f>
        <v>0.92</v>
      </c>
      <c r="S930" s="12">
        <f t="shared" si="216"/>
        <v>0.92</v>
      </c>
    </row>
    <row r="931" spans="1:19" x14ac:dyDescent="0.35">
      <c r="A931" s="8" t="s">
        <v>1875</v>
      </c>
      <c r="B931" s="8" t="s">
        <v>1876</v>
      </c>
      <c r="C931" s="8" t="s">
        <v>55</v>
      </c>
      <c r="D931" s="8" t="str">
        <f t="shared" si="207"/>
        <v>Female</v>
      </c>
      <c r="E931" s="8">
        <v>22</v>
      </c>
      <c r="F931" s="8">
        <f t="shared" si="212"/>
        <v>22</v>
      </c>
      <c r="G931" s="8" t="s">
        <v>110</v>
      </c>
      <c r="H931" s="8" t="s">
        <v>111</v>
      </c>
      <c r="I931" s="8" t="s">
        <v>90</v>
      </c>
      <c r="J931" s="8">
        <v>2</v>
      </c>
      <c r="K931" s="8">
        <f t="shared" si="213"/>
        <v>2</v>
      </c>
      <c r="L931" s="8">
        <v>30</v>
      </c>
      <c r="M931" s="9">
        <f t="shared" si="214"/>
        <v>30</v>
      </c>
      <c r="N931" s="8">
        <v>2</v>
      </c>
      <c r="O931" s="10">
        <f t="shared" si="215"/>
        <v>2</v>
      </c>
      <c r="P931" s="8" t="s">
        <v>2050</v>
      </c>
      <c r="Q931" s="14">
        <v>0.96</v>
      </c>
      <c r="R931" s="12">
        <f t="shared" si="222"/>
        <v>0.96</v>
      </c>
      <c r="S931" s="12">
        <f t="shared" si="216"/>
        <v>0.96</v>
      </c>
    </row>
    <row r="932" spans="1:19" x14ac:dyDescent="0.35">
      <c r="A932" s="8" t="s">
        <v>1877</v>
      </c>
      <c r="B932" s="8" t="s">
        <v>1878</v>
      </c>
      <c r="C932" s="8" t="s">
        <v>55</v>
      </c>
      <c r="D932" s="8" t="str">
        <f t="shared" si="207"/>
        <v>Female</v>
      </c>
      <c r="E932" s="8">
        <v>38</v>
      </c>
      <c r="F932" s="8">
        <f t="shared" si="212"/>
        <v>38</v>
      </c>
      <c r="G932" s="8" t="s">
        <v>42</v>
      </c>
      <c r="H932" s="8" t="s">
        <v>43</v>
      </c>
      <c r="I932" s="8" t="s">
        <v>20</v>
      </c>
      <c r="J932" s="8">
        <v>14</v>
      </c>
      <c r="K932" s="8">
        <f t="shared" si="213"/>
        <v>14</v>
      </c>
      <c r="L932" s="8">
        <v>100</v>
      </c>
      <c r="M932" s="9">
        <f t="shared" si="214"/>
        <v>100</v>
      </c>
      <c r="N932" s="8">
        <v>1.7</v>
      </c>
      <c r="O932" s="10">
        <f t="shared" si="215"/>
        <v>1.7</v>
      </c>
      <c r="P932" s="8" t="s">
        <v>2050</v>
      </c>
      <c r="Q932" s="14">
        <v>0.66</v>
      </c>
      <c r="R932" s="12">
        <f t="shared" si="222"/>
        <v>0.66</v>
      </c>
      <c r="S932" s="12">
        <f t="shared" si="216"/>
        <v>0.66</v>
      </c>
    </row>
    <row r="933" spans="1:19" x14ac:dyDescent="0.35">
      <c r="A933" s="8" t="s">
        <v>1879</v>
      </c>
      <c r="B933" s="8" t="s">
        <v>1880</v>
      </c>
      <c r="C933" s="8" t="s">
        <v>13</v>
      </c>
      <c r="D933" s="8" t="str">
        <f t="shared" si="207"/>
        <v>Male</v>
      </c>
      <c r="E933" s="8">
        <v>21</v>
      </c>
      <c r="F933" s="8">
        <f t="shared" si="212"/>
        <v>21</v>
      </c>
      <c r="G933" s="8" t="s">
        <v>103</v>
      </c>
      <c r="H933" s="8" t="s">
        <v>9</v>
      </c>
      <c r="I933" s="8" t="s">
        <v>16</v>
      </c>
      <c r="J933" s="8">
        <v>0</v>
      </c>
      <c r="K933" s="8">
        <f t="shared" si="213"/>
        <v>0</v>
      </c>
      <c r="L933" s="8">
        <v>100</v>
      </c>
      <c r="M933" s="9">
        <f t="shared" si="214"/>
        <v>100</v>
      </c>
      <c r="N933" s="8">
        <v>3</v>
      </c>
      <c r="O933" s="10">
        <f t="shared" si="215"/>
        <v>3</v>
      </c>
      <c r="P933" s="8" t="s">
        <v>2050</v>
      </c>
      <c r="Q933" s="14">
        <v>0.64</v>
      </c>
      <c r="R933" s="12">
        <f t="shared" si="222"/>
        <v>0.64</v>
      </c>
      <c r="S933" s="12">
        <f t="shared" si="216"/>
        <v>0.64</v>
      </c>
    </row>
    <row r="934" spans="1:19" x14ac:dyDescent="0.35">
      <c r="A934" s="8" t="s">
        <v>1881</v>
      </c>
      <c r="B934" s="8" t="s">
        <v>1882</v>
      </c>
      <c r="C934" s="8" t="s">
        <v>41</v>
      </c>
      <c r="D934" s="8" t="str">
        <f t="shared" si="207"/>
        <v>Male</v>
      </c>
      <c r="E934" s="8">
        <v>41</v>
      </c>
      <c r="F934" s="8">
        <f t="shared" si="212"/>
        <v>41</v>
      </c>
      <c r="G934" s="8" t="s">
        <v>8</v>
      </c>
      <c r="H934" s="8" t="s">
        <v>9</v>
      </c>
      <c r="I934" s="8" t="s">
        <v>27</v>
      </c>
      <c r="J934" s="8">
        <v>15</v>
      </c>
      <c r="K934" s="8">
        <f t="shared" si="213"/>
        <v>15</v>
      </c>
      <c r="L934" s="8">
        <v>40</v>
      </c>
      <c r="M934" s="9">
        <f t="shared" si="214"/>
        <v>40</v>
      </c>
      <c r="N934" s="8">
        <v>3.4</v>
      </c>
      <c r="O934" s="10">
        <f t="shared" si="215"/>
        <v>3.4</v>
      </c>
      <c r="P934" s="8" t="s">
        <v>2050</v>
      </c>
      <c r="Q934" s="14">
        <v>1</v>
      </c>
      <c r="R934" s="12">
        <f t="shared" si="222"/>
        <v>1</v>
      </c>
      <c r="S934" s="12">
        <f t="shared" si="216"/>
        <v>1</v>
      </c>
    </row>
    <row r="935" spans="1:19" x14ac:dyDescent="0.35">
      <c r="A935" s="8" t="s">
        <v>1883</v>
      </c>
      <c r="B935" s="8" t="s">
        <v>1884</v>
      </c>
      <c r="C935" s="8" t="s">
        <v>22</v>
      </c>
      <c r="D935" s="8" t="str">
        <f t="shared" si="207"/>
        <v>Female</v>
      </c>
      <c r="E935" s="8">
        <v>33</v>
      </c>
      <c r="F935" s="8">
        <f t="shared" si="212"/>
        <v>33</v>
      </c>
      <c r="G935" s="8" t="s">
        <v>31</v>
      </c>
      <c r="H935" s="8" t="s">
        <v>32</v>
      </c>
      <c r="I935" s="8" t="s">
        <v>4</v>
      </c>
      <c r="J935" s="8">
        <v>6</v>
      </c>
      <c r="K935" s="8">
        <f t="shared" si="213"/>
        <v>6</v>
      </c>
      <c r="L935" s="8">
        <v>40</v>
      </c>
      <c r="M935" s="9">
        <f t="shared" si="214"/>
        <v>40</v>
      </c>
      <c r="N935" s="8">
        <v>3.2</v>
      </c>
      <c r="O935" s="10">
        <f t="shared" si="215"/>
        <v>3.2</v>
      </c>
      <c r="P935" s="8" t="s">
        <v>2051</v>
      </c>
      <c r="Q935" s="14">
        <v>0.95</v>
      </c>
      <c r="R935" s="12">
        <f t="shared" si="222"/>
        <v>0.95</v>
      </c>
      <c r="S935" s="12">
        <f t="shared" si="216"/>
        <v>0.95</v>
      </c>
    </row>
    <row r="936" spans="1:19" x14ac:dyDescent="0.35">
      <c r="A936" s="8" t="s">
        <v>1885</v>
      </c>
      <c r="B936" s="8" t="s">
        <v>1886</v>
      </c>
      <c r="C936" s="8" t="s">
        <v>1</v>
      </c>
      <c r="D936" s="8" t="str">
        <f t="shared" si="207"/>
        <v>Female</v>
      </c>
      <c r="E936" s="8">
        <v>38</v>
      </c>
      <c r="F936" s="8">
        <f t="shared" si="212"/>
        <v>38</v>
      </c>
      <c r="G936" s="8" t="s">
        <v>151</v>
      </c>
      <c r="H936" s="8" t="s">
        <v>51</v>
      </c>
      <c r="I936" s="8" t="s">
        <v>10</v>
      </c>
      <c r="J936" s="8">
        <v>11</v>
      </c>
      <c r="K936" s="8">
        <f t="shared" si="213"/>
        <v>11</v>
      </c>
      <c r="L936" s="13"/>
      <c r="M936" s="9">
        <f t="shared" si="214"/>
        <v>40</v>
      </c>
      <c r="N936" s="8">
        <v>2.8</v>
      </c>
      <c r="O936" s="10">
        <f t="shared" si="215"/>
        <v>2.8</v>
      </c>
      <c r="P936" s="13" t="s">
        <v>2050</v>
      </c>
      <c r="Q936" s="8">
        <v>91</v>
      </c>
      <c r="R936" s="12">
        <v>0.91</v>
      </c>
      <c r="S936" s="12">
        <f t="shared" si="216"/>
        <v>0.91</v>
      </c>
    </row>
    <row r="937" spans="1:19" x14ac:dyDescent="0.35">
      <c r="A937" s="8" t="s">
        <v>1887</v>
      </c>
      <c r="B937" s="8" t="s">
        <v>1888</v>
      </c>
      <c r="C937" s="8" t="s">
        <v>19</v>
      </c>
      <c r="D937" s="8" t="str">
        <f t="shared" si="207"/>
        <v>Female</v>
      </c>
      <c r="E937" s="8">
        <v>26</v>
      </c>
      <c r="F937" s="8">
        <f t="shared" si="212"/>
        <v>26</v>
      </c>
      <c r="G937" s="8" t="s">
        <v>99</v>
      </c>
      <c r="H937" s="8" t="s">
        <v>100</v>
      </c>
      <c r="I937" s="8" t="s">
        <v>67</v>
      </c>
      <c r="J937" s="8">
        <v>8</v>
      </c>
      <c r="K937" s="8">
        <f t="shared" si="213"/>
        <v>8</v>
      </c>
      <c r="L937" s="8">
        <v>20</v>
      </c>
      <c r="M937" s="9">
        <f t="shared" si="214"/>
        <v>20</v>
      </c>
      <c r="N937" s="8">
        <v>4.0999999999999996</v>
      </c>
      <c r="O937" s="10">
        <f t="shared" si="215"/>
        <v>4.0999999999999996</v>
      </c>
      <c r="P937" s="8" t="s">
        <v>2051</v>
      </c>
      <c r="Q937" s="14">
        <v>0.82</v>
      </c>
      <c r="R937" s="12">
        <f t="shared" ref="R937:R939" si="223">Q937</f>
        <v>0.82</v>
      </c>
      <c r="S937" s="12">
        <f t="shared" si="216"/>
        <v>0.82</v>
      </c>
    </row>
    <row r="938" spans="1:19" x14ac:dyDescent="0.35">
      <c r="A938" s="8" t="s">
        <v>1889</v>
      </c>
      <c r="B938" s="8" t="s">
        <v>1890</v>
      </c>
      <c r="C938" s="8" t="s">
        <v>1</v>
      </c>
      <c r="D938" s="8" t="str">
        <f t="shared" ref="D938:D1001" si="224">IF(LEFT(C938,1)="f","Female","Male")</f>
        <v>Female</v>
      </c>
      <c r="E938" s="8">
        <v>43</v>
      </c>
      <c r="F938" s="8">
        <f t="shared" si="212"/>
        <v>43</v>
      </c>
      <c r="G938" s="8" t="s">
        <v>25</v>
      </c>
      <c r="H938" s="8" t="s">
        <v>26</v>
      </c>
      <c r="I938" s="8" t="s">
        <v>27</v>
      </c>
      <c r="J938" s="8">
        <v>3</v>
      </c>
      <c r="K938" s="8">
        <f t="shared" si="213"/>
        <v>3</v>
      </c>
      <c r="L938" s="8">
        <v>20</v>
      </c>
      <c r="M938" s="9">
        <f t="shared" si="214"/>
        <v>20</v>
      </c>
      <c r="N938" s="8">
        <v>0</v>
      </c>
      <c r="O938" s="11">
        <f t="shared" si="215"/>
        <v>0</v>
      </c>
      <c r="P938" s="8" t="s">
        <v>2051</v>
      </c>
      <c r="Q938" s="14">
        <v>0.95</v>
      </c>
      <c r="R938" s="12">
        <f t="shared" si="223"/>
        <v>0.95</v>
      </c>
      <c r="S938" s="12">
        <f t="shared" si="216"/>
        <v>0.95</v>
      </c>
    </row>
    <row r="939" spans="1:19" x14ac:dyDescent="0.35">
      <c r="A939" s="8" t="s">
        <v>1891</v>
      </c>
      <c r="B939" s="8" t="s">
        <v>1892</v>
      </c>
      <c r="C939" s="8" t="s">
        <v>55</v>
      </c>
      <c r="D939" s="8" t="str">
        <f t="shared" si="224"/>
        <v>Female</v>
      </c>
      <c r="E939" s="8">
        <v>21</v>
      </c>
      <c r="F939" s="8">
        <f t="shared" si="212"/>
        <v>21</v>
      </c>
      <c r="G939" s="8" t="s">
        <v>2</v>
      </c>
      <c r="H939" s="8" t="s">
        <v>3</v>
      </c>
      <c r="I939" s="8" t="s">
        <v>56</v>
      </c>
      <c r="J939" s="8">
        <v>0</v>
      </c>
      <c r="K939" s="8">
        <f t="shared" si="213"/>
        <v>0</v>
      </c>
      <c r="L939" s="13"/>
      <c r="M939" s="9">
        <f t="shared" si="214"/>
        <v>40</v>
      </c>
      <c r="N939" s="8">
        <v>0</v>
      </c>
      <c r="O939" s="11">
        <f t="shared" si="215"/>
        <v>0</v>
      </c>
      <c r="P939" s="8" t="s">
        <v>2051</v>
      </c>
      <c r="Q939" s="14">
        <v>0.95</v>
      </c>
      <c r="R939" s="12">
        <f t="shared" si="223"/>
        <v>0.95</v>
      </c>
      <c r="S939" s="12">
        <f t="shared" si="216"/>
        <v>0.95</v>
      </c>
    </row>
    <row r="940" spans="1:19" x14ac:dyDescent="0.35">
      <c r="A940" s="8" t="s">
        <v>1893</v>
      </c>
      <c r="B940" s="8" t="s">
        <v>1894</v>
      </c>
      <c r="C940" s="8" t="s">
        <v>41</v>
      </c>
      <c r="D940" s="8" t="str">
        <f t="shared" si="224"/>
        <v>Male</v>
      </c>
      <c r="E940" s="8">
        <v>47</v>
      </c>
      <c r="F940" s="8">
        <f t="shared" si="212"/>
        <v>47</v>
      </c>
      <c r="G940" s="8" t="s">
        <v>88</v>
      </c>
      <c r="H940" s="8" t="s">
        <v>89</v>
      </c>
      <c r="I940" s="8" t="s">
        <v>10</v>
      </c>
      <c r="J940" s="8">
        <v>7</v>
      </c>
      <c r="K940" s="8">
        <f t="shared" si="213"/>
        <v>7</v>
      </c>
      <c r="L940" s="8">
        <v>30</v>
      </c>
      <c r="M940" s="9">
        <f t="shared" si="214"/>
        <v>30</v>
      </c>
      <c r="O940" s="10">
        <f t="shared" si="215"/>
        <v>2.5125695216907653</v>
      </c>
      <c r="P940" s="13" t="s">
        <v>2050</v>
      </c>
      <c r="Q940" s="8">
        <v>69</v>
      </c>
      <c r="R940" s="12">
        <v>0.69</v>
      </c>
      <c r="S940" s="12">
        <f t="shared" si="216"/>
        <v>0.69</v>
      </c>
    </row>
    <row r="941" spans="1:19" x14ac:dyDescent="0.35">
      <c r="A941" s="8" t="s">
        <v>1895</v>
      </c>
      <c r="B941" s="8" t="s">
        <v>1896</v>
      </c>
      <c r="C941" s="8" t="s">
        <v>41</v>
      </c>
      <c r="D941" s="8" t="str">
        <f t="shared" si="224"/>
        <v>Male</v>
      </c>
      <c r="E941" s="8">
        <v>35</v>
      </c>
      <c r="F941" s="8">
        <f t="shared" si="212"/>
        <v>35</v>
      </c>
      <c r="G941" s="8" t="s">
        <v>162</v>
      </c>
      <c r="H941" s="8" t="s">
        <v>51</v>
      </c>
      <c r="I941" s="8" t="s">
        <v>16</v>
      </c>
      <c r="J941" s="8">
        <v>6</v>
      </c>
      <c r="K941" s="8">
        <f t="shared" si="213"/>
        <v>6</v>
      </c>
      <c r="L941" s="8">
        <v>40</v>
      </c>
      <c r="M941" s="9">
        <f t="shared" si="214"/>
        <v>40</v>
      </c>
      <c r="O941" s="10">
        <f t="shared" si="215"/>
        <v>2.5125695216907653</v>
      </c>
      <c r="P941" s="8" t="s">
        <v>2051</v>
      </c>
      <c r="Q941" s="14">
        <v>0.91</v>
      </c>
      <c r="R941" s="12">
        <f>Q941</f>
        <v>0.91</v>
      </c>
      <c r="S941" s="12">
        <f t="shared" si="216"/>
        <v>0.91</v>
      </c>
    </row>
    <row r="942" spans="1:19" x14ac:dyDescent="0.35">
      <c r="A942" s="8" t="s">
        <v>1897</v>
      </c>
      <c r="B942" s="8" t="s">
        <v>1898</v>
      </c>
      <c r="C942" s="8" t="s">
        <v>55</v>
      </c>
      <c r="D942" s="8" t="str">
        <f t="shared" si="224"/>
        <v>Female</v>
      </c>
      <c r="E942" s="8">
        <v>37</v>
      </c>
      <c r="F942" s="8">
        <f t="shared" si="212"/>
        <v>37</v>
      </c>
      <c r="G942" s="8" t="s">
        <v>31</v>
      </c>
      <c r="H942" s="8" t="s">
        <v>32</v>
      </c>
      <c r="I942" s="8" t="s">
        <v>10</v>
      </c>
      <c r="J942" s="8">
        <v>9</v>
      </c>
      <c r="K942" s="8">
        <f t="shared" si="213"/>
        <v>9</v>
      </c>
      <c r="L942" s="8">
        <v>30</v>
      </c>
      <c r="M942" s="9">
        <f t="shared" si="214"/>
        <v>30</v>
      </c>
      <c r="N942" s="8">
        <v>2.7</v>
      </c>
      <c r="O942" s="10">
        <f t="shared" si="215"/>
        <v>2.7</v>
      </c>
      <c r="P942" s="8" t="s">
        <v>2051</v>
      </c>
      <c r="Q942" s="13"/>
      <c r="S942" s="12">
        <f t="shared" si="216"/>
        <v>0.79269417475728277</v>
      </c>
    </row>
    <row r="943" spans="1:19" x14ac:dyDescent="0.35">
      <c r="A943" s="8" t="s">
        <v>1899</v>
      </c>
      <c r="B943" s="8" t="s">
        <v>1900</v>
      </c>
      <c r="C943" s="8" t="s">
        <v>7</v>
      </c>
      <c r="D943" s="8" t="str">
        <f t="shared" si="224"/>
        <v>Female</v>
      </c>
      <c r="E943" s="8">
        <v>38</v>
      </c>
      <c r="F943" s="8">
        <f t="shared" si="212"/>
        <v>38</v>
      </c>
      <c r="G943" s="8" t="s">
        <v>84</v>
      </c>
      <c r="H943" s="8" t="s">
        <v>85</v>
      </c>
      <c r="I943" s="8" t="s">
        <v>27</v>
      </c>
      <c r="J943" s="8">
        <v>15</v>
      </c>
      <c r="K943" s="8">
        <f t="shared" si="213"/>
        <v>15</v>
      </c>
      <c r="L943" s="8">
        <v>40</v>
      </c>
      <c r="M943" s="9">
        <f t="shared" si="214"/>
        <v>40</v>
      </c>
      <c r="N943" s="8">
        <v>4</v>
      </c>
      <c r="O943" s="10">
        <f t="shared" si="215"/>
        <v>4</v>
      </c>
      <c r="P943" s="13" t="s">
        <v>2050</v>
      </c>
      <c r="Q943" s="14">
        <v>0.62</v>
      </c>
      <c r="R943" s="12">
        <f t="shared" ref="R943:R954" si="225">Q943</f>
        <v>0.62</v>
      </c>
      <c r="S943" s="12">
        <f t="shared" si="216"/>
        <v>0.62</v>
      </c>
    </row>
    <row r="944" spans="1:19" x14ac:dyDescent="0.35">
      <c r="A944" s="8" t="s">
        <v>1901</v>
      </c>
      <c r="B944" s="8" t="s">
        <v>1902</v>
      </c>
      <c r="C944" s="8" t="s">
        <v>41</v>
      </c>
      <c r="D944" s="8" t="str">
        <f t="shared" si="224"/>
        <v>Male</v>
      </c>
      <c r="E944" s="8">
        <v>40</v>
      </c>
      <c r="F944" s="8">
        <f t="shared" si="212"/>
        <v>40</v>
      </c>
      <c r="G944" s="8" t="s">
        <v>103</v>
      </c>
      <c r="H944" s="8" t="s">
        <v>9</v>
      </c>
      <c r="I944" s="8" t="s">
        <v>33</v>
      </c>
      <c r="J944" s="8">
        <v>20</v>
      </c>
      <c r="K944" s="8">
        <f t="shared" si="213"/>
        <v>20</v>
      </c>
      <c r="L944" s="8">
        <v>20</v>
      </c>
      <c r="M944" s="9">
        <f t="shared" si="214"/>
        <v>20</v>
      </c>
      <c r="N944" s="8">
        <v>2.5</v>
      </c>
      <c r="O944" s="10">
        <f t="shared" si="215"/>
        <v>2.5</v>
      </c>
      <c r="P944" s="8" t="s">
        <v>2050</v>
      </c>
      <c r="Q944" s="14">
        <v>0.81</v>
      </c>
      <c r="R944" s="12">
        <f t="shared" si="225"/>
        <v>0.81</v>
      </c>
      <c r="S944" s="12">
        <f t="shared" si="216"/>
        <v>0.81</v>
      </c>
    </row>
    <row r="945" spans="1:19" x14ac:dyDescent="0.35">
      <c r="A945" s="8" t="s">
        <v>1903</v>
      </c>
      <c r="B945" s="8" t="s">
        <v>1904</v>
      </c>
      <c r="C945" s="8" t="s">
        <v>1</v>
      </c>
      <c r="D945" s="8" t="str">
        <f t="shared" si="224"/>
        <v>Female</v>
      </c>
      <c r="E945" s="8">
        <v>46</v>
      </c>
      <c r="F945" s="8">
        <f t="shared" si="212"/>
        <v>46</v>
      </c>
      <c r="G945" s="8" t="s">
        <v>84</v>
      </c>
      <c r="H945" s="8" t="s">
        <v>85</v>
      </c>
      <c r="I945" s="8" t="s">
        <v>33</v>
      </c>
      <c r="J945" s="8">
        <v>16</v>
      </c>
      <c r="K945" s="8">
        <f t="shared" si="213"/>
        <v>16</v>
      </c>
      <c r="L945" s="8">
        <v>75</v>
      </c>
      <c r="M945" s="9">
        <f t="shared" si="214"/>
        <v>75</v>
      </c>
      <c r="N945" s="8">
        <v>0</v>
      </c>
      <c r="O945" s="11">
        <f t="shared" si="215"/>
        <v>0</v>
      </c>
      <c r="P945" s="8" t="s">
        <v>2050</v>
      </c>
      <c r="Q945" s="14">
        <v>0.94</v>
      </c>
      <c r="R945" s="12">
        <f t="shared" si="225"/>
        <v>0.94</v>
      </c>
      <c r="S945" s="12">
        <f t="shared" si="216"/>
        <v>0.94</v>
      </c>
    </row>
    <row r="946" spans="1:19" x14ac:dyDescent="0.35">
      <c r="A946" s="8" t="s">
        <v>1905</v>
      </c>
      <c r="B946" s="8" t="s">
        <v>1906</v>
      </c>
      <c r="C946" s="8" t="s">
        <v>30</v>
      </c>
      <c r="D946" s="8" t="str">
        <f t="shared" si="224"/>
        <v>Male</v>
      </c>
      <c r="E946" s="8">
        <v>56</v>
      </c>
      <c r="F946" s="8">
        <f t="shared" si="212"/>
        <v>56</v>
      </c>
      <c r="G946" s="8" t="s">
        <v>114</v>
      </c>
      <c r="H946" s="8" t="s">
        <v>115</v>
      </c>
      <c r="I946" s="8" t="s">
        <v>67</v>
      </c>
      <c r="J946" s="8">
        <v>22</v>
      </c>
      <c r="K946" s="8">
        <f t="shared" si="213"/>
        <v>22</v>
      </c>
      <c r="L946" s="8">
        <v>30</v>
      </c>
      <c r="M946" s="9">
        <f t="shared" si="214"/>
        <v>30</v>
      </c>
      <c r="O946" s="10">
        <f t="shared" si="215"/>
        <v>2.5125695216907653</v>
      </c>
      <c r="P946" s="8" t="s">
        <v>2050</v>
      </c>
      <c r="Q946" s="14">
        <v>0.95</v>
      </c>
      <c r="R946" s="12">
        <f t="shared" si="225"/>
        <v>0.95</v>
      </c>
      <c r="S946" s="12">
        <f t="shared" si="216"/>
        <v>0.95</v>
      </c>
    </row>
    <row r="947" spans="1:19" x14ac:dyDescent="0.35">
      <c r="A947" s="8" t="s">
        <v>1907</v>
      </c>
      <c r="B947" s="8" t="s">
        <v>1908</v>
      </c>
      <c r="C947" s="8" t="s">
        <v>30</v>
      </c>
      <c r="D947" s="8" t="str">
        <f t="shared" si="224"/>
        <v>Male</v>
      </c>
      <c r="E947" s="8">
        <v>24</v>
      </c>
      <c r="F947" s="8">
        <f t="shared" si="212"/>
        <v>24</v>
      </c>
      <c r="G947" s="8" t="s">
        <v>42</v>
      </c>
      <c r="H947" s="8" t="s">
        <v>43</v>
      </c>
      <c r="I947" s="8" t="s">
        <v>16</v>
      </c>
      <c r="J947" s="8">
        <v>2</v>
      </c>
      <c r="K947" s="8">
        <f t="shared" si="213"/>
        <v>2</v>
      </c>
      <c r="L947" s="13"/>
      <c r="M947" s="9">
        <f t="shared" si="214"/>
        <v>40</v>
      </c>
      <c r="N947" s="8">
        <v>1.6</v>
      </c>
      <c r="O947" s="10">
        <f t="shared" si="215"/>
        <v>1.6</v>
      </c>
      <c r="P947" s="8" t="s">
        <v>2050</v>
      </c>
      <c r="Q947" s="14">
        <v>1</v>
      </c>
      <c r="R947" s="12">
        <f t="shared" si="225"/>
        <v>1</v>
      </c>
      <c r="S947" s="12">
        <f t="shared" si="216"/>
        <v>1</v>
      </c>
    </row>
    <row r="948" spans="1:19" x14ac:dyDescent="0.35">
      <c r="A948" s="8" t="s">
        <v>1909</v>
      </c>
      <c r="B948" s="8" t="s">
        <v>1910</v>
      </c>
      <c r="C948" s="8" t="s">
        <v>70</v>
      </c>
      <c r="D948" s="8" t="str">
        <f t="shared" si="224"/>
        <v>Male</v>
      </c>
      <c r="E948" s="13"/>
      <c r="F948" s="8">
        <f t="shared" si="212"/>
        <v>41</v>
      </c>
      <c r="G948" s="8" t="s">
        <v>151</v>
      </c>
      <c r="H948" s="8" t="s">
        <v>51</v>
      </c>
      <c r="I948" s="8" t="s">
        <v>27</v>
      </c>
      <c r="J948" s="8">
        <v>1</v>
      </c>
      <c r="K948" s="8">
        <f t="shared" si="213"/>
        <v>1</v>
      </c>
      <c r="L948" s="8">
        <v>75</v>
      </c>
      <c r="M948" s="9">
        <f t="shared" si="214"/>
        <v>75</v>
      </c>
      <c r="N948" s="8">
        <v>0</v>
      </c>
      <c r="O948" s="11">
        <f t="shared" si="215"/>
        <v>0</v>
      </c>
      <c r="P948" s="8" t="s">
        <v>2051</v>
      </c>
      <c r="Q948" s="14">
        <v>0.94</v>
      </c>
      <c r="R948" s="12">
        <f t="shared" si="225"/>
        <v>0.94</v>
      </c>
      <c r="S948" s="12">
        <f t="shared" si="216"/>
        <v>0.94</v>
      </c>
    </row>
    <row r="949" spans="1:19" x14ac:dyDescent="0.35">
      <c r="A949" s="8" t="s">
        <v>1911</v>
      </c>
      <c r="B949" s="8" t="s">
        <v>1912</v>
      </c>
      <c r="C949" s="8" t="s">
        <v>19</v>
      </c>
      <c r="D949" s="8" t="str">
        <f t="shared" si="224"/>
        <v>Female</v>
      </c>
      <c r="E949" s="8">
        <v>38</v>
      </c>
      <c r="F949" s="8">
        <f t="shared" si="212"/>
        <v>38</v>
      </c>
      <c r="G949" s="8" t="s">
        <v>42</v>
      </c>
      <c r="H949" s="8" t="s">
        <v>43</v>
      </c>
      <c r="I949" s="8" t="s">
        <v>10</v>
      </c>
      <c r="J949" s="8">
        <v>8</v>
      </c>
      <c r="K949" s="8">
        <f t="shared" si="213"/>
        <v>8</v>
      </c>
      <c r="L949" s="8">
        <v>30</v>
      </c>
      <c r="M949" s="9">
        <f t="shared" si="214"/>
        <v>30</v>
      </c>
      <c r="N949" s="8">
        <v>4</v>
      </c>
      <c r="O949" s="10">
        <f t="shared" si="215"/>
        <v>4</v>
      </c>
      <c r="P949" s="8" t="s">
        <v>2051</v>
      </c>
      <c r="Q949" s="14">
        <v>0.92</v>
      </c>
      <c r="R949" s="12">
        <f t="shared" si="225"/>
        <v>0.92</v>
      </c>
      <c r="S949" s="12">
        <f t="shared" si="216"/>
        <v>0.92</v>
      </c>
    </row>
    <row r="950" spans="1:19" x14ac:dyDescent="0.35">
      <c r="A950" s="8" t="s">
        <v>1913</v>
      </c>
      <c r="B950" s="8" t="s">
        <v>1914</v>
      </c>
      <c r="C950" s="8" t="s">
        <v>55</v>
      </c>
      <c r="D950" s="8" t="str">
        <f t="shared" si="224"/>
        <v>Female</v>
      </c>
      <c r="E950" s="8">
        <v>28</v>
      </c>
      <c r="F950" s="8">
        <f t="shared" si="212"/>
        <v>28</v>
      </c>
      <c r="G950" s="8" t="s">
        <v>110</v>
      </c>
      <c r="H950" s="8" t="s">
        <v>111</v>
      </c>
      <c r="I950" s="8" t="s">
        <v>67</v>
      </c>
      <c r="J950" s="8">
        <v>8</v>
      </c>
      <c r="K950" s="8">
        <f t="shared" si="213"/>
        <v>8</v>
      </c>
      <c r="L950" s="8">
        <v>50</v>
      </c>
      <c r="M950" s="9">
        <f t="shared" si="214"/>
        <v>50</v>
      </c>
      <c r="N950" s="8">
        <v>2.5</v>
      </c>
      <c r="O950" s="10">
        <f t="shared" si="215"/>
        <v>2.5</v>
      </c>
      <c r="P950" s="8" t="s">
        <v>2051</v>
      </c>
      <c r="Q950" s="14">
        <v>0.95</v>
      </c>
      <c r="R950" s="12">
        <f t="shared" si="225"/>
        <v>0.95</v>
      </c>
      <c r="S950" s="12">
        <f t="shared" si="216"/>
        <v>0.95</v>
      </c>
    </row>
    <row r="951" spans="1:19" x14ac:dyDescent="0.35">
      <c r="A951" s="8" t="s">
        <v>1915</v>
      </c>
      <c r="B951" s="8" t="s">
        <v>1916</v>
      </c>
      <c r="C951" s="8" t="s">
        <v>30</v>
      </c>
      <c r="D951" s="8" t="str">
        <f t="shared" si="224"/>
        <v>Male</v>
      </c>
      <c r="E951" s="8">
        <v>25</v>
      </c>
      <c r="F951" s="8">
        <f t="shared" si="212"/>
        <v>25</v>
      </c>
      <c r="G951" s="8" t="s">
        <v>84</v>
      </c>
      <c r="H951" s="8" t="s">
        <v>85</v>
      </c>
      <c r="I951" s="8" t="s">
        <v>67</v>
      </c>
      <c r="J951" s="8">
        <v>7</v>
      </c>
      <c r="K951" s="8">
        <f t="shared" si="213"/>
        <v>7</v>
      </c>
      <c r="L951" s="8">
        <v>20</v>
      </c>
      <c r="M951" s="9">
        <f t="shared" si="214"/>
        <v>20</v>
      </c>
      <c r="N951" s="8">
        <v>3.8</v>
      </c>
      <c r="O951" s="10">
        <f t="shared" si="215"/>
        <v>3.8</v>
      </c>
      <c r="P951" s="13" t="s">
        <v>2050</v>
      </c>
      <c r="Q951" s="14">
        <v>0.97</v>
      </c>
      <c r="R951" s="12">
        <f t="shared" si="225"/>
        <v>0.97</v>
      </c>
      <c r="S951" s="12">
        <f t="shared" si="216"/>
        <v>0.97</v>
      </c>
    </row>
    <row r="952" spans="1:19" x14ac:dyDescent="0.35">
      <c r="A952" s="8" t="s">
        <v>1917</v>
      </c>
      <c r="B952" s="8" t="s">
        <v>1918</v>
      </c>
      <c r="C952" s="8" t="s">
        <v>75</v>
      </c>
      <c r="D952" s="8" t="str">
        <f t="shared" si="224"/>
        <v>Male</v>
      </c>
      <c r="E952" s="8">
        <v>41</v>
      </c>
      <c r="F952" s="8">
        <f t="shared" si="212"/>
        <v>41</v>
      </c>
      <c r="G952" s="8" t="s">
        <v>46</v>
      </c>
      <c r="H952" s="8" t="s">
        <v>9</v>
      </c>
      <c r="I952" s="8" t="s">
        <v>67</v>
      </c>
      <c r="J952" s="8">
        <v>8</v>
      </c>
      <c r="K952" s="8">
        <f t="shared" si="213"/>
        <v>8</v>
      </c>
      <c r="L952" s="8">
        <v>50</v>
      </c>
      <c r="M952" s="9">
        <f t="shared" si="214"/>
        <v>50</v>
      </c>
      <c r="N952" s="8">
        <v>4.8</v>
      </c>
      <c r="O952" s="10">
        <f t="shared" si="215"/>
        <v>4.8</v>
      </c>
      <c r="P952" s="8" t="s">
        <v>2050</v>
      </c>
      <c r="Q952" s="14">
        <v>0.75</v>
      </c>
      <c r="R952" s="12">
        <f t="shared" si="225"/>
        <v>0.75</v>
      </c>
      <c r="S952" s="12">
        <f t="shared" si="216"/>
        <v>0.75</v>
      </c>
    </row>
    <row r="953" spans="1:19" x14ac:dyDescent="0.35">
      <c r="A953" s="8" t="s">
        <v>1919</v>
      </c>
      <c r="B953" s="8" t="s">
        <v>1920</v>
      </c>
      <c r="C953" s="8" t="s">
        <v>1</v>
      </c>
      <c r="D953" s="8" t="str">
        <f t="shared" si="224"/>
        <v>Female</v>
      </c>
      <c r="E953" s="8">
        <v>45</v>
      </c>
      <c r="F953" s="8">
        <f t="shared" si="212"/>
        <v>45</v>
      </c>
      <c r="G953" s="8" t="s">
        <v>151</v>
      </c>
      <c r="H953" s="8" t="s">
        <v>51</v>
      </c>
      <c r="I953" s="8" t="s">
        <v>33</v>
      </c>
      <c r="J953" s="8">
        <v>6</v>
      </c>
      <c r="K953" s="8">
        <f t="shared" si="213"/>
        <v>6</v>
      </c>
      <c r="L953" s="8">
        <v>40</v>
      </c>
      <c r="M953" s="9">
        <f t="shared" si="214"/>
        <v>40</v>
      </c>
      <c r="N953" s="8">
        <v>2</v>
      </c>
      <c r="O953" s="10">
        <f t="shared" si="215"/>
        <v>2</v>
      </c>
      <c r="P953" s="8" t="s">
        <v>2051</v>
      </c>
      <c r="Q953" s="14">
        <v>0.78</v>
      </c>
      <c r="R953" s="12">
        <f t="shared" si="225"/>
        <v>0.78</v>
      </c>
      <c r="S953" s="12">
        <f t="shared" si="216"/>
        <v>0.78</v>
      </c>
    </row>
    <row r="954" spans="1:19" x14ac:dyDescent="0.35">
      <c r="A954" s="8" t="s">
        <v>1921</v>
      </c>
      <c r="B954" s="8" t="s">
        <v>1922</v>
      </c>
      <c r="C954" s="8" t="s">
        <v>30</v>
      </c>
      <c r="D954" s="8" t="str">
        <f t="shared" si="224"/>
        <v>Male</v>
      </c>
      <c r="E954" s="8">
        <v>47</v>
      </c>
      <c r="F954" s="8">
        <f t="shared" si="212"/>
        <v>47</v>
      </c>
      <c r="G954" s="8" t="s">
        <v>42</v>
      </c>
      <c r="H954" s="8" t="s">
        <v>43</v>
      </c>
      <c r="I954" s="8" t="s">
        <v>67</v>
      </c>
      <c r="J954" s="8">
        <v>16</v>
      </c>
      <c r="K954" s="8">
        <f t="shared" si="213"/>
        <v>16</v>
      </c>
      <c r="L954" s="8">
        <v>100</v>
      </c>
      <c r="M954" s="9">
        <f t="shared" si="214"/>
        <v>100</v>
      </c>
      <c r="N954" s="8">
        <v>3.3</v>
      </c>
      <c r="O954" s="10">
        <f t="shared" si="215"/>
        <v>3.3</v>
      </c>
      <c r="P954" s="8" t="s">
        <v>2050</v>
      </c>
      <c r="Q954" s="14">
        <v>0.65</v>
      </c>
      <c r="R954" s="12">
        <f t="shared" si="225"/>
        <v>0.65</v>
      </c>
      <c r="S954" s="12">
        <f t="shared" si="216"/>
        <v>0.65</v>
      </c>
    </row>
    <row r="955" spans="1:19" x14ac:dyDescent="0.35">
      <c r="A955" s="8" t="s">
        <v>1923</v>
      </c>
      <c r="B955" s="8" t="s">
        <v>1924</v>
      </c>
      <c r="C955" s="8" t="s">
        <v>19</v>
      </c>
      <c r="D955" s="8" t="str">
        <f t="shared" si="224"/>
        <v>Female</v>
      </c>
      <c r="E955" s="8">
        <v>59</v>
      </c>
      <c r="F955" s="8">
        <f t="shared" si="212"/>
        <v>59</v>
      </c>
      <c r="G955" s="8" t="s">
        <v>46</v>
      </c>
      <c r="H955" s="8" t="s">
        <v>9</v>
      </c>
      <c r="I955" s="8" t="s">
        <v>33</v>
      </c>
      <c r="J955" s="8">
        <v>40</v>
      </c>
      <c r="K955" s="8">
        <f t="shared" si="213"/>
        <v>40</v>
      </c>
      <c r="L955" s="8">
        <v>40</v>
      </c>
      <c r="M955" s="9">
        <f t="shared" si="214"/>
        <v>40</v>
      </c>
      <c r="N955" s="8">
        <v>2.5</v>
      </c>
      <c r="O955" s="10">
        <f t="shared" si="215"/>
        <v>2.5</v>
      </c>
      <c r="P955" s="8" t="s">
        <v>2051</v>
      </c>
      <c r="Q955" s="8">
        <v>70</v>
      </c>
      <c r="R955" s="12">
        <v>0.7</v>
      </c>
      <c r="S955" s="12">
        <f t="shared" si="216"/>
        <v>0.7</v>
      </c>
    </row>
    <row r="956" spans="1:19" x14ac:dyDescent="0.35">
      <c r="A956" s="8" t="s">
        <v>1925</v>
      </c>
      <c r="B956" s="8" t="s">
        <v>1926</v>
      </c>
      <c r="C956" s="8" t="s">
        <v>55</v>
      </c>
      <c r="D956" s="8" t="str">
        <f t="shared" si="224"/>
        <v>Female</v>
      </c>
      <c r="E956" s="8">
        <v>25</v>
      </c>
      <c r="F956" s="8">
        <f t="shared" si="212"/>
        <v>25</v>
      </c>
      <c r="G956" s="8" t="s">
        <v>103</v>
      </c>
      <c r="H956" s="8" t="s">
        <v>9</v>
      </c>
      <c r="I956" s="8" t="s">
        <v>4</v>
      </c>
      <c r="J956" s="8">
        <v>6</v>
      </c>
      <c r="K956" s="8">
        <f t="shared" si="213"/>
        <v>6</v>
      </c>
      <c r="L956" s="8">
        <v>100</v>
      </c>
      <c r="M956" s="9">
        <f t="shared" si="214"/>
        <v>100</v>
      </c>
      <c r="O956" s="10">
        <f t="shared" si="215"/>
        <v>2.5125695216907653</v>
      </c>
      <c r="P956" s="8" t="s">
        <v>2051</v>
      </c>
      <c r="Q956" s="8">
        <v>78</v>
      </c>
      <c r="R956" s="12">
        <v>0.78</v>
      </c>
      <c r="S956" s="12">
        <f t="shared" si="216"/>
        <v>0.78</v>
      </c>
    </row>
    <row r="957" spans="1:19" x14ac:dyDescent="0.35">
      <c r="A957" s="8" t="s">
        <v>1927</v>
      </c>
      <c r="B957" s="8" t="s">
        <v>1928</v>
      </c>
      <c r="C957" s="8" t="s">
        <v>75</v>
      </c>
      <c r="D957" s="8" t="str">
        <f t="shared" si="224"/>
        <v>Male</v>
      </c>
      <c r="E957" s="8">
        <v>27</v>
      </c>
      <c r="F957" s="8">
        <f t="shared" si="212"/>
        <v>27</v>
      </c>
      <c r="G957" s="8" t="s">
        <v>8</v>
      </c>
      <c r="H957" s="8" t="s">
        <v>9</v>
      </c>
      <c r="I957" s="8" t="s">
        <v>20</v>
      </c>
      <c r="J957" s="8">
        <v>3</v>
      </c>
      <c r="K957" s="8">
        <f t="shared" si="213"/>
        <v>3</v>
      </c>
      <c r="L957" s="8">
        <v>50</v>
      </c>
      <c r="M957" s="9">
        <f t="shared" si="214"/>
        <v>50</v>
      </c>
      <c r="O957" s="10">
        <f t="shared" si="215"/>
        <v>2.5125695216907653</v>
      </c>
      <c r="P957" s="8" t="s">
        <v>2051</v>
      </c>
      <c r="Q957" s="14">
        <v>0.96</v>
      </c>
      <c r="R957" s="12">
        <f t="shared" ref="R957:R960" si="226">Q957</f>
        <v>0.96</v>
      </c>
      <c r="S957" s="12">
        <f t="shared" si="216"/>
        <v>0.96</v>
      </c>
    </row>
    <row r="958" spans="1:19" x14ac:dyDescent="0.35">
      <c r="A958" s="8" t="s">
        <v>1929</v>
      </c>
      <c r="B958" s="8" t="s">
        <v>1930</v>
      </c>
      <c r="C958" s="8" t="s">
        <v>19</v>
      </c>
      <c r="D958" s="8" t="str">
        <f t="shared" si="224"/>
        <v>Female</v>
      </c>
      <c r="E958" s="8">
        <v>57</v>
      </c>
      <c r="F958" s="8">
        <f t="shared" si="212"/>
        <v>57</v>
      </c>
      <c r="G958" s="8" t="s">
        <v>8</v>
      </c>
      <c r="H958" s="8" t="s">
        <v>9</v>
      </c>
      <c r="I958" s="8" t="s">
        <v>27</v>
      </c>
      <c r="J958" s="8">
        <v>5</v>
      </c>
      <c r="K958" s="8">
        <f t="shared" si="213"/>
        <v>5</v>
      </c>
      <c r="L958" s="8">
        <v>100</v>
      </c>
      <c r="M958" s="9">
        <f t="shared" si="214"/>
        <v>100</v>
      </c>
      <c r="N958" s="8">
        <v>0</v>
      </c>
      <c r="O958" s="11">
        <f t="shared" si="215"/>
        <v>0</v>
      </c>
      <c r="P958" s="8" t="s">
        <v>2051</v>
      </c>
      <c r="Q958" s="14">
        <v>0.8</v>
      </c>
      <c r="R958" s="12">
        <f t="shared" si="226"/>
        <v>0.8</v>
      </c>
      <c r="S958" s="12">
        <f t="shared" si="216"/>
        <v>0.8</v>
      </c>
    </row>
    <row r="959" spans="1:19" x14ac:dyDescent="0.35">
      <c r="A959" s="8" t="s">
        <v>1931</v>
      </c>
      <c r="B959" s="8" t="s">
        <v>1932</v>
      </c>
      <c r="C959" s="8" t="s">
        <v>19</v>
      </c>
      <c r="D959" s="8" t="str">
        <f t="shared" si="224"/>
        <v>Female</v>
      </c>
      <c r="E959" s="8">
        <v>34</v>
      </c>
      <c r="F959" s="8">
        <f t="shared" si="212"/>
        <v>34</v>
      </c>
      <c r="G959" s="8" t="s">
        <v>42</v>
      </c>
      <c r="H959" s="8" t="s">
        <v>43</v>
      </c>
      <c r="I959" s="8" t="s">
        <v>52</v>
      </c>
      <c r="J959" s="8">
        <v>12</v>
      </c>
      <c r="K959" s="8">
        <f t="shared" si="213"/>
        <v>12</v>
      </c>
      <c r="L959" s="8">
        <v>20</v>
      </c>
      <c r="M959" s="9">
        <f t="shared" si="214"/>
        <v>20</v>
      </c>
      <c r="N959" s="8">
        <v>1.6</v>
      </c>
      <c r="O959" s="10">
        <f t="shared" si="215"/>
        <v>1.6</v>
      </c>
      <c r="P959" s="8" t="s">
        <v>2051</v>
      </c>
      <c r="Q959" s="14">
        <v>0.64</v>
      </c>
      <c r="R959" s="12">
        <f t="shared" si="226"/>
        <v>0.64</v>
      </c>
      <c r="S959" s="12">
        <f t="shared" si="216"/>
        <v>0.64</v>
      </c>
    </row>
    <row r="960" spans="1:19" x14ac:dyDescent="0.35">
      <c r="A960" s="8" t="s">
        <v>1933</v>
      </c>
      <c r="B960" s="8" t="s">
        <v>1934</v>
      </c>
      <c r="C960" s="8" t="s">
        <v>70</v>
      </c>
      <c r="D960" s="8" t="str">
        <f t="shared" si="224"/>
        <v>Male</v>
      </c>
      <c r="E960" s="8">
        <v>55</v>
      </c>
      <c r="F960" s="8">
        <f t="shared" si="212"/>
        <v>55</v>
      </c>
      <c r="G960" s="8" t="s">
        <v>110</v>
      </c>
      <c r="H960" s="8" t="s">
        <v>111</v>
      </c>
      <c r="I960" s="8" t="s">
        <v>52</v>
      </c>
      <c r="J960" s="8">
        <v>33</v>
      </c>
      <c r="K960" s="8">
        <f t="shared" si="213"/>
        <v>33</v>
      </c>
      <c r="L960" s="8">
        <v>50</v>
      </c>
      <c r="M960" s="9">
        <f t="shared" si="214"/>
        <v>50</v>
      </c>
      <c r="N960" s="8">
        <v>0</v>
      </c>
      <c r="O960" s="11">
        <f t="shared" si="215"/>
        <v>0</v>
      </c>
      <c r="P960" s="8" t="s">
        <v>2050</v>
      </c>
      <c r="Q960" s="14">
        <v>0.92</v>
      </c>
      <c r="R960" s="12">
        <f t="shared" si="226"/>
        <v>0.92</v>
      </c>
      <c r="S960" s="12">
        <f t="shared" si="216"/>
        <v>0.92</v>
      </c>
    </row>
    <row r="961" spans="1:19" x14ac:dyDescent="0.35">
      <c r="A961" s="8" t="s">
        <v>1935</v>
      </c>
      <c r="B961" s="8" t="s">
        <v>1936</v>
      </c>
      <c r="C961" s="8" t="s">
        <v>13</v>
      </c>
      <c r="D961" s="8" t="str">
        <f t="shared" si="224"/>
        <v>Male</v>
      </c>
      <c r="E961" s="8">
        <v>21</v>
      </c>
      <c r="F961" s="8">
        <f t="shared" si="212"/>
        <v>21</v>
      </c>
      <c r="G961" s="8" t="s">
        <v>114</v>
      </c>
      <c r="H961" s="8" t="s">
        <v>115</v>
      </c>
      <c r="I961" s="8" t="s">
        <v>4</v>
      </c>
      <c r="J961" s="8">
        <v>1</v>
      </c>
      <c r="K961" s="8">
        <f t="shared" si="213"/>
        <v>1</v>
      </c>
      <c r="L961" s="8">
        <v>100</v>
      </c>
      <c r="M961" s="9">
        <f t="shared" si="214"/>
        <v>100</v>
      </c>
      <c r="N961" s="8">
        <v>0</v>
      </c>
      <c r="O961" s="11">
        <f t="shared" si="215"/>
        <v>0</v>
      </c>
      <c r="P961" s="8" t="s">
        <v>2051</v>
      </c>
      <c r="Q961" s="13"/>
      <c r="S961" s="12">
        <f t="shared" si="216"/>
        <v>0.79269417475728277</v>
      </c>
    </row>
    <row r="962" spans="1:19" x14ac:dyDescent="0.35">
      <c r="A962" s="8" t="s">
        <v>1937</v>
      </c>
      <c r="B962" s="8" t="s">
        <v>1938</v>
      </c>
      <c r="C962" s="8" t="s">
        <v>41</v>
      </c>
      <c r="D962" s="8" t="str">
        <f t="shared" si="224"/>
        <v>Male</v>
      </c>
      <c r="E962" s="8">
        <v>53</v>
      </c>
      <c r="F962" s="8">
        <f t="shared" si="212"/>
        <v>53</v>
      </c>
      <c r="G962" s="8" t="s">
        <v>25</v>
      </c>
      <c r="H962" s="8" t="s">
        <v>26</v>
      </c>
      <c r="I962" s="8" t="s">
        <v>67</v>
      </c>
      <c r="J962" s="8">
        <v>27</v>
      </c>
      <c r="K962" s="8">
        <f t="shared" si="213"/>
        <v>27</v>
      </c>
      <c r="L962" s="8">
        <v>20</v>
      </c>
      <c r="M962" s="9">
        <f t="shared" si="214"/>
        <v>20</v>
      </c>
      <c r="N962" s="8">
        <v>4.7</v>
      </c>
      <c r="O962" s="10">
        <f t="shared" si="215"/>
        <v>4.7</v>
      </c>
      <c r="P962" s="8" t="s">
        <v>2051</v>
      </c>
      <c r="Q962" s="8">
        <v>71</v>
      </c>
      <c r="R962" s="12">
        <v>0.71</v>
      </c>
      <c r="S962" s="12">
        <f t="shared" si="216"/>
        <v>0.71</v>
      </c>
    </row>
    <row r="963" spans="1:19" x14ac:dyDescent="0.35">
      <c r="A963" s="8" t="s">
        <v>1939</v>
      </c>
      <c r="B963" s="8" t="s">
        <v>1940</v>
      </c>
      <c r="C963" s="8" t="s">
        <v>1</v>
      </c>
      <c r="D963" s="8" t="str">
        <f t="shared" si="224"/>
        <v>Female</v>
      </c>
      <c r="E963" s="8">
        <v>21</v>
      </c>
      <c r="F963" s="8">
        <f t="shared" ref="F963:F1001" si="227">IF(ISBLANK(E963),MEDIAN($E$2:$E$1001),E963)</f>
        <v>21</v>
      </c>
      <c r="G963" s="8" t="s">
        <v>14</v>
      </c>
      <c r="H963" s="8" t="s">
        <v>15</v>
      </c>
      <c r="I963" s="8" t="s">
        <v>52</v>
      </c>
      <c r="J963" s="8">
        <v>1</v>
      </c>
      <c r="K963" s="8">
        <f t="shared" ref="K963:K1001" si="228">IF(ISBLANK(J963),MEDIAN($J$2:$J$1001),J963)</f>
        <v>1</v>
      </c>
      <c r="L963" s="8">
        <v>100</v>
      </c>
      <c r="M963" s="9">
        <f t="shared" ref="M963:M1001" si="229">IF(ISBLANK(L963),MEDIAN($L$2:$L$1001),L963)</f>
        <v>100</v>
      </c>
      <c r="N963" s="8">
        <v>0</v>
      </c>
      <c r="O963" s="11">
        <f t="shared" ref="O963:O1001" si="230">IF(ISBLANK(N963),AVERAGE($N$2:$N$1001),N963)</f>
        <v>0</v>
      </c>
      <c r="P963" s="8" t="s">
        <v>2051</v>
      </c>
      <c r="Q963" s="14">
        <v>0.95</v>
      </c>
      <c r="R963" s="12">
        <f t="shared" ref="R963:R965" si="231">Q963</f>
        <v>0.95</v>
      </c>
      <c r="S963" s="12">
        <f t="shared" si="216"/>
        <v>0.95</v>
      </c>
    </row>
    <row r="964" spans="1:19" x14ac:dyDescent="0.35">
      <c r="A964" s="8" t="s">
        <v>1941</v>
      </c>
      <c r="B964" s="8" t="s">
        <v>1942</v>
      </c>
      <c r="C964" s="8" t="s">
        <v>7</v>
      </c>
      <c r="D964" s="8" t="str">
        <f t="shared" si="224"/>
        <v>Female</v>
      </c>
      <c r="E964" s="8">
        <v>36</v>
      </c>
      <c r="F964" s="8">
        <f t="shared" si="227"/>
        <v>36</v>
      </c>
      <c r="G964" s="8" t="s">
        <v>84</v>
      </c>
      <c r="H964" s="8" t="s">
        <v>85</v>
      </c>
      <c r="I964" s="8" t="s">
        <v>20</v>
      </c>
      <c r="J964" s="13"/>
      <c r="K964" s="8">
        <f t="shared" si="228"/>
        <v>9</v>
      </c>
      <c r="L964" s="8">
        <v>20</v>
      </c>
      <c r="M964" s="9">
        <f t="shared" si="229"/>
        <v>20</v>
      </c>
      <c r="N964" s="8">
        <v>4.0999999999999996</v>
      </c>
      <c r="O964" s="10">
        <f t="shared" si="230"/>
        <v>4.0999999999999996</v>
      </c>
      <c r="P964" s="8" t="s">
        <v>2050</v>
      </c>
      <c r="Q964" s="14">
        <v>0.86</v>
      </c>
      <c r="R964" s="12">
        <f t="shared" si="231"/>
        <v>0.86</v>
      </c>
      <c r="S964" s="12">
        <f t="shared" ref="S964:S1001" si="232">IF(ISBLANK(R964),AVERAGE($R$2:$R$1001),R964)</f>
        <v>0.86</v>
      </c>
    </row>
    <row r="965" spans="1:19" x14ac:dyDescent="0.35">
      <c r="A965" s="8" t="s">
        <v>1943</v>
      </c>
      <c r="B965" s="8" t="s">
        <v>2016</v>
      </c>
      <c r="C965" s="8" t="s">
        <v>13</v>
      </c>
      <c r="D965" s="8" t="str">
        <f t="shared" si="224"/>
        <v>Male</v>
      </c>
      <c r="E965" s="8">
        <v>40</v>
      </c>
      <c r="F965" s="8">
        <f t="shared" si="227"/>
        <v>40</v>
      </c>
      <c r="G965" s="8" t="s">
        <v>14</v>
      </c>
      <c r="H965" s="8" t="s">
        <v>15</v>
      </c>
      <c r="I965" s="8" t="s">
        <v>27</v>
      </c>
      <c r="J965" s="8">
        <v>2</v>
      </c>
      <c r="K965" s="8">
        <f t="shared" si="228"/>
        <v>2</v>
      </c>
      <c r="L965" s="8">
        <v>30</v>
      </c>
      <c r="M965" s="9">
        <f t="shared" si="229"/>
        <v>30</v>
      </c>
      <c r="N965" s="8">
        <v>1.3</v>
      </c>
      <c r="O965" s="10">
        <f t="shared" si="230"/>
        <v>1.3</v>
      </c>
      <c r="P965" s="8" t="s">
        <v>2051</v>
      </c>
      <c r="Q965" s="14">
        <v>0.77</v>
      </c>
      <c r="R965" s="12">
        <f t="shared" si="231"/>
        <v>0.77</v>
      </c>
      <c r="S965" s="12">
        <f t="shared" si="232"/>
        <v>0.77</v>
      </c>
    </row>
    <row r="966" spans="1:19" x14ac:dyDescent="0.35">
      <c r="A966" s="8" t="s">
        <v>1944</v>
      </c>
      <c r="B966" s="8" t="s">
        <v>1945</v>
      </c>
      <c r="C966" s="8" t="s">
        <v>55</v>
      </c>
      <c r="D966" s="8" t="str">
        <f t="shared" si="224"/>
        <v>Female</v>
      </c>
      <c r="E966" s="8">
        <v>59</v>
      </c>
      <c r="F966" s="8">
        <f t="shared" si="227"/>
        <v>59</v>
      </c>
      <c r="G966" s="8" t="s">
        <v>46</v>
      </c>
      <c r="H966" s="8" t="s">
        <v>9</v>
      </c>
      <c r="I966" s="8" t="s">
        <v>52</v>
      </c>
      <c r="J966" s="8">
        <v>40</v>
      </c>
      <c r="K966" s="8">
        <f t="shared" si="228"/>
        <v>40</v>
      </c>
      <c r="L966" s="8">
        <v>100</v>
      </c>
      <c r="M966" s="9">
        <f t="shared" si="229"/>
        <v>100</v>
      </c>
      <c r="N966" s="8">
        <v>2.6</v>
      </c>
      <c r="O966" s="10">
        <f t="shared" si="230"/>
        <v>2.6</v>
      </c>
      <c r="P966" s="13" t="s">
        <v>2050</v>
      </c>
      <c r="Q966" s="13"/>
      <c r="S966" s="12">
        <f t="shared" si="232"/>
        <v>0.79269417475728277</v>
      </c>
    </row>
    <row r="967" spans="1:19" x14ac:dyDescent="0.35">
      <c r="A967" s="8" t="s">
        <v>1946</v>
      </c>
      <c r="B967" s="8" t="s">
        <v>2046</v>
      </c>
      <c r="C967" s="8" t="s">
        <v>30</v>
      </c>
      <c r="D967" s="8" t="str">
        <f t="shared" si="224"/>
        <v>Male</v>
      </c>
      <c r="E967" s="8">
        <v>45</v>
      </c>
      <c r="F967" s="8">
        <f t="shared" si="227"/>
        <v>45</v>
      </c>
      <c r="G967" s="8" t="s">
        <v>25</v>
      </c>
      <c r="H967" s="8" t="s">
        <v>26</v>
      </c>
      <c r="I967" s="8" t="s">
        <v>56</v>
      </c>
      <c r="J967" s="8">
        <v>4</v>
      </c>
      <c r="K967" s="8">
        <f t="shared" si="228"/>
        <v>4</v>
      </c>
      <c r="L967" s="8">
        <v>20</v>
      </c>
      <c r="M967" s="9">
        <f t="shared" si="229"/>
        <v>20</v>
      </c>
      <c r="N967" s="8">
        <v>2.7</v>
      </c>
      <c r="O967" s="10">
        <f t="shared" si="230"/>
        <v>2.7</v>
      </c>
      <c r="P967" s="13" t="s">
        <v>2050</v>
      </c>
      <c r="Q967" s="14">
        <v>0.72</v>
      </c>
      <c r="R967" s="12">
        <f t="shared" ref="R967:R969" si="233">Q967</f>
        <v>0.72</v>
      </c>
      <c r="S967" s="12">
        <f t="shared" si="232"/>
        <v>0.72</v>
      </c>
    </row>
    <row r="968" spans="1:19" x14ac:dyDescent="0.35">
      <c r="A968" s="8" t="s">
        <v>1947</v>
      </c>
      <c r="B968" s="8" t="s">
        <v>1948</v>
      </c>
      <c r="C968" s="8" t="s">
        <v>41</v>
      </c>
      <c r="D968" s="8" t="str">
        <f t="shared" si="224"/>
        <v>Male</v>
      </c>
      <c r="E968" s="8">
        <v>44</v>
      </c>
      <c r="F968" s="8">
        <f t="shared" si="227"/>
        <v>44</v>
      </c>
      <c r="G968" s="8" t="s">
        <v>88</v>
      </c>
      <c r="H968" s="8" t="s">
        <v>89</v>
      </c>
      <c r="I968" s="8" t="s">
        <v>90</v>
      </c>
      <c r="J968" s="8">
        <v>9</v>
      </c>
      <c r="K968" s="8">
        <f t="shared" si="228"/>
        <v>9</v>
      </c>
      <c r="L968" s="8">
        <v>40</v>
      </c>
      <c r="M968" s="9">
        <f t="shared" si="229"/>
        <v>40</v>
      </c>
      <c r="O968" s="10">
        <f t="shared" si="230"/>
        <v>2.5125695216907653</v>
      </c>
      <c r="P968" s="8" t="s">
        <v>2050</v>
      </c>
      <c r="Q968" s="14">
        <v>0.7</v>
      </c>
      <c r="R968" s="12">
        <f t="shared" si="233"/>
        <v>0.7</v>
      </c>
      <c r="S968" s="12">
        <f t="shared" si="232"/>
        <v>0.7</v>
      </c>
    </row>
    <row r="969" spans="1:19" x14ac:dyDescent="0.35">
      <c r="A969" s="8" t="s">
        <v>1949</v>
      </c>
      <c r="B969" s="8" t="s">
        <v>1950</v>
      </c>
      <c r="C969" s="8" t="s">
        <v>7</v>
      </c>
      <c r="D969" s="8" t="str">
        <f t="shared" si="224"/>
        <v>Female</v>
      </c>
      <c r="E969" s="8">
        <v>36</v>
      </c>
      <c r="F969" s="8">
        <f t="shared" si="227"/>
        <v>36</v>
      </c>
      <c r="G969" s="8" t="s">
        <v>46</v>
      </c>
      <c r="H969" s="8" t="s">
        <v>9</v>
      </c>
      <c r="I969" s="8" t="s">
        <v>56</v>
      </c>
      <c r="J969" s="8">
        <v>13</v>
      </c>
      <c r="K969" s="8">
        <f t="shared" si="228"/>
        <v>13</v>
      </c>
      <c r="L969" s="8">
        <v>30</v>
      </c>
      <c r="M969" s="9">
        <f t="shared" si="229"/>
        <v>30</v>
      </c>
      <c r="N969" s="8">
        <v>3.6</v>
      </c>
      <c r="O969" s="10">
        <f t="shared" si="230"/>
        <v>3.6</v>
      </c>
      <c r="P969" s="8" t="s">
        <v>2050</v>
      </c>
      <c r="Q969" s="14">
        <v>0.86</v>
      </c>
      <c r="R969" s="12">
        <f t="shared" si="233"/>
        <v>0.86</v>
      </c>
      <c r="S969" s="12">
        <f t="shared" si="232"/>
        <v>0.86</v>
      </c>
    </row>
    <row r="970" spans="1:19" x14ac:dyDescent="0.35">
      <c r="A970" s="8" t="s">
        <v>1951</v>
      </c>
      <c r="B970" s="8" t="s">
        <v>2029</v>
      </c>
      <c r="C970" s="8" t="s">
        <v>55</v>
      </c>
      <c r="D970" s="8" t="str">
        <f t="shared" si="224"/>
        <v>Female</v>
      </c>
      <c r="E970" s="8">
        <v>26</v>
      </c>
      <c r="F970" s="8">
        <f t="shared" si="227"/>
        <v>26</v>
      </c>
      <c r="G970" s="8" t="s">
        <v>71</v>
      </c>
      <c r="H970" s="8" t="s">
        <v>72</v>
      </c>
      <c r="I970" s="8" t="s">
        <v>16</v>
      </c>
      <c r="J970" s="8">
        <v>1</v>
      </c>
      <c r="K970" s="8">
        <f t="shared" si="228"/>
        <v>1</v>
      </c>
      <c r="L970" s="8">
        <v>75</v>
      </c>
      <c r="M970" s="9">
        <f t="shared" si="229"/>
        <v>75</v>
      </c>
      <c r="N970" s="8">
        <v>3</v>
      </c>
      <c r="O970" s="10">
        <f t="shared" si="230"/>
        <v>3</v>
      </c>
      <c r="P970" s="8" t="s">
        <v>2051</v>
      </c>
      <c r="Q970" s="13"/>
      <c r="S970" s="12">
        <f t="shared" si="232"/>
        <v>0.79269417475728277</v>
      </c>
    </row>
    <row r="971" spans="1:19" x14ac:dyDescent="0.35">
      <c r="A971" s="8" t="s">
        <v>1952</v>
      </c>
      <c r="B971" s="8" t="s">
        <v>1953</v>
      </c>
      <c r="C971" s="8" t="s">
        <v>30</v>
      </c>
      <c r="D971" s="8" t="str">
        <f t="shared" si="224"/>
        <v>Male</v>
      </c>
      <c r="E971" s="8">
        <v>49</v>
      </c>
      <c r="F971" s="8">
        <f t="shared" si="227"/>
        <v>49</v>
      </c>
      <c r="G971" s="8" t="s">
        <v>71</v>
      </c>
      <c r="H971" s="8" t="s">
        <v>72</v>
      </c>
      <c r="I971" s="8" t="s">
        <v>20</v>
      </c>
      <c r="J971" s="8">
        <v>1</v>
      </c>
      <c r="K971" s="8">
        <f t="shared" si="228"/>
        <v>1</v>
      </c>
      <c r="L971" s="13"/>
      <c r="M971" s="9">
        <f t="shared" si="229"/>
        <v>40</v>
      </c>
      <c r="N971" s="8">
        <v>0</v>
      </c>
      <c r="O971" s="11">
        <f t="shared" si="230"/>
        <v>0</v>
      </c>
      <c r="P971" s="8" t="s">
        <v>2050</v>
      </c>
      <c r="Q971" s="14">
        <v>0.82</v>
      </c>
      <c r="R971" s="12">
        <f t="shared" ref="R971:R977" si="234">Q971</f>
        <v>0.82</v>
      </c>
      <c r="S971" s="12">
        <f t="shared" si="232"/>
        <v>0.82</v>
      </c>
    </row>
    <row r="972" spans="1:19" x14ac:dyDescent="0.35">
      <c r="A972" s="8" t="s">
        <v>1954</v>
      </c>
      <c r="B972" s="8" t="s">
        <v>1955</v>
      </c>
      <c r="C972" s="8" t="s">
        <v>30</v>
      </c>
      <c r="D972" s="8" t="str">
        <f t="shared" si="224"/>
        <v>Male</v>
      </c>
      <c r="E972" s="8">
        <v>29</v>
      </c>
      <c r="F972" s="8">
        <f t="shared" si="227"/>
        <v>29</v>
      </c>
      <c r="G972" s="8" t="s">
        <v>110</v>
      </c>
      <c r="H972" s="8" t="s">
        <v>111</v>
      </c>
      <c r="I972" s="8" t="s">
        <v>10</v>
      </c>
      <c r="J972" s="8">
        <v>3</v>
      </c>
      <c r="K972" s="8">
        <f t="shared" si="228"/>
        <v>3</v>
      </c>
      <c r="L972" s="8">
        <v>40</v>
      </c>
      <c r="M972" s="9">
        <f t="shared" si="229"/>
        <v>40</v>
      </c>
      <c r="N972" s="8">
        <v>0</v>
      </c>
      <c r="O972" s="11">
        <f t="shared" si="230"/>
        <v>0</v>
      </c>
      <c r="P972" s="8" t="s">
        <v>2051</v>
      </c>
      <c r="Q972" s="14">
        <v>0.81</v>
      </c>
      <c r="R972" s="12">
        <f t="shared" si="234"/>
        <v>0.81</v>
      </c>
      <c r="S972" s="12">
        <f t="shared" si="232"/>
        <v>0.81</v>
      </c>
    </row>
    <row r="973" spans="1:19" x14ac:dyDescent="0.35">
      <c r="A973" s="8" t="s">
        <v>1956</v>
      </c>
      <c r="B973" s="8" t="s">
        <v>1957</v>
      </c>
      <c r="C973" s="8" t="s">
        <v>30</v>
      </c>
      <c r="D973" s="8" t="str">
        <f t="shared" si="224"/>
        <v>Male</v>
      </c>
      <c r="E973" s="8">
        <v>32</v>
      </c>
      <c r="F973" s="8">
        <f t="shared" si="227"/>
        <v>32</v>
      </c>
      <c r="G973" s="8" t="s">
        <v>110</v>
      </c>
      <c r="H973" s="8" t="s">
        <v>111</v>
      </c>
      <c r="I973" s="8" t="s">
        <v>16</v>
      </c>
      <c r="J973" s="8">
        <v>1</v>
      </c>
      <c r="K973" s="8">
        <f t="shared" si="228"/>
        <v>1</v>
      </c>
      <c r="L973" s="8">
        <v>40</v>
      </c>
      <c r="M973" s="9">
        <f t="shared" si="229"/>
        <v>40</v>
      </c>
      <c r="N973" s="8">
        <v>3.1</v>
      </c>
      <c r="O973" s="10">
        <f t="shared" si="230"/>
        <v>3.1</v>
      </c>
      <c r="P973" s="8" t="s">
        <v>2051</v>
      </c>
      <c r="Q973" s="14">
        <v>0.76</v>
      </c>
      <c r="R973" s="12">
        <f t="shared" si="234"/>
        <v>0.76</v>
      </c>
      <c r="S973" s="12">
        <f t="shared" si="232"/>
        <v>0.76</v>
      </c>
    </row>
    <row r="974" spans="1:19" x14ac:dyDescent="0.35">
      <c r="A974" s="8" t="s">
        <v>1958</v>
      </c>
      <c r="B974" s="8" t="s">
        <v>1959</v>
      </c>
      <c r="C974" s="8" t="s">
        <v>41</v>
      </c>
      <c r="D974" s="8" t="str">
        <f t="shared" si="224"/>
        <v>Male</v>
      </c>
      <c r="E974" s="8">
        <v>24</v>
      </c>
      <c r="F974" s="8">
        <f t="shared" si="227"/>
        <v>24</v>
      </c>
      <c r="G974" s="8" t="s">
        <v>31</v>
      </c>
      <c r="H974" s="8" t="s">
        <v>32</v>
      </c>
      <c r="I974" s="8" t="s">
        <v>4</v>
      </c>
      <c r="J974" s="8">
        <v>3</v>
      </c>
      <c r="K974" s="8">
        <f t="shared" si="228"/>
        <v>3</v>
      </c>
      <c r="L974" s="8">
        <v>30</v>
      </c>
      <c r="M974" s="9">
        <f t="shared" si="229"/>
        <v>30</v>
      </c>
      <c r="N974" s="8">
        <v>3.9</v>
      </c>
      <c r="O974" s="10">
        <f t="shared" si="230"/>
        <v>3.9</v>
      </c>
      <c r="P974" s="8" t="s">
        <v>2050</v>
      </c>
      <c r="Q974" s="14">
        <v>0.9</v>
      </c>
      <c r="R974" s="12">
        <f t="shared" si="234"/>
        <v>0.9</v>
      </c>
      <c r="S974" s="12">
        <f t="shared" si="232"/>
        <v>0.9</v>
      </c>
    </row>
    <row r="975" spans="1:19" x14ac:dyDescent="0.35">
      <c r="A975" s="8" t="s">
        <v>1960</v>
      </c>
      <c r="B975" s="8" t="s">
        <v>1961</v>
      </c>
      <c r="C975" s="8" t="s">
        <v>41</v>
      </c>
      <c r="D975" s="8" t="str">
        <f t="shared" si="224"/>
        <v>Male</v>
      </c>
      <c r="E975" s="8">
        <v>35</v>
      </c>
      <c r="F975" s="8">
        <f t="shared" si="227"/>
        <v>35</v>
      </c>
      <c r="G975" s="8" t="s">
        <v>88</v>
      </c>
      <c r="H975" s="8" t="s">
        <v>89</v>
      </c>
      <c r="I975" s="8" t="s">
        <v>67</v>
      </c>
      <c r="J975" s="8">
        <v>14</v>
      </c>
      <c r="K975" s="8">
        <f t="shared" si="228"/>
        <v>14</v>
      </c>
      <c r="L975" s="8">
        <v>30</v>
      </c>
      <c r="M975" s="9">
        <f t="shared" si="229"/>
        <v>30</v>
      </c>
      <c r="N975" s="8">
        <v>1.6</v>
      </c>
      <c r="O975" s="10">
        <f t="shared" si="230"/>
        <v>1.6</v>
      </c>
      <c r="P975" s="8" t="s">
        <v>2051</v>
      </c>
      <c r="Q975" s="14">
        <v>0.67</v>
      </c>
      <c r="R975" s="12">
        <f t="shared" si="234"/>
        <v>0.67</v>
      </c>
      <c r="S975" s="12">
        <f t="shared" si="232"/>
        <v>0.67</v>
      </c>
    </row>
    <row r="976" spans="1:19" x14ac:dyDescent="0.35">
      <c r="A976" s="8" t="s">
        <v>1962</v>
      </c>
      <c r="B976" s="8" t="s">
        <v>1963</v>
      </c>
      <c r="C976" s="8" t="s">
        <v>22</v>
      </c>
      <c r="D976" s="8" t="str">
        <f t="shared" si="224"/>
        <v>Female</v>
      </c>
      <c r="E976" s="8">
        <v>43</v>
      </c>
      <c r="F976" s="8">
        <f t="shared" si="227"/>
        <v>43</v>
      </c>
      <c r="G976" s="8" t="s">
        <v>162</v>
      </c>
      <c r="H976" s="8" t="s">
        <v>51</v>
      </c>
      <c r="I976" s="8" t="s">
        <v>4</v>
      </c>
      <c r="J976" s="8">
        <v>2</v>
      </c>
      <c r="K976" s="8">
        <f t="shared" si="228"/>
        <v>2</v>
      </c>
      <c r="L976" s="13"/>
      <c r="M976" s="9">
        <f t="shared" si="229"/>
        <v>40</v>
      </c>
      <c r="N976" s="8">
        <v>1.8</v>
      </c>
      <c r="O976" s="10">
        <f t="shared" si="230"/>
        <v>1.8</v>
      </c>
      <c r="P976" s="8" t="s">
        <v>2050</v>
      </c>
      <c r="Q976" s="14">
        <v>0.61</v>
      </c>
      <c r="R976" s="12">
        <f t="shared" si="234"/>
        <v>0.61</v>
      </c>
      <c r="S976" s="12">
        <f t="shared" si="232"/>
        <v>0.61</v>
      </c>
    </row>
    <row r="977" spans="1:19" x14ac:dyDescent="0.35">
      <c r="A977" s="8" t="s">
        <v>1964</v>
      </c>
      <c r="B977" s="8" t="s">
        <v>1965</v>
      </c>
      <c r="C977" s="8" t="s">
        <v>13</v>
      </c>
      <c r="D977" s="8" t="str">
        <f t="shared" si="224"/>
        <v>Male</v>
      </c>
      <c r="E977" s="8">
        <v>53</v>
      </c>
      <c r="F977" s="8">
        <f t="shared" si="227"/>
        <v>53</v>
      </c>
      <c r="G977" s="8" t="s">
        <v>88</v>
      </c>
      <c r="H977" s="8" t="s">
        <v>89</v>
      </c>
      <c r="I977" s="8" t="s">
        <v>90</v>
      </c>
      <c r="J977" s="8">
        <v>27</v>
      </c>
      <c r="K977" s="8">
        <f t="shared" si="228"/>
        <v>27</v>
      </c>
      <c r="L977" s="8">
        <v>100</v>
      </c>
      <c r="M977" s="9">
        <f t="shared" si="229"/>
        <v>100</v>
      </c>
      <c r="N977" s="8">
        <v>3.7</v>
      </c>
      <c r="O977" s="10">
        <f t="shared" si="230"/>
        <v>3.7</v>
      </c>
      <c r="P977" s="8" t="s">
        <v>2050</v>
      </c>
      <c r="Q977" s="14">
        <v>0.73</v>
      </c>
      <c r="R977" s="12">
        <f t="shared" si="234"/>
        <v>0.73</v>
      </c>
      <c r="S977" s="12">
        <f t="shared" si="232"/>
        <v>0.73</v>
      </c>
    </row>
    <row r="978" spans="1:19" x14ac:dyDescent="0.35">
      <c r="A978" s="8" t="s">
        <v>1966</v>
      </c>
      <c r="B978" s="8" t="s">
        <v>1967</v>
      </c>
      <c r="C978" s="8" t="s">
        <v>19</v>
      </c>
      <c r="D978" s="8" t="str">
        <f t="shared" si="224"/>
        <v>Female</v>
      </c>
      <c r="E978" s="8">
        <v>38</v>
      </c>
      <c r="F978" s="8">
        <f t="shared" si="227"/>
        <v>38</v>
      </c>
      <c r="G978" s="8" t="s">
        <v>99</v>
      </c>
      <c r="H978" s="8" t="s">
        <v>100</v>
      </c>
      <c r="I978" s="8" t="s">
        <v>67</v>
      </c>
      <c r="J978" s="8">
        <v>7</v>
      </c>
      <c r="K978" s="8">
        <f t="shared" si="228"/>
        <v>7</v>
      </c>
      <c r="L978" s="8">
        <v>75</v>
      </c>
      <c r="M978" s="9">
        <f t="shared" si="229"/>
        <v>75</v>
      </c>
      <c r="O978" s="10">
        <f t="shared" si="230"/>
        <v>2.5125695216907653</v>
      </c>
      <c r="P978" s="8" t="s">
        <v>2050</v>
      </c>
      <c r="Q978" s="13"/>
      <c r="S978" s="12">
        <f t="shared" si="232"/>
        <v>0.79269417475728277</v>
      </c>
    </row>
    <row r="979" spans="1:19" x14ac:dyDescent="0.35">
      <c r="A979" s="8" t="s">
        <v>1968</v>
      </c>
      <c r="B979" s="8" t="s">
        <v>1969</v>
      </c>
      <c r="C979" s="8" t="s">
        <v>75</v>
      </c>
      <c r="D979" s="8" t="str">
        <f t="shared" si="224"/>
        <v>Male</v>
      </c>
      <c r="E979" s="8">
        <v>57</v>
      </c>
      <c r="F979" s="8">
        <f t="shared" si="227"/>
        <v>57</v>
      </c>
      <c r="G979" s="8" t="s">
        <v>46</v>
      </c>
      <c r="H979" s="8" t="s">
        <v>9</v>
      </c>
      <c r="I979" s="8" t="s">
        <v>56</v>
      </c>
      <c r="J979" s="8">
        <v>29</v>
      </c>
      <c r="K979" s="8">
        <f t="shared" si="228"/>
        <v>29</v>
      </c>
      <c r="L979" s="8">
        <v>75</v>
      </c>
      <c r="M979" s="9">
        <f t="shared" si="229"/>
        <v>75</v>
      </c>
      <c r="N979" s="8">
        <v>4.0999999999999996</v>
      </c>
      <c r="O979" s="10">
        <f t="shared" si="230"/>
        <v>4.0999999999999996</v>
      </c>
      <c r="P979" s="8" t="s">
        <v>2050</v>
      </c>
      <c r="Q979" s="14">
        <v>0.9</v>
      </c>
      <c r="R979" s="12">
        <f t="shared" ref="R979:R981" si="235">Q979</f>
        <v>0.9</v>
      </c>
      <c r="S979" s="12">
        <f t="shared" si="232"/>
        <v>0.9</v>
      </c>
    </row>
    <row r="980" spans="1:19" x14ac:dyDescent="0.35">
      <c r="A980" s="8" t="s">
        <v>1970</v>
      </c>
      <c r="B980" s="8" t="s">
        <v>1971</v>
      </c>
      <c r="C980" s="8" t="s">
        <v>41</v>
      </c>
      <c r="D980" s="8" t="str">
        <f t="shared" si="224"/>
        <v>Male</v>
      </c>
      <c r="E980" s="8">
        <v>27</v>
      </c>
      <c r="F980" s="8">
        <f t="shared" si="227"/>
        <v>27</v>
      </c>
      <c r="G980" s="8" t="s">
        <v>147</v>
      </c>
      <c r="H980" s="8" t="s">
        <v>148</v>
      </c>
      <c r="I980" s="8" t="s">
        <v>4</v>
      </c>
      <c r="J980" s="8">
        <v>5</v>
      </c>
      <c r="K980" s="8">
        <f t="shared" si="228"/>
        <v>5</v>
      </c>
      <c r="L980" s="8">
        <v>75</v>
      </c>
      <c r="M980" s="9">
        <f t="shared" si="229"/>
        <v>75</v>
      </c>
      <c r="N980" s="8">
        <v>1.4</v>
      </c>
      <c r="O980" s="10">
        <f t="shared" si="230"/>
        <v>1.4</v>
      </c>
      <c r="P980" s="8" t="s">
        <v>2051</v>
      </c>
      <c r="Q980" s="14">
        <v>0.64</v>
      </c>
      <c r="R980" s="12">
        <f t="shared" si="235"/>
        <v>0.64</v>
      </c>
      <c r="S980" s="12">
        <f t="shared" si="232"/>
        <v>0.64</v>
      </c>
    </row>
    <row r="981" spans="1:19" x14ac:dyDescent="0.35">
      <c r="A981" s="8" t="s">
        <v>1972</v>
      </c>
      <c r="B981" s="8" t="s">
        <v>1973</v>
      </c>
      <c r="C981" s="8" t="s">
        <v>30</v>
      </c>
      <c r="D981" s="8" t="str">
        <f t="shared" si="224"/>
        <v>Male</v>
      </c>
      <c r="E981" s="8">
        <v>43</v>
      </c>
      <c r="F981" s="8">
        <f t="shared" si="227"/>
        <v>43</v>
      </c>
      <c r="G981" s="8" t="s">
        <v>50</v>
      </c>
      <c r="H981" s="8" t="s">
        <v>51</v>
      </c>
      <c r="I981" s="8" t="s">
        <v>20</v>
      </c>
      <c r="J981" s="8">
        <v>2</v>
      </c>
      <c r="K981" s="8">
        <f t="shared" si="228"/>
        <v>2</v>
      </c>
      <c r="L981" s="8">
        <v>100</v>
      </c>
      <c r="M981" s="9">
        <f t="shared" si="229"/>
        <v>100</v>
      </c>
      <c r="N981" s="8">
        <v>1.1000000000000001</v>
      </c>
      <c r="O981" s="10">
        <f t="shared" si="230"/>
        <v>1.1000000000000001</v>
      </c>
      <c r="P981" s="8" t="s">
        <v>2051</v>
      </c>
      <c r="Q981" s="14">
        <v>0.63</v>
      </c>
      <c r="R981" s="12">
        <f t="shared" si="235"/>
        <v>0.63</v>
      </c>
      <c r="S981" s="12">
        <f t="shared" si="232"/>
        <v>0.63</v>
      </c>
    </row>
    <row r="982" spans="1:19" x14ac:dyDescent="0.35">
      <c r="A982" s="8" t="s">
        <v>1974</v>
      </c>
      <c r="B982" s="8" t="s">
        <v>1975</v>
      </c>
      <c r="C982" s="8" t="s">
        <v>13</v>
      </c>
      <c r="D982" s="8" t="str">
        <f t="shared" si="224"/>
        <v>Male</v>
      </c>
      <c r="E982" s="8">
        <v>48</v>
      </c>
      <c r="F982" s="8">
        <f t="shared" si="227"/>
        <v>48</v>
      </c>
      <c r="G982" s="8" t="s">
        <v>103</v>
      </c>
      <c r="H982" s="8" t="s">
        <v>9</v>
      </c>
      <c r="I982" s="8" t="s">
        <v>33</v>
      </c>
      <c r="J982" s="8">
        <v>18</v>
      </c>
      <c r="K982" s="8">
        <f t="shared" si="228"/>
        <v>18</v>
      </c>
      <c r="L982" s="8">
        <v>40</v>
      </c>
      <c r="M982" s="9">
        <f t="shared" si="229"/>
        <v>40</v>
      </c>
      <c r="N982" s="8">
        <v>3.9</v>
      </c>
      <c r="O982" s="10">
        <f t="shared" si="230"/>
        <v>3.9</v>
      </c>
      <c r="P982" s="13" t="s">
        <v>2050</v>
      </c>
      <c r="Q982" s="13"/>
      <c r="S982" s="12">
        <f t="shared" si="232"/>
        <v>0.79269417475728277</v>
      </c>
    </row>
    <row r="983" spans="1:19" x14ac:dyDescent="0.35">
      <c r="A983" s="8" t="s">
        <v>1976</v>
      </c>
      <c r="B983" s="8" t="s">
        <v>1977</v>
      </c>
      <c r="C983" s="8" t="s">
        <v>70</v>
      </c>
      <c r="D983" s="8" t="str">
        <f t="shared" si="224"/>
        <v>Male</v>
      </c>
      <c r="E983" s="8">
        <v>26</v>
      </c>
      <c r="F983" s="8">
        <f t="shared" si="227"/>
        <v>26</v>
      </c>
      <c r="G983" s="8" t="s">
        <v>84</v>
      </c>
      <c r="H983" s="8" t="s">
        <v>85</v>
      </c>
      <c r="I983" s="8" t="s">
        <v>56</v>
      </c>
      <c r="J983" s="8">
        <v>8</v>
      </c>
      <c r="K983" s="8">
        <f t="shared" si="228"/>
        <v>8</v>
      </c>
      <c r="L983" s="8">
        <v>20</v>
      </c>
      <c r="M983" s="9">
        <f t="shared" si="229"/>
        <v>20</v>
      </c>
      <c r="N983" s="8">
        <v>3.6</v>
      </c>
      <c r="O983" s="10">
        <f t="shared" si="230"/>
        <v>3.6</v>
      </c>
      <c r="P983" s="8" t="s">
        <v>2050</v>
      </c>
      <c r="Q983" s="14">
        <v>0.67</v>
      </c>
      <c r="R983" s="12">
        <f t="shared" ref="R983:R984" si="236">Q983</f>
        <v>0.67</v>
      </c>
      <c r="S983" s="12">
        <f t="shared" si="232"/>
        <v>0.67</v>
      </c>
    </row>
    <row r="984" spans="1:19" x14ac:dyDescent="0.35">
      <c r="A984" s="8" t="s">
        <v>1978</v>
      </c>
      <c r="B984" s="8" t="s">
        <v>1979</v>
      </c>
      <c r="C984" s="8" t="s">
        <v>55</v>
      </c>
      <c r="D984" s="8" t="str">
        <f t="shared" si="224"/>
        <v>Female</v>
      </c>
      <c r="E984" s="13"/>
      <c r="F984" s="8">
        <f t="shared" si="227"/>
        <v>41</v>
      </c>
      <c r="G984" s="8" t="s">
        <v>128</v>
      </c>
      <c r="H984" s="8" t="s">
        <v>129</v>
      </c>
      <c r="I984" s="8" t="s">
        <v>16</v>
      </c>
      <c r="J984" s="8">
        <v>0</v>
      </c>
      <c r="K984" s="8">
        <f t="shared" si="228"/>
        <v>0</v>
      </c>
      <c r="L984" s="8">
        <v>40</v>
      </c>
      <c r="M984" s="9">
        <f t="shared" si="229"/>
        <v>40</v>
      </c>
      <c r="N984" s="8">
        <v>0</v>
      </c>
      <c r="O984" s="11">
        <f t="shared" si="230"/>
        <v>0</v>
      </c>
      <c r="P984" s="8" t="s">
        <v>2050</v>
      </c>
      <c r="Q984" s="14">
        <v>0.97</v>
      </c>
      <c r="R984" s="12">
        <f t="shared" si="236"/>
        <v>0.97</v>
      </c>
      <c r="S984" s="12">
        <f t="shared" si="232"/>
        <v>0.97</v>
      </c>
    </row>
    <row r="985" spans="1:19" x14ac:dyDescent="0.35">
      <c r="A985" s="8" t="s">
        <v>1980</v>
      </c>
      <c r="B985" s="8" t="s">
        <v>2033</v>
      </c>
      <c r="C985" s="8" t="s">
        <v>22</v>
      </c>
      <c r="D985" s="8" t="str">
        <f t="shared" si="224"/>
        <v>Female</v>
      </c>
      <c r="E985" s="8">
        <v>50</v>
      </c>
      <c r="F985" s="8">
        <f t="shared" si="227"/>
        <v>50</v>
      </c>
      <c r="G985" s="8" t="s">
        <v>2</v>
      </c>
      <c r="H985" s="8" t="s">
        <v>3</v>
      </c>
      <c r="I985" s="8" t="s">
        <v>33</v>
      </c>
      <c r="J985" s="8">
        <v>16</v>
      </c>
      <c r="K985" s="8">
        <f t="shared" si="228"/>
        <v>16</v>
      </c>
      <c r="L985" s="8">
        <v>75</v>
      </c>
      <c r="M985" s="9">
        <f t="shared" si="229"/>
        <v>75</v>
      </c>
      <c r="N985" s="8">
        <v>4.5</v>
      </c>
      <c r="O985" s="10">
        <f t="shared" si="230"/>
        <v>4.5</v>
      </c>
      <c r="P985" s="8" t="s">
        <v>2050</v>
      </c>
      <c r="Q985" s="8">
        <v>69</v>
      </c>
      <c r="R985" s="12">
        <v>0.69</v>
      </c>
      <c r="S985" s="12">
        <f t="shared" si="232"/>
        <v>0.69</v>
      </c>
    </row>
    <row r="986" spans="1:19" x14ac:dyDescent="0.35">
      <c r="A986" s="8" t="s">
        <v>1981</v>
      </c>
      <c r="B986" s="8" t="s">
        <v>1982</v>
      </c>
      <c r="C986" s="8" t="s">
        <v>30</v>
      </c>
      <c r="D986" s="8" t="str">
        <f t="shared" si="224"/>
        <v>Male</v>
      </c>
      <c r="E986" s="8">
        <v>48</v>
      </c>
      <c r="F986" s="8">
        <f t="shared" si="227"/>
        <v>48</v>
      </c>
      <c r="G986" s="8" t="s">
        <v>128</v>
      </c>
      <c r="H986" s="8" t="s">
        <v>129</v>
      </c>
      <c r="I986" s="8" t="s">
        <v>20</v>
      </c>
      <c r="J986" s="8">
        <v>8</v>
      </c>
      <c r="K986" s="8">
        <f t="shared" si="228"/>
        <v>8</v>
      </c>
      <c r="L986" s="8">
        <v>50</v>
      </c>
      <c r="M986" s="9">
        <f t="shared" si="229"/>
        <v>50</v>
      </c>
      <c r="O986" s="10">
        <f t="shared" si="230"/>
        <v>2.5125695216907653</v>
      </c>
      <c r="P986" s="8" t="s">
        <v>2051</v>
      </c>
      <c r="Q986" s="14">
        <v>0.73</v>
      </c>
      <c r="R986" s="12">
        <f t="shared" ref="R986:R987" si="237">Q986</f>
        <v>0.73</v>
      </c>
      <c r="S986" s="12">
        <f t="shared" si="232"/>
        <v>0.73</v>
      </c>
    </row>
    <row r="987" spans="1:19" x14ac:dyDescent="0.35">
      <c r="A987" s="8" t="s">
        <v>1983</v>
      </c>
      <c r="B987" s="8" t="s">
        <v>1984</v>
      </c>
      <c r="C987" s="8" t="s">
        <v>30</v>
      </c>
      <c r="D987" s="8" t="str">
        <f t="shared" si="224"/>
        <v>Male</v>
      </c>
      <c r="E987" s="8">
        <v>60</v>
      </c>
      <c r="F987" s="8">
        <f t="shared" si="227"/>
        <v>60</v>
      </c>
      <c r="G987" s="8" t="s">
        <v>162</v>
      </c>
      <c r="H987" s="8" t="s">
        <v>51</v>
      </c>
      <c r="I987" s="8" t="s">
        <v>4</v>
      </c>
      <c r="J987" s="8">
        <v>39</v>
      </c>
      <c r="K987" s="8">
        <f t="shared" si="228"/>
        <v>39</v>
      </c>
      <c r="L987" s="8">
        <v>20</v>
      </c>
      <c r="M987" s="9">
        <f t="shared" si="229"/>
        <v>20</v>
      </c>
      <c r="N987" s="8">
        <v>1.4</v>
      </c>
      <c r="O987" s="10">
        <f t="shared" si="230"/>
        <v>1.4</v>
      </c>
      <c r="P987" s="8" t="s">
        <v>2051</v>
      </c>
      <c r="Q987" s="14">
        <v>0.86</v>
      </c>
      <c r="R987" s="12">
        <f t="shared" si="237"/>
        <v>0.86</v>
      </c>
      <c r="S987" s="12">
        <f t="shared" si="232"/>
        <v>0.86</v>
      </c>
    </row>
    <row r="988" spans="1:19" x14ac:dyDescent="0.35">
      <c r="A988" s="8" t="s">
        <v>1985</v>
      </c>
      <c r="B988" s="8" t="s">
        <v>1986</v>
      </c>
      <c r="C988" s="8" t="s">
        <v>75</v>
      </c>
      <c r="D988" s="8" t="str">
        <f t="shared" si="224"/>
        <v>Male</v>
      </c>
      <c r="E988" s="8">
        <v>26</v>
      </c>
      <c r="F988" s="8">
        <f t="shared" si="227"/>
        <v>26</v>
      </c>
      <c r="G988" s="8" t="s">
        <v>114</v>
      </c>
      <c r="H988" s="8" t="s">
        <v>115</v>
      </c>
      <c r="I988" s="8" t="s">
        <v>90</v>
      </c>
      <c r="J988" s="13"/>
      <c r="K988" s="8">
        <f t="shared" si="228"/>
        <v>9</v>
      </c>
      <c r="L988" s="8">
        <v>50</v>
      </c>
      <c r="M988" s="9">
        <f t="shared" si="229"/>
        <v>50</v>
      </c>
      <c r="N988" s="8">
        <v>0</v>
      </c>
      <c r="O988" s="11">
        <f t="shared" si="230"/>
        <v>0</v>
      </c>
      <c r="P988" s="8" t="s">
        <v>2051</v>
      </c>
      <c r="Q988" s="8">
        <v>81</v>
      </c>
      <c r="R988" s="12">
        <v>0.81</v>
      </c>
      <c r="S988" s="12">
        <f t="shared" si="232"/>
        <v>0.81</v>
      </c>
    </row>
    <row r="989" spans="1:19" x14ac:dyDescent="0.35">
      <c r="A989" s="8" t="s">
        <v>1987</v>
      </c>
      <c r="B989" s="8" t="s">
        <v>1988</v>
      </c>
      <c r="C989" s="8" t="s">
        <v>7</v>
      </c>
      <c r="D989" s="8" t="str">
        <f t="shared" si="224"/>
        <v>Female</v>
      </c>
      <c r="E989" s="8">
        <v>35</v>
      </c>
      <c r="F989" s="8">
        <f t="shared" si="227"/>
        <v>35</v>
      </c>
      <c r="G989" s="8" t="s">
        <v>88</v>
      </c>
      <c r="H989" s="8" t="s">
        <v>89</v>
      </c>
      <c r="I989" s="8" t="s">
        <v>16</v>
      </c>
      <c r="J989" s="8">
        <v>16</v>
      </c>
      <c r="K989" s="8">
        <f t="shared" si="228"/>
        <v>16</v>
      </c>
      <c r="L989" s="8">
        <v>100</v>
      </c>
      <c r="M989" s="9">
        <f t="shared" si="229"/>
        <v>100</v>
      </c>
      <c r="N989" s="8">
        <v>4.3</v>
      </c>
      <c r="O989" s="10">
        <f t="shared" si="230"/>
        <v>4.3</v>
      </c>
      <c r="P989" s="8" t="s">
        <v>2051</v>
      </c>
      <c r="Q989" s="14">
        <v>0.74</v>
      </c>
      <c r="R989" s="12">
        <f>Q989</f>
        <v>0.74</v>
      </c>
      <c r="S989" s="12">
        <f t="shared" si="232"/>
        <v>0.74</v>
      </c>
    </row>
    <row r="990" spans="1:19" x14ac:dyDescent="0.35">
      <c r="A990" s="8" t="s">
        <v>1989</v>
      </c>
      <c r="B990" s="8" t="s">
        <v>1990</v>
      </c>
      <c r="C990" s="8" t="s">
        <v>75</v>
      </c>
      <c r="D990" s="8" t="str">
        <f t="shared" si="224"/>
        <v>Male</v>
      </c>
      <c r="E990" s="8">
        <v>23</v>
      </c>
      <c r="F990" s="8">
        <f t="shared" si="227"/>
        <v>23</v>
      </c>
      <c r="G990" s="8" t="s">
        <v>38</v>
      </c>
      <c r="H990" s="8" t="s">
        <v>9</v>
      </c>
      <c r="I990" s="8" t="s">
        <v>4</v>
      </c>
      <c r="J990" s="8">
        <v>4</v>
      </c>
      <c r="K990" s="8">
        <f t="shared" si="228"/>
        <v>4</v>
      </c>
      <c r="L990" s="8">
        <v>100</v>
      </c>
      <c r="M990" s="9">
        <f t="shared" si="229"/>
        <v>100</v>
      </c>
      <c r="N990" s="8">
        <v>2.2000000000000002</v>
      </c>
      <c r="O990" s="10">
        <f t="shared" si="230"/>
        <v>2.2000000000000002</v>
      </c>
      <c r="P990" s="8" t="s">
        <v>2051</v>
      </c>
      <c r="Q990" s="8">
        <v>64</v>
      </c>
      <c r="R990" s="12">
        <v>0.64</v>
      </c>
      <c r="S990" s="12">
        <f t="shared" si="232"/>
        <v>0.64</v>
      </c>
    </row>
    <row r="991" spans="1:19" x14ac:dyDescent="0.35">
      <c r="A991" s="8" t="s">
        <v>1991</v>
      </c>
      <c r="B991" s="8" t="s">
        <v>1992</v>
      </c>
      <c r="C991" s="8" t="s">
        <v>75</v>
      </c>
      <c r="D991" s="8" t="str">
        <f t="shared" si="224"/>
        <v>Male</v>
      </c>
      <c r="E991" s="8">
        <v>37</v>
      </c>
      <c r="F991" s="8">
        <f t="shared" si="227"/>
        <v>37</v>
      </c>
      <c r="G991" s="8" t="s">
        <v>8</v>
      </c>
      <c r="H991" s="8" t="s">
        <v>9</v>
      </c>
      <c r="I991" s="8" t="s">
        <v>16</v>
      </c>
      <c r="J991" s="8">
        <v>4</v>
      </c>
      <c r="K991" s="8">
        <f t="shared" si="228"/>
        <v>4</v>
      </c>
      <c r="L991" s="8">
        <v>75</v>
      </c>
      <c r="M991" s="9">
        <f t="shared" si="229"/>
        <v>75</v>
      </c>
      <c r="N991" s="8">
        <v>3.2</v>
      </c>
      <c r="O991" s="10">
        <f t="shared" si="230"/>
        <v>3.2</v>
      </c>
      <c r="P991" s="8" t="s">
        <v>2050</v>
      </c>
      <c r="Q991" s="14">
        <v>0.76</v>
      </c>
      <c r="R991" s="12">
        <f>Q991</f>
        <v>0.76</v>
      </c>
      <c r="S991" s="12">
        <f t="shared" si="232"/>
        <v>0.76</v>
      </c>
    </row>
    <row r="992" spans="1:19" x14ac:dyDescent="0.35">
      <c r="A992" s="8" t="s">
        <v>1993</v>
      </c>
      <c r="B992" s="8" t="s">
        <v>1994</v>
      </c>
      <c r="C992" s="8" t="s">
        <v>7</v>
      </c>
      <c r="D992" s="8" t="str">
        <f t="shared" si="224"/>
        <v>Female</v>
      </c>
      <c r="E992" s="8">
        <v>21</v>
      </c>
      <c r="F992" s="8">
        <f t="shared" si="227"/>
        <v>21</v>
      </c>
      <c r="G992" s="8" t="s">
        <v>50</v>
      </c>
      <c r="H992" s="8" t="s">
        <v>51</v>
      </c>
      <c r="I992" s="8" t="s">
        <v>27</v>
      </c>
      <c r="J992" s="8">
        <v>2</v>
      </c>
      <c r="K992" s="8">
        <f t="shared" si="228"/>
        <v>2</v>
      </c>
      <c r="L992" s="8">
        <v>100</v>
      </c>
      <c r="M992" s="9">
        <f t="shared" si="229"/>
        <v>100</v>
      </c>
      <c r="N992" s="8">
        <v>3.7</v>
      </c>
      <c r="O992" s="10">
        <f t="shared" si="230"/>
        <v>3.7</v>
      </c>
      <c r="P992" s="8" t="s">
        <v>2051</v>
      </c>
      <c r="Q992" s="8">
        <v>73</v>
      </c>
      <c r="R992" s="12">
        <v>0.73</v>
      </c>
      <c r="S992" s="12">
        <f t="shared" si="232"/>
        <v>0.73</v>
      </c>
    </row>
    <row r="993" spans="1:19" x14ac:dyDescent="0.35">
      <c r="A993" s="8" t="s">
        <v>1995</v>
      </c>
      <c r="B993" s="8" t="s">
        <v>1996</v>
      </c>
      <c r="C993" s="8" t="s">
        <v>7</v>
      </c>
      <c r="D993" s="8" t="str">
        <f t="shared" si="224"/>
        <v>Female</v>
      </c>
      <c r="E993" s="8">
        <v>58</v>
      </c>
      <c r="F993" s="8">
        <f t="shared" si="227"/>
        <v>58</v>
      </c>
      <c r="G993" s="8" t="s">
        <v>14</v>
      </c>
      <c r="H993" s="8" t="s">
        <v>15</v>
      </c>
      <c r="I993" s="8" t="s">
        <v>52</v>
      </c>
      <c r="J993" s="8">
        <v>37</v>
      </c>
      <c r="K993" s="8">
        <f t="shared" si="228"/>
        <v>37</v>
      </c>
      <c r="L993" s="8">
        <v>50</v>
      </c>
      <c r="M993" s="9">
        <f t="shared" si="229"/>
        <v>50</v>
      </c>
      <c r="N993" s="8">
        <v>4.9000000000000004</v>
      </c>
      <c r="O993" s="10">
        <f t="shared" si="230"/>
        <v>4.9000000000000004</v>
      </c>
      <c r="P993" s="8" t="s">
        <v>2050</v>
      </c>
      <c r="Q993" s="14">
        <v>0.69</v>
      </c>
      <c r="R993" s="12">
        <f t="shared" ref="R993:R994" si="238">Q993</f>
        <v>0.69</v>
      </c>
      <c r="S993" s="12">
        <f t="shared" si="232"/>
        <v>0.69</v>
      </c>
    </row>
    <row r="994" spans="1:19" x14ac:dyDescent="0.35">
      <c r="A994" s="8" t="s">
        <v>1997</v>
      </c>
      <c r="B994" s="8" t="s">
        <v>1998</v>
      </c>
      <c r="C994" s="8" t="s">
        <v>55</v>
      </c>
      <c r="D994" s="8" t="str">
        <f t="shared" si="224"/>
        <v>Female</v>
      </c>
      <c r="E994" s="8">
        <v>52</v>
      </c>
      <c r="F994" s="8">
        <f t="shared" si="227"/>
        <v>52</v>
      </c>
      <c r="G994" s="8" t="s">
        <v>31</v>
      </c>
      <c r="H994" s="8" t="s">
        <v>32</v>
      </c>
      <c r="I994" s="8" t="s">
        <v>10</v>
      </c>
      <c r="J994" s="8">
        <v>32</v>
      </c>
      <c r="K994" s="8">
        <f t="shared" si="228"/>
        <v>32</v>
      </c>
      <c r="L994" s="8">
        <v>75</v>
      </c>
      <c r="M994" s="9">
        <f t="shared" si="229"/>
        <v>75</v>
      </c>
      <c r="N994" s="8">
        <v>3.2</v>
      </c>
      <c r="O994" s="10">
        <f t="shared" si="230"/>
        <v>3.2</v>
      </c>
      <c r="P994" s="8" t="s">
        <v>2050</v>
      </c>
      <c r="Q994" s="14">
        <v>0.79</v>
      </c>
      <c r="R994" s="12">
        <f t="shared" si="238"/>
        <v>0.79</v>
      </c>
      <c r="S994" s="12">
        <f t="shared" si="232"/>
        <v>0.79</v>
      </c>
    </row>
    <row r="995" spans="1:19" x14ac:dyDescent="0.35">
      <c r="A995" s="8" t="s">
        <v>1999</v>
      </c>
      <c r="B995" s="8" t="s">
        <v>2000</v>
      </c>
      <c r="C995" s="8" t="s">
        <v>13</v>
      </c>
      <c r="D995" s="8" t="str">
        <f t="shared" si="224"/>
        <v>Male</v>
      </c>
      <c r="E995" s="8">
        <v>46</v>
      </c>
      <c r="F995" s="8">
        <f t="shared" si="227"/>
        <v>46</v>
      </c>
      <c r="G995" s="8" t="s">
        <v>99</v>
      </c>
      <c r="H995" s="8" t="s">
        <v>100</v>
      </c>
      <c r="I995" s="8" t="s">
        <v>10</v>
      </c>
      <c r="J995" s="8">
        <v>8</v>
      </c>
      <c r="K995" s="8">
        <f t="shared" si="228"/>
        <v>8</v>
      </c>
      <c r="L995" s="8">
        <v>20</v>
      </c>
      <c r="M995" s="9">
        <f t="shared" si="229"/>
        <v>20</v>
      </c>
      <c r="N995" s="8">
        <v>2.2000000000000002</v>
      </c>
      <c r="O995" s="10">
        <f t="shared" si="230"/>
        <v>2.2000000000000002</v>
      </c>
      <c r="P995" s="13" t="s">
        <v>2050</v>
      </c>
      <c r="Q995" s="8">
        <v>89</v>
      </c>
      <c r="R995" s="12">
        <v>0.89</v>
      </c>
      <c r="S995" s="12">
        <f t="shared" si="232"/>
        <v>0.89</v>
      </c>
    </row>
    <row r="996" spans="1:19" x14ac:dyDescent="0.35">
      <c r="A996" s="8" t="s">
        <v>2001</v>
      </c>
      <c r="B996" s="8" t="s">
        <v>2002</v>
      </c>
      <c r="C996" s="8" t="s">
        <v>55</v>
      </c>
      <c r="D996" s="8" t="str">
        <f t="shared" si="224"/>
        <v>Female</v>
      </c>
      <c r="E996" s="8">
        <v>34</v>
      </c>
      <c r="F996" s="8">
        <f t="shared" si="227"/>
        <v>34</v>
      </c>
      <c r="G996" s="8" t="s">
        <v>128</v>
      </c>
      <c r="H996" s="8" t="s">
        <v>129</v>
      </c>
      <c r="I996" s="8" t="s">
        <v>67</v>
      </c>
      <c r="J996" s="8">
        <v>8</v>
      </c>
      <c r="K996" s="8">
        <f t="shared" si="228"/>
        <v>8</v>
      </c>
      <c r="L996" s="8">
        <v>30</v>
      </c>
      <c r="M996" s="9">
        <f t="shared" si="229"/>
        <v>30</v>
      </c>
      <c r="N996" s="8">
        <v>3.9</v>
      </c>
      <c r="O996" s="10">
        <f t="shared" si="230"/>
        <v>3.9</v>
      </c>
      <c r="P996" s="8" t="s">
        <v>2051</v>
      </c>
      <c r="Q996" s="14">
        <v>0.95</v>
      </c>
      <c r="R996" s="12">
        <f t="shared" ref="R996:R997" si="239">Q996</f>
        <v>0.95</v>
      </c>
      <c r="S996" s="12">
        <f t="shared" si="232"/>
        <v>0.95</v>
      </c>
    </row>
    <row r="997" spans="1:19" x14ac:dyDescent="0.35">
      <c r="A997" s="8" t="s">
        <v>2003</v>
      </c>
      <c r="B997" s="8" t="s">
        <v>2004</v>
      </c>
      <c r="C997" s="8" t="s">
        <v>75</v>
      </c>
      <c r="D997" s="8" t="str">
        <f t="shared" si="224"/>
        <v>Male</v>
      </c>
      <c r="E997" s="8">
        <v>56</v>
      </c>
      <c r="F997" s="8">
        <f t="shared" si="227"/>
        <v>56</v>
      </c>
      <c r="G997" s="8" t="s">
        <v>42</v>
      </c>
      <c r="H997" s="8" t="s">
        <v>43</v>
      </c>
      <c r="I997" s="8" t="s">
        <v>67</v>
      </c>
      <c r="J997" s="8">
        <v>13</v>
      </c>
      <c r="K997" s="8">
        <f t="shared" si="228"/>
        <v>13</v>
      </c>
      <c r="L997" s="8">
        <v>100</v>
      </c>
      <c r="M997" s="9">
        <f t="shared" si="229"/>
        <v>100</v>
      </c>
      <c r="N997" s="8">
        <v>0</v>
      </c>
      <c r="O997" s="11">
        <f t="shared" si="230"/>
        <v>0</v>
      </c>
      <c r="P997" s="8" t="s">
        <v>2050</v>
      </c>
      <c r="Q997" s="14">
        <v>0.68</v>
      </c>
      <c r="R997" s="12">
        <f t="shared" si="239"/>
        <v>0.68</v>
      </c>
      <c r="S997" s="12">
        <f t="shared" si="232"/>
        <v>0.68</v>
      </c>
    </row>
    <row r="998" spans="1:19" x14ac:dyDescent="0.35">
      <c r="A998" s="8" t="s">
        <v>2005</v>
      </c>
      <c r="B998" s="8" t="s">
        <v>2006</v>
      </c>
      <c r="C998" s="8" t="s">
        <v>1</v>
      </c>
      <c r="D998" s="8" t="str">
        <f t="shared" si="224"/>
        <v>Female</v>
      </c>
      <c r="E998" s="8">
        <v>26</v>
      </c>
      <c r="F998" s="8">
        <f t="shared" si="227"/>
        <v>26</v>
      </c>
      <c r="G998" s="8" t="s">
        <v>14</v>
      </c>
      <c r="H998" s="8" t="s">
        <v>15</v>
      </c>
      <c r="I998" s="8" t="s">
        <v>4</v>
      </c>
      <c r="J998" s="8">
        <v>6</v>
      </c>
      <c r="K998" s="8">
        <f t="shared" si="228"/>
        <v>6</v>
      </c>
      <c r="L998" s="8">
        <v>40</v>
      </c>
      <c r="M998" s="9">
        <f t="shared" si="229"/>
        <v>40</v>
      </c>
      <c r="N998" s="8">
        <v>2.8</v>
      </c>
      <c r="O998" s="10">
        <f t="shared" si="230"/>
        <v>2.8</v>
      </c>
      <c r="P998" s="8" t="s">
        <v>2050</v>
      </c>
      <c r="Q998" s="8">
        <v>82</v>
      </c>
      <c r="R998" s="12">
        <v>0.82</v>
      </c>
      <c r="S998" s="12">
        <f t="shared" si="232"/>
        <v>0.82</v>
      </c>
    </row>
    <row r="999" spans="1:19" x14ac:dyDescent="0.35">
      <c r="A999" s="8" t="s">
        <v>2007</v>
      </c>
      <c r="B999" s="8" t="s">
        <v>2008</v>
      </c>
      <c r="C999" s="8" t="s">
        <v>22</v>
      </c>
      <c r="D999" s="8" t="str">
        <f t="shared" si="224"/>
        <v>Female</v>
      </c>
      <c r="E999" s="8">
        <v>37</v>
      </c>
      <c r="F999" s="8">
        <f t="shared" si="227"/>
        <v>37</v>
      </c>
      <c r="G999" s="8" t="s">
        <v>63</v>
      </c>
      <c r="H999" s="8" t="s">
        <v>64</v>
      </c>
      <c r="I999" s="8" t="s">
        <v>33</v>
      </c>
      <c r="J999" s="8">
        <v>15</v>
      </c>
      <c r="K999" s="8">
        <f t="shared" si="228"/>
        <v>15</v>
      </c>
      <c r="L999" s="8">
        <v>75</v>
      </c>
      <c r="M999" s="9">
        <f t="shared" si="229"/>
        <v>75</v>
      </c>
      <c r="O999" s="10">
        <f t="shared" si="230"/>
        <v>2.5125695216907653</v>
      </c>
      <c r="P999" s="8" t="s">
        <v>2050</v>
      </c>
      <c r="Q999" s="14">
        <v>0.94</v>
      </c>
      <c r="R999" s="12">
        <f>Q999</f>
        <v>0.94</v>
      </c>
      <c r="S999" s="12">
        <f t="shared" si="232"/>
        <v>0.94</v>
      </c>
    </row>
    <row r="1000" spans="1:19" x14ac:dyDescent="0.35">
      <c r="A1000" s="8" t="s">
        <v>2009</v>
      </c>
      <c r="B1000" s="8" t="s">
        <v>2010</v>
      </c>
      <c r="C1000" s="8" t="s">
        <v>30</v>
      </c>
      <c r="D1000" s="8" t="str">
        <f t="shared" si="224"/>
        <v>Male</v>
      </c>
      <c r="E1000" s="8">
        <v>46</v>
      </c>
      <c r="F1000" s="8">
        <f t="shared" si="227"/>
        <v>46</v>
      </c>
      <c r="G1000" s="8" t="s">
        <v>99</v>
      </c>
      <c r="H1000" s="8" t="s">
        <v>100</v>
      </c>
      <c r="I1000" s="8" t="s">
        <v>90</v>
      </c>
      <c r="J1000" s="8">
        <v>22</v>
      </c>
      <c r="K1000" s="8">
        <f t="shared" si="228"/>
        <v>22</v>
      </c>
      <c r="L1000" s="8">
        <v>100</v>
      </c>
      <c r="M1000" s="9">
        <f t="shared" si="229"/>
        <v>100</v>
      </c>
      <c r="N1000" s="8">
        <v>2.8</v>
      </c>
      <c r="O1000" s="10">
        <f t="shared" si="230"/>
        <v>2.8</v>
      </c>
      <c r="P1000" s="8" t="s">
        <v>2051</v>
      </c>
      <c r="Q1000" s="8">
        <v>97</v>
      </c>
      <c r="R1000" s="12">
        <v>0.97</v>
      </c>
      <c r="S1000" s="12">
        <f t="shared" si="232"/>
        <v>0.97</v>
      </c>
    </row>
    <row r="1001" spans="1:19" x14ac:dyDescent="0.35">
      <c r="A1001" s="8" t="s">
        <v>2011</v>
      </c>
      <c r="B1001" s="8" t="s">
        <v>2012</v>
      </c>
      <c r="C1001" s="8" t="s">
        <v>55</v>
      </c>
      <c r="D1001" s="8" t="str">
        <f t="shared" si="224"/>
        <v>Female</v>
      </c>
      <c r="E1001" s="8">
        <v>36</v>
      </c>
      <c r="F1001" s="8">
        <f t="shared" si="227"/>
        <v>36</v>
      </c>
      <c r="G1001" s="8" t="s">
        <v>151</v>
      </c>
      <c r="H1001" s="8" t="s">
        <v>51</v>
      </c>
      <c r="I1001" s="8" t="s">
        <v>52</v>
      </c>
      <c r="J1001" s="8">
        <v>18</v>
      </c>
      <c r="K1001" s="8">
        <f t="shared" si="228"/>
        <v>18</v>
      </c>
      <c r="L1001" s="8">
        <v>20</v>
      </c>
      <c r="M1001" s="9">
        <f t="shared" si="229"/>
        <v>20</v>
      </c>
      <c r="N1001" s="8">
        <v>1.7</v>
      </c>
      <c r="O1001" s="10">
        <f t="shared" si="230"/>
        <v>1.7</v>
      </c>
      <c r="P1001" s="8" t="s">
        <v>2051</v>
      </c>
      <c r="Q1001" s="8">
        <v>72</v>
      </c>
      <c r="R1001" s="12">
        <v>0.72</v>
      </c>
      <c r="S1001" s="12">
        <f t="shared" si="232"/>
        <v>0.72</v>
      </c>
    </row>
    <row r="1002" spans="1:19" x14ac:dyDescent="0.35">
      <c r="J1002" s="13"/>
      <c r="P1002" s="8"/>
    </row>
    <row r="1003" spans="1:19" x14ac:dyDescent="0.35">
      <c r="P1003" s="14"/>
    </row>
    <row r="1004" spans="1:19" x14ac:dyDescent="0.35">
      <c r="P1004" s="14"/>
    </row>
    <row r="1005" spans="1:19" x14ac:dyDescent="0.35">
      <c r="P1005" s="8"/>
    </row>
    <row r="1006" spans="1:19" x14ac:dyDescent="0.35">
      <c r="P1006" s="8"/>
    </row>
    <row r="1007" spans="1:19" x14ac:dyDescent="0.35">
      <c r="P1007" s="8"/>
    </row>
    <row r="1008" spans="1:19" x14ac:dyDescent="0.35">
      <c r="P1008" s="8"/>
    </row>
    <row r="1009" spans="16:16" x14ac:dyDescent="0.35">
      <c r="P1009" s="8"/>
    </row>
    <row r="1010" spans="16:16" x14ac:dyDescent="0.35">
      <c r="P1010" s="8"/>
    </row>
    <row r="1011" spans="16:16" x14ac:dyDescent="0.35">
      <c r="P1011" s="8"/>
    </row>
    <row r="1012" spans="16:16" x14ac:dyDescent="0.35">
      <c r="P1012" s="8"/>
    </row>
    <row r="1013" spans="16:16" x14ac:dyDescent="0.35">
      <c r="P1013" s="8"/>
    </row>
    <row r="1014" spans="16:16" x14ac:dyDescent="0.35">
      <c r="P1014" s="8"/>
    </row>
    <row r="1015" spans="16:16" x14ac:dyDescent="0.35">
      <c r="P1015" s="8"/>
    </row>
    <row r="1016" spans="16:16" x14ac:dyDescent="0.35">
      <c r="P1016" s="8"/>
    </row>
    <row r="1017" spans="16:16" x14ac:dyDescent="0.35">
      <c r="P1017" s="8"/>
    </row>
    <row r="1018" spans="16:16" x14ac:dyDescent="0.35">
      <c r="P1018" s="8"/>
    </row>
    <row r="1019" spans="16:16" x14ac:dyDescent="0.35">
      <c r="P1019" s="8"/>
    </row>
    <row r="1020" spans="16:16" x14ac:dyDescent="0.35">
      <c r="P1020" s="8"/>
    </row>
    <row r="1021" spans="16:16" x14ac:dyDescent="0.35">
      <c r="P1021" s="8"/>
    </row>
    <row r="1022" spans="16:16" x14ac:dyDescent="0.35">
      <c r="P1022" s="8"/>
    </row>
    <row r="1023" spans="16:16" x14ac:dyDescent="0.35">
      <c r="P1023" s="8"/>
    </row>
    <row r="1024" spans="16:16" x14ac:dyDescent="0.35">
      <c r="P1024" s="8"/>
    </row>
    <row r="1025" spans="16:16" x14ac:dyDescent="0.35">
      <c r="P1025" s="8"/>
    </row>
    <row r="1026" spans="16:16" x14ac:dyDescent="0.35">
      <c r="P1026" s="8"/>
    </row>
    <row r="1027" spans="16:16" x14ac:dyDescent="0.35">
      <c r="P1027" s="8"/>
    </row>
    <row r="1028" spans="16:16" x14ac:dyDescent="0.35">
      <c r="P1028" s="8"/>
    </row>
    <row r="1029" spans="16:16" x14ac:dyDescent="0.35">
      <c r="P1029" s="8"/>
    </row>
    <row r="1030" spans="16:16" x14ac:dyDescent="0.35">
      <c r="P1030" s="8"/>
    </row>
    <row r="1031" spans="16:16" x14ac:dyDescent="0.35">
      <c r="P1031" s="8"/>
    </row>
    <row r="1032" spans="16:16" x14ac:dyDescent="0.35">
      <c r="P1032" s="8"/>
    </row>
    <row r="1033" spans="16:16" x14ac:dyDescent="0.35">
      <c r="P1033" s="8"/>
    </row>
    <row r="1034" spans="16:16" x14ac:dyDescent="0.35">
      <c r="P1034" s="8"/>
    </row>
    <row r="1035" spans="16:16" x14ac:dyDescent="0.35">
      <c r="P1035" s="8"/>
    </row>
    <row r="1036" spans="16:16" x14ac:dyDescent="0.35">
      <c r="P1036" s="8"/>
    </row>
    <row r="1037" spans="16:16" x14ac:dyDescent="0.35">
      <c r="P1037" s="8"/>
    </row>
    <row r="1038" spans="16:16" x14ac:dyDescent="0.35">
      <c r="P1038" s="8"/>
    </row>
    <row r="1039" spans="16:16" x14ac:dyDescent="0.35">
      <c r="P1039" s="8"/>
    </row>
    <row r="1040" spans="16:16" x14ac:dyDescent="0.35">
      <c r="P1040" s="8"/>
    </row>
    <row r="1041" spans="16:16" x14ac:dyDescent="0.35">
      <c r="P1041" s="8"/>
    </row>
    <row r="1042" spans="16:16" x14ac:dyDescent="0.35">
      <c r="P1042" s="8"/>
    </row>
    <row r="1043" spans="16:16" x14ac:dyDescent="0.35">
      <c r="P1043" s="8"/>
    </row>
    <row r="1044" spans="16:16" x14ac:dyDescent="0.35">
      <c r="P1044" s="8"/>
    </row>
    <row r="1045" spans="16:16" x14ac:dyDescent="0.35">
      <c r="P1045" s="8"/>
    </row>
    <row r="1046" spans="16:16" x14ac:dyDescent="0.35">
      <c r="P1046" s="8"/>
    </row>
    <row r="1047" spans="16:16" x14ac:dyDescent="0.35">
      <c r="P1047" s="8"/>
    </row>
    <row r="1048" spans="16:16" x14ac:dyDescent="0.35">
      <c r="P1048" s="8"/>
    </row>
    <row r="1049" spans="16:16" x14ac:dyDescent="0.35">
      <c r="P1049" s="8"/>
    </row>
    <row r="1050" spans="16:16" x14ac:dyDescent="0.35">
      <c r="P1050" s="8"/>
    </row>
    <row r="1051" spans="16:16" x14ac:dyDescent="0.35">
      <c r="P1051" s="8"/>
    </row>
    <row r="1052" spans="16:16" x14ac:dyDescent="0.35">
      <c r="P1052" s="8"/>
    </row>
    <row r="1053" spans="16:16" x14ac:dyDescent="0.35">
      <c r="P1053" s="8"/>
    </row>
    <row r="1054" spans="16:16" x14ac:dyDescent="0.35">
      <c r="P1054" s="8"/>
    </row>
    <row r="1055" spans="16:16" x14ac:dyDescent="0.35">
      <c r="P1055" s="8"/>
    </row>
    <row r="1056" spans="16:16" x14ac:dyDescent="0.35">
      <c r="P1056" s="8"/>
    </row>
    <row r="1057" spans="16:16" x14ac:dyDescent="0.35">
      <c r="P1057" s="8"/>
    </row>
    <row r="1058" spans="16:16" x14ac:dyDescent="0.35">
      <c r="P1058" s="8"/>
    </row>
    <row r="1059" spans="16:16" x14ac:dyDescent="0.35">
      <c r="P1059" s="8"/>
    </row>
    <row r="1060" spans="16:16" x14ac:dyDescent="0.35">
      <c r="P1060" s="8"/>
    </row>
    <row r="1061" spans="16:16" x14ac:dyDescent="0.35">
      <c r="P1061" s="8"/>
    </row>
    <row r="1062" spans="16:16" x14ac:dyDescent="0.35">
      <c r="P1062" s="8"/>
    </row>
    <row r="1063" spans="16:16" x14ac:dyDescent="0.35">
      <c r="P1063" s="8"/>
    </row>
    <row r="1064" spans="16:16" x14ac:dyDescent="0.35">
      <c r="P1064" s="8"/>
    </row>
    <row r="1065" spans="16:16" x14ac:dyDescent="0.35">
      <c r="P1065" s="8"/>
    </row>
    <row r="1066" spans="16:16" x14ac:dyDescent="0.35">
      <c r="P1066" s="8"/>
    </row>
    <row r="1067" spans="16:16" x14ac:dyDescent="0.35">
      <c r="P1067" s="8"/>
    </row>
    <row r="1068" spans="16:16" x14ac:dyDescent="0.35">
      <c r="P1068" s="8"/>
    </row>
    <row r="1069" spans="16:16" x14ac:dyDescent="0.35">
      <c r="P1069" s="8"/>
    </row>
    <row r="1070" spans="16:16" x14ac:dyDescent="0.35">
      <c r="P1070" s="8"/>
    </row>
    <row r="1071" spans="16:16" x14ac:dyDescent="0.35">
      <c r="P1071" s="8"/>
    </row>
    <row r="1072" spans="16:16" x14ac:dyDescent="0.35">
      <c r="P1072" s="8"/>
    </row>
    <row r="1073" spans="16:16" x14ac:dyDescent="0.35">
      <c r="P1073" s="8"/>
    </row>
    <row r="1074" spans="16:16" x14ac:dyDescent="0.35">
      <c r="P1074" s="8"/>
    </row>
    <row r="1075" spans="16:16" x14ac:dyDescent="0.35">
      <c r="P1075" s="8"/>
    </row>
    <row r="1076" spans="16:16" x14ac:dyDescent="0.35">
      <c r="P1076" s="8"/>
    </row>
    <row r="1077" spans="16:16" x14ac:dyDescent="0.35">
      <c r="P1077" s="8"/>
    </row>
    <row r="1078" spans="16:16" x14ac:dyDescent="0.35">
      <c r="P1078" s="8"/>
    </row>
    <row r="1079" spans="16:16" x14ac:dyDescent="0.35">
      <c r="P1079" s="8"/>
    </row>
    <row r="1080" spans="16:16" x14ac:dyDescent="0.35">
      <c r="P1080" s="8"/>
    </row>
    <row r="1081" spans="16:16" x14ac:dyDescent="0.35">
      <c r="P1081" s="8"/>
    </row>
    <row r="1082" spans="16:16" x14ac:dyDescent="0.35">
      <c r="P1082" s="8"/>
    </row>
    <row r="1083" spans="16:16" x14ac:dyDescent="0.35">
      <c r="P1083" s="8"/>
    </row>
    <row r="1084" spans="16:16" x14ac:dyDescent="0.35">
      <c r="P1084" s="8"/>
    </row>
    <row r="1085" spans="16:16" x14ac:dyDescent="0.35">
      <c r="P1085" s="8"/>
    </row>
    <row r="1086" spans="16:16" x14ac:dyDescent="0.35">
      <c r="P1086" s="8"/>
    </row>
    <row r="1087" spans="16:16" x14ac:dyDescent="0.35">
      <c r="P1087" s="8"/>
    </row>
    <row r="1088" spans="16:16" x14ac:dyDescent="0.35">
      <c r="P1088" s="8"/>
    </row>
    <row r="1089" spans="16:16" x14ac:dyDescent="0.35">
      <c r="P1089" s="8"/>
    </row>
    <row r="1090" spans="16:16" x14ac:dyDescent="0.35">
      <c r="P1090" s="8"/>
    </row>
    <row r="1091" spans="16:16" x14ac:dyDescent="0.35">
      <c r="P1091" s="8"/>
    </row>
    <row r="1092" spans="16:16" x14ac:dyDescent="0.35">
      <c r="P1092" s="8"/>
    </row>
    <row r="1093" spans="16:16" x14ac:dyDescent="0.35">
      <c r="P1093" s="8"/>
    </row>
    <row r="1094" spans="16:16" x14ac:dyDescent="0.35">
      <c r="P1094" s="8"/>
    </row>
    <row r="1095" spans="16:16" x14ac:dyDescent="0.35">
      <c r="P1095" s="8"/>
    </row>
    <row r="1096" spans="16:16" x14ac:dyDescent="0.35">
      <c r="P1096" s="8"/>
    </row>
    <row r="1097" spans="16:16" x14ac:dyDescent="0.35">
      <c r="P1097" s="8"/>
    </row>
    <row r="1098" spans="16:16" x14ac:dyDescent="0.35">
      <c r="P1098" s="8"/>
    </row>
    <row r="1099" spans="16:16" x14ac:dyDescent="0.35">
      <c r="P1099" s="8"/>
    </row>
    <row r="1100" spans="16:16" x14ac:dyDescent="0.35">
      <c r="P1100" s="8"/>
    </row>
    <row r="1101" spans="16:16" x14ac:dyDescent="0.35">
      <c r="P1101" s="8"/>
    </row>
    <row r="1102" spans="16:16" x14ac:dyDescent="0.35">
      <c r="P1102" s="8"/>
    </row>
    <row r="1103" spans="16:16" x14ac:dyDescent="0.35">
      <c r="P1103" s="8"/>
    </row>
    <row r="1104" spans="16:16" x14ac:dyDescent="0.35">
      <c r="P1104" s="8"/>
    </row>
    <row r="1105" spans="16:16" x14ac:dyDescent="0.35">
      <c r="P1105" s="8"/>
    </row>
    <row r="1106" spans="16:16" x14ac:dyDescent="0.35">
      <c r="P1106" s="8"/>
    </row>
    <row r="1107" spans="16:16" x14ac:dyDescent="0.35">
      <c r="P1107" s="8"/>
    </row>
    <row r="1108" spans="16:16" x14ac:dyDescent="0.35">
      <c r="P1108" s="8"/>
    </row>
    <row r="1109" spans="16:16" x14ac:dyDescent="0.35">
      <c r="P1109" s="8"/>
    </row>
    <row r="1110" spans="16:16" x14ac:dyDescent="0.35">
      <c r="P1110" s="8"/>
    </row>
    <row r="1111" spans="16:16" x14ac:dyDescent="0.35">
      <c r="P1111" s="8"/>
    </row>
    <row r="1112" spans="16:16" x14ac:dyDescent="0.35">
      <c r="P1112" s="8"/>
    </row>
    <row r="1113" spans="16:16" x14ac:dyDescent="0.35">
      <c r="P1113" s="8"/>
    </row>
    <row r="1114" spans="16:16" x14ac:dyDescent="0.35">
      <c r="P1114" s="8"/>
    </row>
    <row r="1115" spans="16:16" x14ac:dyDescent="0.35">
      <c r="P1115" s="8"/>
    </row>
    <row r="1116" spans="16:16" x14ac:dyDescent="0.35">
      <c r="P1116" s="8"/>
    </row>
    <row r="1117" spans="16:16" x14ac:dyDescent="0.35">
      <c r="P1117" s="8"/>
    </row>
    <row r="1118" spans="16:16" x14ac:dyDescent="0.35">
      <c r="P1118" s="8"/>
    </row>
    <row r="1119" spans="16:16" x14ac:dyDescent="0.35">
      <c r="P1119" s="8"/>
    </row>
    <row r="1120" spans="16:16" x14ac:dyDescent="0.35">
      <c r="P1120" s="8"/>
    </row>
    <row r="1121" spans="16:16" x14ac:dyDescent="0.35">
      <c r="P1121" s="8"/>
    </row>
    <row r="1122" spans="16:16" x14ac:dyDescent="0.35">
      <c r="P1122" s="8"/>
    </row>
    <row r="1123" spans="16:16" x14ac:dyDescent="0.35">
      <c r="P1123" s="8"/>
    </row>
    <row r="1124" spans="16:16" x14ac:dyDescent="0.35">
      <c r="P1124" s="8"/>
    </row>
    <row r="1125" spans="16:16" x14ac:dyDescent="0.35">
      <c r="P1125" s="8"/>
    </row>
    <row r="1126" spans="16:16" x14ac:dyDescent="0.35">
      <c r="P1126" s="8"/>
    </row>
    <row r="1127" spans="16:16" x14ac:dyDescent="0.35">
      <c r="P1127" s="8"/>
    </row>
    <row r="1128" spans="16:16" x14ac:dyDescent="0.35">
      <c r="P1128" s="8"/>
    </row>
    <row r="1129" spans="16:16" x14ac:dyDescent="0.35">
      <c r="P1129" s="8"/>
    </row>
    <row r="1130" spans="16:16" x14ac:dyDescent="0.35">
      <c r="P1130" s="8"/>
    </row>
    <row r="1131" spans="16:16" x14ac:dyDescent="0.35">
      <c r="P1131" s="8"/>
    </row>
    <row r="1132" spans="16:16" x14ac:dyDescent="0.35">
      <c r="P1132" s="8"/>
    </row>
    <row r="1133" spans="16:16" x14ac:dyDescent="0.35">
      <c r="P1133" s="8"/>
    </row>
    <row r="1134" spans="16:16" x14ac:dyDescent="0.35">
      <c r="P1134" s="8"/>
    </row>
    <row r="1135" spans="16:16" x14ac:dyDescent="0.35">
      <c r="P1135" s="8"/>
    </row>
    <row r="1136" spans="16:16" x14ac:dyDescent="0.35">
      <c r="P1136" s="8"/>
    </row>
    <row r="1137" spans="16:16" x14ac:dyDescent="0.35">
      <c r="P1137" s="8"/>
    </row>
    <row r="1138" spans="16:16" x14ac:dyDescent="0.35">
      <c r="P1138" s="8"/>
    </row>
    <row r="1139" spans="16:16" x14ac:dyDescent="0.35">
      <c r="P1139" s="8"/>
    </row>
    <row r="1140" spans="16:16" x14ac:dyDescent="0.35">
      <c r="P1140" s="8"/>
    </row>
    <row r="1141" spans="16:16" x14ac:dyDescent="0.35">
      <c r="P1141" s="8"/>
    </row>
    <row r="1142" spans="16:16" x14ac:dyDescent="0.35">
      <c r="P1142" s="8"/>
    </row>
    <row r="1143" spans="16:16" x14ac:dyDescent="0.35">
      <c r="P1143" s="8"/>
    </row>
    <row r="1144" spans="16:16" x14ac:dyDescent="0.35">
      <c r="P1144" s="8"/>
    </row>
    <row r="1145" spans="16:16" x14ac:dyDescent="0.35">
      <c r="P1145" s="8"/>
    </row>
    <row r="1146" spans="16:16" x14ac:dyDescent="0.35">
      <c r="P1146" s="8"/>
    </row>
    <row r="1147" spans="16:16" x14ac:dyDescent="0.35">
      <c r="P1147" s="8"/>
    </row>
    <row r="1148" spans="16:16" x14ac:dyDescent="0.35">
      <c r="P1148" s="8"/>
    </row>
    <row r="1149" spans="16:16" x14ac:dyDescent="0.35">
      <c r="P1149" s="8"/>
    </row>
    <row r="1150" spans="16:16" x14ac:dyDescent="0.35">
      <c r="P1150" s="8"/>
    </row>
    <row r="1151" spans="16:16" x14ac:dyDescent="0.35">
      <c r="P1151" s="8"/>
    </row>
    <row r="1152" spans="16:16" x14ac:dyDescent="0.35">
      <c r="P1152" s="8"/>
    </row>
    <row r="1153" spans="16:16" x14ac:dyDescent="0.35">
      <c r="P1153" s="8"/>
    </row>
    <row r="1154" spans="16:16" x14ac:dyDescent="0.35">
      <c r="P1154" s="8"/>
    </row>
    <row r="1155" spans="16:16" x14ac:dyDescent="0.35">
      <c r="P1155" s="8"/>
    </row>
    <row r="1156" spans="16:16" x14ac:dyDescent="0.35">
      <c r="P1156" s="8"/>
    </row>
    <row r="1157" spans="16:16" x14ac:dyDescent="0.35">
      <c r="P1157" s="8"/>
    </row>
    <row r="1158" spans="16:16" x14ac:dyDescent="0.35">
      <c r="P1158" s="8"/>
    </row>
    <row r="1159" spans="16:16" x14ac:dyDescent="0.35">
      <c r="P1159" s="8"/>
    </row>
    <row r="1160" spans="16:16" x14ac:dyDescent="0.35">
      <c r="P1160" s="8"/>
    </row>
    <row r="1161" spans="16:16" x14ac:dyDescent="0.35">
      <c r="P1161" s="8"/>
    </row>
    <row r="1162" spans="16:16" x14ac:dyDescent="0.35">
      <c r="P1162" s="8"/>
    </row>
    <row r="1163" spans="16:16" x14ac:dyDescent="0.35">
      <c r="P1163" s="8"/>
    </row>
    <row r="1164" spans="16:16" x14ac:dyDescent="0.35">
      <c r="P1164" s="8"/>
    </row>
    <row r="1165" spans="16:16" x14ac:dyDescent="0.35">
      <c r="P1165" s="8"/>
    </row>
    <row r="1166" spans="16:16" x14ac:dyDescent="0.35">
      <c r="P1166" s="8"/>
    </row>
    <row r="1167" spans="16:16" x14ac:dyDescent="0.35">
      <c r="P1167" s="8"/>
    </row>
    <row r="1168" spans="16:16" x14ac:dyDescent="0.35">
      <c r="P1168" s="8"/>
    </row>
    <row r="1169" spans="16:16" x14ac:dyDescent="0.35">
      <c r="P1169" s="8"/>
    </row>
    <row r="1170" spans="16:16" x14ac:dyDescent="0.35">
      <c r="P1170" s="8"/>
    </row>
    <row r="1171" spans="16:16" x14ac:dyDescent="0.35">
      <c r="P1171" s="8"/>
    </row>
    <row r="1172" spans="16:16" x14ac:dyDescent="0.35">
      <c r="P1172" s="8"/>
    </row>
    <row r="1173" spans="16:16" x14ac:dyDescent="0.35">
      <c r="P1173" s="8"/>
    </row>
    <row r="1174" spans="16:16" x14ac:dyDescent="0.35">
      <c r="P1174" s="8"/>
    </row>
    <row r="1175" spans="16:16" x14ac:dyDescent="0.35">
      <c r="P1175" s="8"/>
    </row>
    <row r="1176" spans="16:16" x14ac:dyDescent="0.35">
      <c r="P1176" s="8"/>
    </row>
    <row r="1177" spans="16:16" x14ac:dyDescent="0.35">
      <c r="P1177" s="8"/>
    </row>
    <row r="1178" spans="16:16" x14ac:dyDescent="0.35">
      <c r="P1178" s="8"/>
    </row>
    <row r="1179" spans="16:16" x14ac:dyDescent="0.35">
      <c r="P1179" s="8"/>
    </row>
    <row r="1180" spans="16:16" x14ac:dyDescent="0.35">
      <c r="P1180" s="8"/>
    </row>
    <row r="1181" spans="16:16" x14ac:dyDescent="0.35">
      <c r="P1181" s="8"/>
    </row>
    <row r="1182" spans="16:16" x14ac:dyDescent="0.35">
      <c r="P1182" s="8"/>
    </row>
    <row r="1183" spans="16:16" x14ac:dyDescent="0.35">
      <c r="P1183" s="8"/>
    </row>
    <row r="1184" spans="16:16" x14ac:dyDescent="0.35">
      <c r="P1184" s="8"/>
    </row>
    <row r="1185" spans="16:16" x14ac:dyDescent="0.35">
      <c r="P1185" s="8"/>
    </row>
    <row r="1186" spans="16:16" x14ac:dyDescent="0.35">
      <c r="P1186" s="8"/>
    </row>
    <row r="1187" spans="16:16" x14ac:dyDescent="0.35">
      <c r="P1187" s="8"/>
    </row>
    <row r="1188" spans="16:16" x14ac:dyDescent="0.35">
      <c r="P1188" s="8"/>
    </row>
    <row r="1189" spans="16:16" x14ac:dyDescent="0.35">
      <c r="P1189" s="8"/>
    </row>
    <row r="1190" spans="16:16" x14ac:dyDescent="0.35">
      <c r="P1190" s="8"/>
    </row>
    <row r="1191" spans="16:16" x14ac:dyDescent="0.35">
      <c r="P1191" s="8"/>
    </row>
    <row r="1192" spans="16:16" x14ac:dyDescent="0.35">
      <c r="P1192" s="8"/>
    </row>
    <row r="1193" spans="16:16" x14ac:dyDescent="0.35">
      <c r="P1193" s="8"/>
    </row>
    <row r="1194" spans="16:16" x14ac:dyDescent="0.35">
      <c r="P1194" s="8"/>
    </row>
    <row r="1195" spans="16:16" x14ac:dyDescent="0.35">
      <c r="P1195" s="8"/>
    </row>
    <row r="1196" spans="16:16" x14ac:dyDescent="0.35">
      <c r="P1196" s="8"/>
    </row>
    <row r="1197" spans="16:16" x14ac:dyDescent="0.35">
      <c r="P1197" s="8"/>
    </row>
    <row r="1198" spans="16:16" x14ac:dyDescent="0.35">
      <c r="P1198" s="8"/>
    </row>
    <row r="1199" spans="16:16" x14ac:dyDescent="0.35">
      <c r="P1199" s="8"/>
    </row>
    <row r="1200" spans="16:16" x14ac:dyDescent="0.35">
      <c r="P1200" s="8"/>
    </row>
    <row r="1201" spans="16:16" x14ac:dyDescent="0.35">
      <c r="P1201" s="8"/>
    </row>
    <row r="1202" spans="16:16" x14ac:dyDescent="0.35">
      <c r="P1202" s="8"/>
    </row>
    <row r="1203" spans="16:16" x14ac:dyDescent="0.35">
      <c r="P1203" s="8"/>
    </row>
    <row r="1204" spans="16:16" x14ac:dyDescent="0.35">
      <c r="P1204" s="8"/>
    </row>
    <row r="1205" spans="16:16" x14ac:dyDescent="0.35">
      <c r="P1205" s="8"/>
    </row>
    <row r="1206" spans="16:16" x14ac:dyDescent="0.35">
      <c r="P1206" s="8"/>
    </row>
    <row r="1207" spans="16:16" x14ac:dyDescent="0.35">
      <c r="P1207" s="8"/>
    </row>
    <row r="1208" spans="16:16" x14ac:dyDescent="0.35">
      <c r="P1208" s="8"/>
    </row>
    <row r="1209" spans="16:16" x14ac:dyDescent="0.35">
      <c r="P1209" s="8"/>
    </row>
    <row r="1210" spans="16:16" x14ac:dyDescent="0.35">
      <c r="P1210" s="8"/>
    </row>
    <row r="1211" spans="16:16" x14ac:dyDescent="0.35">
      <c r="P1211" s="8"/>
    </row>
    <row r="1212" spans="16:16" x14ac:dyDescent="0.35">
      <c r="P1212" s="8"/>
    </row>
    <row r="1213" spans="16:16" x14ac:dyDescent="0.35">
      <c r="P1213" s="8"/>
    </row>
    <row r="1214" spans="16:16" x14ac:dyDescent="0.35">
      <c r="P1214" s="8"/>
    </row>
    <row r="1215" spans="16:16" x14ac:dyDescent="0.35">
      <c r="P1215" s="8"/>
    </row>
    <row r="1216" spans="16:16" x14ac:dyDescent="0.35">
      <c r="P1216" s="8"/>
    </row>
    <row r="1217" spans="16:16" x14ac:dyDescent="0.35">
      <c r="P1217" s="8"/>
    </row>
    <row r="1218" spans="16:16" x14ac:dyDescent="0.35">
      <c r="P1218" s="8"/>
    </row>
    <row r="1219" spans="16:16" x14ac:dyDescent="0.35">
      <c r="P1219" s="8"/>
    </row>
    <row r="1220" spans="16:16" x14ac:dyDescent="0.35">
      <c r="P1220" s="8"/>
    </row>
    <row r="1221" spans="16:16" x14ac:dyDescent="0.35">
      <c r="P1221" s="8"/>
    </row>
    <row r="1222" spans="16:16" x14ac:dyDescent="0.35">
      <c r="P1222" s="8"/>
    </row>
    <row r="1223" spans="16:16" x14ac:dyDescent="0.35">
      <c r="P1223" s="8"/>
    </row>
    <row r="1224" spans="16:16" x14ac:dyDescent="0.35">
      <c r="P1224" s="8"/>
    </row>
    <row r="1225" spans="16:16" x14ac:dyDescent="0.35">
      <c r="P1225" s="8"/>
    </row>
    <row r="1226" spans="16:16" x14ac:dyDescent="0.35">
      <c r="P1226" s="8"/>
    </row>
    <row r="1227" spans="16:16" x14ac:dyDescent="0.35">
      <c r="P1227" s="8"/>
    </row>
    <row r="1228" spans="16:16" x14ac:dyDescent="0.35">
      <c r="P1228" s="8"/>
    </row>
    <row r="1229" spans="16:16" x14ac:dyDescent="0.35">
      <c r="P1229" s="8"/>
    </row>
    <row r="1230" spans="16:16" x14ac:dyDescent="0.35">
      <c r="P1230" s="8"/>
    </row>
    <row r="1231" spans="16:16" x14ac:dyDescent="0.35">
      <c r="P1231" s="8"/>
    </row>
    <row r="1232" spans="16:16" x14ac:dyDescent="0.35">
      <c r="P1232" s="8"/>
    </row>
    <row r="1233" spans="16:16" x14ac:dyDescent="0.35">
      <c r="P1233" s="8"/>
    </row>
    <row r="1234" spans="16:16" x14ac:dyDescent="0.35">
      <c r="P1234" s="8"/>
    </row>
    <row r="1235" spans="16:16" x14ac:dyDescent="0.35">
      <c r="P1235" s="8"/>
    </row>
    <row r="1236" spans="16:16" x14ac:dyDescent="0.35">
      <c r="P1236" s="8"/>
    </row>
    <row r="1237" spans="16:16" x14ac:dyDescent="0.35">
      <c r="P1237" s="8"/>
    </row>
    <row r="1238" spans="16:16" x14ac:dyDescent="0.35">
      <c r="P1238" s="8"/>
    </row>
    <row r="1239" spans="16:16" x14ac:dyDescent="0.35">
      <c r="P1239" s="8"/>
    </row>
    <row r="1240" spans="16:16" x14ac:dyDescent="0.35">
      <c r="P1240" s="8"/>
    </row>
    <row r="1241" spans="16:16" x14ac:dyDescent="0.35">
      <c r="P1241" s="8"/>
    </row>
    <row r="1242" spans="16:16" x14ac:dyDescent="0.35">
      <c r="P1242" s="8"/>
    </row>
    <row r="1243" spans="16:16" x14ac:dyDescent="0.35">
      <c r="P1243" s="8"/>
    </row>
    <row r="1244" spans="16:16" x14ac:dyDescent="0.35">
      <c r="P1244" s="8"/>
    </row>
    <row r="1245" spans="16:16" x14ac:dyDescent="0.35">
      <c r="P1245" s="8"/>
    </row>
    <row r="1246" spans="16:16" x14ac:dyDescent="0.35">
      <c r="P1246" s="8"/>
    </row>
    <row r="1247" spans="16:16" x14ac:dyDescent="0.35">
      <c r="P1247" s="8"/>
    </row>
    <row r="1248" spans="16:16" x14ac:dyDescent="0.35">
      <c r="P1248" s="8"/>
    </row>
    <row r="1249" spans="16:16" x14ac:dyDescent="0.35">
      <c r="P1249" s="8"/>
    </row>
    <row r="1250" spans="16:16" x14ac:dyDescent="0.35">
      <c r="P1250" s="8"/>
    </row>
    <row r="1251" spans="16:16" x14ac:dyDescent="0.35">
      <c r="P1251" s="8"/>
    </row>
    <row r="1252" spans="16:16" x14ac:dyDescent="0.35">
      <c r="P1252" s="8"/>
    </row>
    <row r="1253" spans="16:16" x14ac:dyDescent="0.35">
      <c r="P1253" s="8"/>
    </row>
    <row r="1254" spans="16:16" x14ac:dyDescent="0.35">
      <c r="P1254" s="8"/>
    </row>
    <row r="1255" spans="16:16" x14ac:dyDescent="0.35">
      <c r="P1255" s="8"/>
    </row>
    <row r="1256" spans="16:16" x14ac:dyDescent="0.35">
      <c r="P1256" s="8"/>
    </row>
    <row r="1257" spans="16:16" x14ac:dyDescent="0.35">
      <c r="P1257" s="8"/>
    </row>
    <row r="1258" spans="16:16" x14ac:dyDescent="0.35">
      <c r="P1258" s="8"/>
    </row>
    <row r="1259" spans="16:16" x14ac:dyDescent="0.35">
      <c r="P1259" s="8"/>
    </row>
    <row r="1260" spans="16:16" x14ac:dyDescent="0.35">
      <c r="P1260" s="8"/>
    </row>
    <row r="1261" spans="16:16" x14ac:dyDescent="0.35">
      <c r="P1261" s="8"/>
    </row>
    <row r="1262" spans="16:16" x14ac:dyDescent="0.35">
      <c r="P1262" s="8"/>
    </row>
    <row r="1263" spans="16:16" x14ac:dyDescent="0.35">
      <c r="P1263" s="8"/>
    </row>
    <row r="1264" spans="16:16" x14ac:dyDescent="0.35">
      <c r="P1264" s="8"/>
    </row>
    <row r="1265" spans="16:16" x14ac:dyDescent="0.35">
      <c r="P1265" s="8"/>
    </row>
    <row r="1266" spans="16:16" x14ac:dyDescent="0.35">
      <c r="P1266" s="8"/>
    </row>
    <row r="1267" spans="16:16" x14ac:dyDescent="0.35">
      <c r="P1267" s="8"/>
    </row>
    <row r="1268" spans="16:16" x14ac:dyDescent="0.35">
      <c r="P1268" s="8"/>
    </row>
    <row r="1269" spans="16:16" x14ac:dyDescent="0.35">
      <c r="P1269" s="8"/>
    </row>
    <row r="1270" spans="16:16" x14ac:dyDescent="0.35">
      <c r="P1270" s="8"/>
    </row>
    <row r="1271" spans="16:16" x14ac:dyDescent="0.35">
      <c r="P1271" s="8"/>
    </row>
    <row r="1272" spans="16:16" x14ac:dyDescent="0.35">
      <c r="P1272" s="8"/>
    </row>
    <row r="1273" spans="16:16" x14ac:dyDescent="0.35">
      <c r="P1273" s="8"/>
    </row>
    <row r="1274" spans="16:16" x14ac:dyDescent="0.35">
      <c r="P1274" s="8"/>
    </row>
    <row r="1275" spans="16:16" x14ac:dyDescent="0.35">
      <c r="P1275" s="8"/>
    </row>
    <row r="1276" spans="16:16" x14ac:dyDescent="0.35">
      <c r="P1276" s="8"/>
    </row>
    <row r="1277" spans="16:16" x14ac:dyDescent="0.35">
      <c r="P1277" s="8"/>
    </row>
    <row r="1278" spans="16:16" x14ac:dyDescent="0.35">
      <c r="P1278" s="8"/>
    </row>
    <row r="1279" spans="16:16" x14ac:dyDescent="0.35">
      <c r="P1279" s="8"/>
    </row>
    <row r="1280" spans="16:16" x14ac:dyDescent="0.35">
      <c r="P1280" s="8"/>
    </row>
    <row r="1281" spans="16:16" x14ac:dyDescent="0.35">
      <c r="P1281" s="8"/>
    </row>
    <row r="1282" spans="16:16" x14ac:dyDescent="0.35">
      <c r="P1282" s="8"/>
    </row>
    <row r="1283" spans="16:16" x14ac:dyDescent="0.35">
      <c r="P1283" s="8"/>
    </row>
    <row r="1284" spans="16:16" x14ac:dyDescent="0.35">
      <c r="P1284" s="8"/>
    </row>
    <row r="1285" spans="16:16" x14ac:dyDescent="0.35">
      <c r="P1285" s="8"/>
    </row>
    <row r="1286" spans="16:16" x14ac:dyDescent="0.35">
      <c r="P1286" s="8"/>
    </row>
    <row r="1287" spans="16:16" x14ac:dyDescent="0.35">
      <c r="P1287" s="8"/>
    </row>
    <row r="1288" spans="16:16" x14ac:dyDescent="0.35">
      <c r="P1288" s="8"/>
    </row>
    <row r="1289" spans="16:16" x14ac:dyDescent="0.35">
      <c r="P1289" s="8"/>
    </row>
    <row r="1290" spans="16:16" x14ac:dyDescent="0.35">
      <c r="P1290" s="8"/>
    </row>
    <row r="1291" spans="16:16" x14ac:dyDescent="0.35">
      <c r="P1291" s="8"/>
    </row>
    <row r="1292" spans="16:16" x14ac:dyDescent="0.35">
      <c r="P1292" s="8"/>
    </row>
    <row r="1293" spans="16:16" x14ac:dyDescent="0.35">
      <c r="P1293" s="8"/>
    </row>
    <row r="1294" spans="16:16" x14ac:dyDescent="0.35">
      <c r="P1294" s="8"/>
    </row>
    <row r="1295" spans="16:16" x14ac:dyDescent="0.35">
      <c r="P1295" s="8"/>
    </row>
    <row r="1296" spans="16:16" x14ac:dyDescent="0.35">
      <c r="P1296" s="8"/>
    </row>
    <row r="1297" spans="16:16" x14ac:dyDescent="0.35">
      <c r="P1297" s="8"/>
    </row>
    <row r="1298" spans="16:16" x14ac:dyDescent="0.35">
      <c r="P1298" s="8"/>
    </row>
    <row r="1299" spans="16:16" x14ac:dyDescent="0.35">
      <c r="P1299" s="8"/>
    </row>
    <row r="1300" spans="16:16" x14ac:dyDescent="0.35">
      <c r="P1300" s="8"/>
    </row>
    <row r="1301" spans="16:16" x14ac:dyDescent="0.35">
      <c r="P1301" s="8"/>
    </row>
    <row r="1302" spans="16:16" x14ac:dyDescent="0.35">
      <c r="P1302" s="8"/>
    </row>
    <row r="1303" spans="16:16" x14ac:dyDescent="0.35">
      <c r="P1303" s="8"/>
    </row>
    <row r="1304" spans="16:16" x14ac:dyDescent="0.35">
      <c r="P1304" s="8"/>
    </row>
    <row r="1305" spans="16:16" x14ac:dyDescent="0.35">
      <c r="P1305" s="8"/>
    </row>
    <row r="1306" spans="16:16" x14ac:dyDescent="0.35">
      <c r="P1306" s="8"/>
    </row>
    <row r="1307" spans="16:16" x14ac:dyDescent="0.35">
      <c r="P1307" s="8"/>
    </row>
    <row r="1308" spans="16:16" x14ac:dyDescent="0.35">
      <c r="P1308" s="8"/>
    </row>
    <row r="1309" spans="16:16" x14ac:dyDescent="0.35">
      <c r="P1309" s="8"/>
    </row>
    <row r="1310" spans="16:16" x14ac:dyDescent="0.35">
      <c r="P1310" s="8"/>
    </row>
    <row r="1311" spans="16:16" x14ac:dyDescent="0.35">
      <c r="P1311" s="8"/>
    </row>
    <row r="1312" spans="16:16" x14ac:dyDescent="0.35">
      <c r="P1312" s="8"/>
    </row>
    <row r="1313" spans="16:16" x14ac:dyDescent="0.35">
      <c r="P1313" s="8"/>
    </row>
    <row r="1314" spans="16:16" x14ac:dyDescent="0.35">
      <c r="P1314" s="8"/>
    </row>
    <row r="1315" spans="16:16" x14ac:dyDescent="0.35">
      <c r="P1315" s="8"/>
    </row>
    <row r="1316" spans="16:16" x14ac:dyDescent="0.35">
      <c r="P1316" s="8"/>
    </row>
    <row r="1317" spans="16:16" x14ac:dyDescent="0.35">
      <c r="P1317" s="8"/>
    </row>
    <row r="1318" spans="16:16" x14ac:dyDescent="0.35">
      <c r="P1318" s="8"/>
    </row>
    <row r="1319" spans="16:16" x14ac:dyDescent="0.35">
      <c r="P1319" s="8"/>
    </row>
    <row r="1320" spans="16:16" x14ac:dyDescent="0.35">
      <c r="P1320" s="8"/>
    </row>
    <row r="1321" spans="16:16" x14ac:dyDescent="0.35">
      <c r="P1321" s="8"/>
    </row>
    <row r="1322" spans="16:16" x14ac:dyDescent="0.35">
      <c r="P1322" s="8"/>
    </row>
    <row r="1323" spans="16:16" x14ac:dyDescent="0.35">
      <c r="P1323" s="8"/>
    </row>
    <row r="1324" spans="16:16" x14ac:dyDescent="0.35">
      <c r="P1324" s="8"/>
    </row>
    <row r="1325" spans="16:16" x14ac:dyDescent="0.35">
      <c r="P1325" s="8"/>
    </row>
    <row r="1326" spans="16:16" x14ac:dyDescent="0.35">
      <c r="P1326" s="8"/>
    </row>
    <row r="1327" spans="16:16" x14ac:dyDescent="0.35">
      <c r="P1327" s="8"/>
    </row>
    <row r="1328" spans="16:16" x14ac:dyDescent="0.35">
      <c r="P1328" s="8"/>
    </row>
    <row r="1329" spans="16:16" x14ac:dyDescent="0.35">
      <c r="P1329" s="8"/>
    </row>
    <row r="1330" spans="16:16" x14ac:dyDescent="0.35">
      <c r="P1330" s="8"/>
    </row>
    <row r="1331" spans="16:16" x14ac:dyDescent="0.35">
      <c r="P1331" s="8"/>
    </row>
    <row r="1332" spans="16:16" x14ac:dyDescent="0.35">
      <c r="P1332" s="8"/>
    </row>
    <row r="1333" spans="16:16" x14ac:dyDescent="0.35">
      <c r="P1333" s="8"/>
    </row>
    <row r="1334" spans="16:16" x14ac:dyDescent="0.35">
      <c r="P1334" s="8"/>
    </row>
    <row r="1335" spans="16:16" x14ac:dyDescent="0.35">
      <c r="P1335" s="8"/>
    </row>
    <row r="1336" spans="16:16" x14ac:dyDescent="0.35">
      <c r="P1336" s="8"/>
    </row>
    <row r="1337" spans="16:16" x14ac:dyDescent="0.35">
      <c r="P1337" s="8"/>
    </row>
    <row r="1338" spans="16:16" x14ac:dyDescent="0.35">
      <c r="P1338" s="8"/>
    </row>
    <row r="1339" spans="16:16" x14ac:dyDescent="0.35">
      <c r="P1339" s="8"/>
    </row>
    <row r="1340" spans="16:16" x14ac:dyDescent="0.35">
      <c r="P1340" s="8"/>
    </row>
    <row r="1341" spans="16:16" x14ac:dyDescent="0.35">
      <c r="P1341" s="8"/>
    </row>
    <row r="1342" spans="16:16" x14ac:dyDescent="0.35">
      <c r="P1342" s="8"/>
    </row>
    <row r="1343" spans="16:16" x14ac:dyDescent="0.35">
      <c r="P1343" s="8"/>
    </row>
    <row r="1344" spans="16:16" x14ac:dyDescent="0.35">
      <c r="P1344" s="8"/>
    </row>
    <row r="1345" spans="16:16" x14ac:dyDescent="0.35">
      <c r="P1345" s="8"/>
    </row>
    <row r="1346" spans="16:16" x14ac:dyDescent="0.35">
      <c r="P1346" s="8"/>
    </row>
    <row r="1347" spans="16:16" x14ac:dyDescent="0.35">
      <c r="P1347" s="8"/>
    </row>
    <row r="1348" spans="16:16" x14ac:dyDescent="0.35">
      <c r="P1348" s="8"/>
    </row>
    <row r="1349" spans="16:16" x14ac:dyDescent="0.35">
      <c r="P1349" s="8"/>
    </row>
    <row r="1350" spans="16:16" x14ac:dyDescent="0.35">
      <c r="P1350" s="8"/>
    </row>
    <row r="1351" spans="16:16" x14ac:dyDescent="0.35">
      <c r="P1351" s="8"/>
    </row>
    <row r="1352" spans="16:16" x14ac:dyDescent="0.35">
      <c r="P1352" s="8"/>
    </row>
    <row r="1353" spans="16:16" x14ac:dyDescent="0.35">
      <c r="P1353" s="8"/>
    </row>
    <row r="1354" spans="16:16" x14ac:dyDescent="0.35">
      <c r="P1354" s="8"/>
    </row>
    <row r="1355" spans="16:16" x14ac:dyDescent="0.35">
      <c r="P1355" s="8"/>
    </row>
    <row r="1356" spans="16:16" x14ac:dyDescent="0.35">
      <c r="P1356" s="8"/>
    </row>
    <row r="1357" spans="16:16" x14ac:dyDescent="0.35">
      <c r="P1357" s="8"/>
    </row>
    <row r="1358" spans="16:16" x14ac:dyDescent="0.35">
      <c r="P1358" s="8"/>
    </row>
    <row r="1359" spans="16:16" x14ac:dyDescent="0.35">
      <c r="P1359" s="8"/>
    </row>
    <row r="1360" spans="16:16" x14ac:dyDescent="0.35">
      <c r="P1360" s="8"/>
    </row>
    <row r="1361" spans="16:16" x14ac:dyDescent="0.35">
      <c r="P1361" s="8"/>
    </row>
    <row r="1362" spans="16:16" x14ac:dyDescent="0.35">
      <c r="P1362" s="8"/>
    </row>
    <row r="1363" spans="16:16" x14ac:dyDescent="0.35">
      <c r="P1363" s="8"/>
    </row>
    <row r="1364" spans="16:16" x14ac:dyDescent="0.35">
      <c r="P1364" s="8"/>
    </row>
    <row r="1365" spans="16:16" x14ac:dyDescent="0.35">
      <c r="P1365" s="8"/>
    </row>
    <row r="1366" spans="16:16" x14ac:dyDescent="0.35">
      <c r="P1366" s="8"/>
    </row>
    <row r="1367" spans="16:16" x14ac:dyDescent="0.35">
      <c r="P1367" s="8"/>
    </row>
    <row r="1368" spans="16:16" x14ac:dyDescent="0.35">
      <c r="P1368" s="8"/>
    </row>
    <row r="1369" spans="16:16" x14ac:dyDescent="0.35">
      <c r="P1369" s="8"/>
    </row>
    <row r="1370" spans="16:16" x14ac:dyDescent="0.35">
      <c r="P1370" s="8"/>
    </row>
    <row r="1371" spans="16:16" x14ac:dyDescent="0.35">
      <c r="P1371" s="8"/>
    </row>
    <row r="1372" spans="16:16" x14ac:dyDescent="0.35">
      <c r="P1372" s="8"/>
    </row>
    <row r="1373" spans="16:16" x14ac:dyDescent="0.35">
      <c r="P1373" s="8"/>
    </row>
    <row r="1374" spans="16:16" x14ac:dyDescent="0.35">
      <c r="P1374" s="8"/>
    </row>
    <row r="1375" spans="16:16" x14ac:dyDescent="0.35">
      <c r="P1375" s="8"/>
    </row>
    <row r="1376" spans="16:16" x14ac:dyDescent="0.35">
      <c r="P1376" s="8"/>
    </row>
    <row r="1377" spans="16:16" x14ac:dyDescent="0.35">
      <c r="P1377" s="8"/>
    </row>
    <row r="1378" spans="16:16" x14ac:dyDescent="0.35">
      <c r="P1378" s="8"/>
    </row>
    <row r="1379" spans="16:16" x14ac:dyDescent="0.35">
      <c r="P1379" s="8"/>
    </row>
    <row r="1380" spans="16:16" x14ac:dyDescent="0.35">
      <c r="P1380" s="8"/>
    </row>
    <row r="1381" spans="16:16" x14ac:dyDescent="0.35">
      <c r="P1381" s="8"/>
    </row>
    <row r="1382" spans="16:16" x14ac:dyDescent="0.35">
      <c r="P1382" s="8"/>
    </row>
    <row r="1383" spans="16:16" x14ac:dyDescent="0.35">
      <c r="P1383" s="8"/>
    </row>
    <row r="1384" spans="16:16" x14ac:dyDescent="0.35">
      <c r="P1384" s="8"/>
    </row>
    <row r="1385" spans="16:16" x14ac:dyDescent="0.35">
      <c r="P1385" s="8"/>
    </row>
    <row r="1386" spans="16:16" x14ac:dyDescent="0.35">
      <c r="P1386" s="8"/>
    </row>
    <row r="1387" spans="16:16" x14ac:dyDescent="0.35">
      <c r="P1387" s="8"/>
    </row>
    <row r="1388" spans="16:16" x14ac:dyDescent="0.35">
      <c r="P1388" s="8"/>
    </row>
    <row r="1389" spans="16:16" x14ac:dyDescent="0.35">
      <c r="P1389" s="8"/>
    </row>
    <row r="1390" spans="16:16" x14ac:dyDescent="0.35">
      <c r="P1390" s="8"/>
    </row>
    <row r="1391" spans="16:16" x14ac:dyDescent="0.35">
      <c r="P1391" s="8"/>
    </row>
    <row r="1392" spans="16:16" x14ac:dyDescent="0.35">
      <c r="P1392" s="8"/>
    </row>
    <row r="1393" spans="16:16" x14ac:dyDescent="0.35">
      <c r="P1393" s="8"/>
    </row>
    <row r="1394" spans="16:16" x14ac:dyDescent="0.35">
      <c r="P1394" s="8"/>
    </row>
    <row r="1395" spans="16:16" x14ac:dyDescent="0.35">
      <c r="P1395" s="8"/>
    </row>
    <row r="1396" spans="16:16" x14ac:dyDescent="0.35">
      <c r="P1396" s="8"/>
    </row>
    <row r="1397" spans="16:16" x14ac:dyDescent="0.35">
      <c r="P1397" s="8"/>
    </row>
    <row r="1398" spans="16:16" x14ac:dyDescent="0.35">
      <c r="P1398" s="8"/>
    </row>
    <row r="1399" spans="16:16" x14ac:dyDescent="0.35">
      <c r="P1399" s="8"/>
    </row>
    <row r="1400" spans="16:16" x14ac:dyDescent="0.35">
      <c r="P1400" s="8"/>
    </row>
    <row r="1401" spans="16:16" x14ac:dyDescent="0.35">
      <c r="P1401" s="8"/>
    </row>
    <row r="1402" spans="16:16" x14ac:dyDescent="0.35">
      <c r="P1402" s="8"/>
    </row>
    <row r="1403" spans="16:16" x14ac:dyDescent="0.35">
      <c r="P1403" s="8"/>
    </row>
    <row r="1404" spans="16:16" x14ac:dyDescent="0.35">
      <c r="P1404" s="8"/>
    </row>
    <row r="1405" spans="16:16" x14ac:dyDescent="0.35">
      <c r="P1405" s="8"/>
    </row>
    <row r="1406" spans="16:16" x14ac:dyDescent="0.35">
      <c r="P1406" s="8"/>
    </row>
    <row r="1407" spans="16:16" x14ac:dyDescent="0.35">
      <c r="P1407" s="8"/>
    </row>
    <row r="1408" spans="16:16" x14ac:dyDescent="0.35">
      <c r="P1408" s="8"/>
    </row>
    <row r="1409" spans="16:16" x14ac:dyDescent="0.35">
      <c r="P1409" s="8"/>
    </row>
    <row r="1410" spans="16:16" x14ac:dyDescent="0.35">
      <c r="P1410" s="8"/>
    </row>
    <row r="1411" spans="16:16" x14ac:dyDescent="0.35">
      <c r="P1411" s="8"/>
    </row>
    <row r="1412" spans="16:16" x14ac:dyDescent="0.35">
      <c r="P1412" s="8"/>
    </row>
    <row r="1413" spans="16:16" x14ac:dyDescent="0.35">
      <c r="P1413" s="8"/>
    </row>
    <row r="1414" spans="16:16" x14ac:dyDescent="0.35">
      <c r="P1414" s="8"/>
    </row>
    <row r="1415" spans="16:16" x14ac:dyDescent="0.35">
      <c r="P1415" s="8"/>
    </row>
    <row r="1416" spans="16:16" x14ac:dyDescent="0.35">
      <c r="P1416" s="8"/>
    </row>
    <row r="1417" spans="16:16" x14ac:dyDescent="0.35">
      <c r="P1417" s="8"/>
    </row>
    <row r="1418" spans="16:16" x14ac:dyDescent="0.35">
      <c r="P1418" s="8"/>
    </row>
    <row r="1419" spans="16:16" x14ac:dyDescent="0.35">
      <c r="P1419" s="8"/>
    </row>
    <row r="1420" spans="16:16" x14ac:dyDescent="0.35">
      <c r="P1420" s="8"/>
    </row>
    <row r="1421" spans="16:16" x14ac:dyDescent="0.35">
      <c r="P1421" s="8"/>
    </row>
    <row r="1422" spans="16:16" x14ac:dyDescent="0.35">
      <c r="P1422" s="8"/>
    </row>
    <row r="1423" spans="16:16" x14ac:dyDescent="0.35">
      <c r="P1423" s="8"/>
    </row>
    <row r="1424" spans="16:16" x14ac:dyDescent="0.35">
      <c r="P1424" s="8"/>
    </row>
    <row r="1425" spans="16:16" x14ac:dyDescent="0.35">
      <c r="P1425" s="8"/>
    </row>
    <row r="1426" spans="16:16" x14ac:dyDescent="0.35">
      <c r="P1426" s="8"/>
    </row>
    <row r="1427" spans="16:16" x14ac:dyDescent="0.35">
      <c r="P1427" s="8"/>
    </row>
    <row r="1428" spans="16:16" x14ac:dyDescent="0.35">
      <c r="P1428" s="8"/>
    </row>
    <row r="1429" spans="16:16" x14ac:dyDescent="0.35">
      <c r="P1429" s="8"/>
    </row>
    <row r="1430" spans="16:16" x14ac:dyDescent="0.35">
      <c r="P1430" s="8"/>
    </row>
    <row r="1431" spans="16:16" x14ac:dyDescent="0.35">
      <c r="P1431" s="8"/>
    </row>
    <row r="1432" spans="16:16" x14ac:dyDescent="0.35">
      <c r="P1432" s="8"/>
    </row>
    <row r="1433" spans="16:16" x14ac:dyDescent="0.35">
      <c r="P1433" s="8"/>
    </row>
    <row r="1434" spans="16:16" x14ac:dyDescent="0.35">
      <c r="P1434" s="8"/>
    </row>
    <row r="1435" spans="16:16" x14ac:dyDescent="0.35">
      <c r="P1435" s="8"/>
    </row>
    <row r="1436" spans="16:16" x14ac:dyDescent="0.35">
      <c r="P1436" s="8"/>
    </row>
    <row r="1437" spans="16:16" x14ac:dyDescent="0.35">
      <c r="P1437" s="8"/>
    </row>
    <row r="1438" spans="16:16" x14ac:dyDescent="0.35">
      <c r="P1438" s="8"/>
    </row>
    <row r="1439" spans="16:16" x14ac:dyDescent="0.35">
      <c r="P1439" s="8"/>
    </row>
    <row r="1440" spans="16:16" x14ac:dyDescent="0.35">
      <c r="P1440" s="8"/>
    </row>
    <row r="1441" spans="16:16" x14ac:dyDescent="0.35">
      <c r="P1441" s="8"/>
    </row>
    <row r="1442" spans="16:16" x14ac:dyDescent="0.35">
      <c r="P1442" s="8"/>
    </row>
    <row r="1443" spans="16:16" x14ac:dyDescent="0.35">
      <c r="P1443" s="8"/>
    </row>
    <row r="1444" spans="16:16" x14ac:dyDescent="0.35">
      <c r="P1444" s="8"/>
    </row>
    <row r="1445" spans="16:16" x14ac:dyDescent="0.35">
      <c r="P1445" s="8"/>
    </row>
    <row r="1446" spans="16:16" x14ac:dyDescent="0.35">
      <c r="P1446" s="8"/>
    </row>
    <row r="1447" spans="16:16" x14ac:dyDescent="0.35">
      <c r="P1447" s="8"/>
    </row>
    <row r="1448" spans="16:16" x14ac:dyDescent="0.35">
      <c r="P1448" s="8"/>
    </row>
    <row r="1449" spans="16:16" x14ac:dyDescent="0.35">
      <c r="P1449" s="8"/>
    </row>
    <row r="1450" spans="16:16" x14ac:dyDescent="0.35">
      <c r="P1450" s="8"/>
    </row>
    <row r="1451" spans="16:16" x14ac:dyDescent="0.35">
      <c r="P1451" s="8"/>
    </row>
    <row r="1452" spans="16:16" x14ac:dyDescent="0.35">
      <c r="P1452" s="8"/>
    </row>
    <row r="1453" spans="16:16" x14ac:dyDescent="0.35">
      <c r="P1453" s="8"/>
    </row>
    <row r="1454" spans="16:16" x14ac:dyDescent="0.35">
      <c r="P1454" s="8"/>
    </row>
    <row r="1455" spans="16:16" x14ac:dyDescent="0.35">
      <c r="P1455" s="8"/>
    </row>
    <row r="1456" spans="16:16" x14ac:dyDescent="0.35">
      <c r="P1456" s="8"/>
    </row>
    <row r="1457" spans="16:16" x14ac:dyDescent="0.35">
      <c r="P1457" s="8"/>
    </row>
    <row r="1458" spans="16:16" x14ac:dyDescent="0.35">
      <c r="P1458" s="8"/>
    </row>
    <row r="1459" spans="16:16" x14ac:dyDescent="0.35">
      <c r="P1459" s="8"/>
    </row>
    <row r="1460" spans="16:16" x14ac:dyDescent="0.35">
      <c r="P1460" s="8"/>
    </row>
    <row r="1461" spans="16:16" x14ac:dyDescent="0.35">
      <c r="P1461" s="8"/>
    </row>
    <row r="1462" spans="16:16" x14ac:dyDescent="0.35">
      <c r="P1462" s="8"/>
    </row>
    <row r="1463" spans="16:16" x14ac:dyDescent="0.35">
      <c r="P1463" s="8"/>
    </row>
    <row r="1464" spans="16:16" x14ac:dyDescent="0.35">
      <c r="P1464" s="8"/>
    </row>
    <row r="1465" spans="16:16" x14ac:dyDescent="0.35">
      <c r="P1465" s="8"/>
    </row>
    <row r="1466" spans="16:16" x14ac:dyDescent="0.35">
      <c r="P1466" s="8"/>
    </row>
    <row r="1467" spans="16:16" x14ac:dyDescent="0.35">
      <c r="P1467" s="8"/>
    </row>
    <row r="1468" spans="16:16" x14ac:dyDescent="0.35">
      <c r="P1468" s="8"/>
    </row>
    <row r="1469" spans="16:16" x14ac:dyDescent="0.35">
      <c r="P1469" s="8"/>
    </row>
    <row r="1470" spans="16:16" x14ac:dyDescent="0.35">
      <c r="P1470" s="8"/>
    </row>
    <row r="1471" spans="16:16" x14ac:dyDescent="0.35">
      <c r="P1471" s="8"/>
    </row>
    <row r="1472" spans="16:16" x14ac:dyDescent="0.35">
      <c r="P1472" s="8"/>
    </row>
    <row r="1473" spans="16:16" x14ac:dyDescent="0.35">
      <c r="P1473" s="8"/>
    </row>
    <row r="1474" spans="16:16" x14ac:dyDescent="0.35">
      <c r="P1474" s="8"/>
    </row>
    <row r="1475" spans="16:16" x14ac:dyDescent="0.35">
      <c r="P1475" s="8"/>
    </row>
    <row r="1476" spans="16:16" x14ac:dyDescent="0.35">
      <c r="P1476" s="8"/>
    </row>
    <row r="1477" spans="16:16" x14ac:dyDescent="0.35">
      <c r="P1477" s="8"/>
    </row>
    <row r="1478" spans="16:16" x14ac:dyDescent="0.35">
      <c r="P1478" s="8"/>
    </row>
    <row r="1479" spans="16:16" x14ac:dyDescent="0.35">
      <c r="P1479" s="8"/>
    </row>
    <row r="1480" spans="16:16" x14ac:dyDescent="0.35">
      <c r="P1480" s="8"/>
    </row>
    <row r="1481" spans="16:16" x14ac:dyDescent="0.35">
      <c r="P1481" s="8"/>
    </row>
    <row r="1482" spans="16:16" x14ac:dyDescent="0.35">
      <c r="P1482" s="8"/>
    </row>
    <row r="1483" spans="16:16" x14ac:dyDescent="0.35">
      <c r="P1483" s="8"/>
    </row>
    <row r="1484" spans="16:16" x14ac:dyDescent="0.35">
      <c r="P1484" s="8"/>
    </row>
    <row r="1485" spans="16:16" x14ac:dyDescent="0.35">
      <c r="P1485" s="8"/>
    </row>
    <row r="1486" spans="16:16" x14ac:dyDescent="0.35">
      <c r="P1486" s="8"/>
    </row>
    <row r="1487" spans="16:16" x14ac:dyDescent="0.35">
      <c r="P1487" s="8"/>
    </row>
    <row r="1488" spans="16:16" x14ac:dyDescent="0.35">
      <c r="P1488" s="8"/>
    </row>
    <row r="1489" spans="16:16" x14ac:dyDescent="0.35">
      <c r="P1489" s="8"/>
    </row>
    <row r="1490" spans="16:16" x14ac:dyDescent="0.35">
      <c r="P1490" s="8"/>
    </row>
    <row r="1491" spans="16:16" x14ac:dyDescent="0.35">
      <c r="P1491" s="8"/>
    </row>
    <row r="1492" spans="16:16" x14ac:dyDescent="0.35">
      <c r="P1492" s="8"/>
    </row>
    <row r="1493" spans="16:16" x14ac:dyDescent="0.35">
      <c r="P1493" s="8"/>
    </row>
    <row r="1494" spans="16:16" x14ac:dyDescent="0.35">
      <c r="P1494" s="8"/>
    </row>
    <row r="1495" spans="16:16" x14ac:dyDescent="0.35">
      <c r="P1495" s="8"/>
    </row>
    <row r="1496" spans="16:16" x14ac:dyDescent="0.35">
      <c r="P1496" s="8"/>
    </row>
    <row r="1497" spans="16:16" x14ac:dyDescent="0.35">
      <c r="P1497" s="8"/>
    </row>
    <row r="1498" spans="16:16" x14ac:dyDescent="0.35">
      <c r="P1498" s="8"/>
    </row>
    <row r="1499" spans="16:16" x14ac:dyDescent="0.35">
      <c r="P1499" s="8"/>
    </row>
    <row r="1500" spans="16:16" x14ac:dyDescent="0.35">
      <c r="P1500" s="8"/>
    </row>
    <row r="1501" spans="16:16" x14ac:dyDescent="0.35">
      <c r="P1501" s="8"/>
    </row>
    <row r="1502" spans="16:16" x14ac:dyDescent="0.35">
      <c r="P1502" s="8"/>
    </row>
    <row r="1503" spans="16:16" x14ac:dyDescent="0.35">
      <c r="P1503" s="8"/>
    </row>
    <row r="1504" spans="16:16" x14ac:dyDescent="0.35">
      <c r="P1504" s="8"/>
    </row>
    <row r="1505" spans="16:16" x14ac:dyDescent="0.35">
      <c r="P1505" s="8"/>
    </row>
    <row r="1506" spans="16:16" x14ac:dyDescent="0.35">
      <c r="P1506" s="8"/>
    </row>
    <row r="1507" spans="16:16" x14ac:dyDescent="0.35">
      <c r="P1507" s="8"/>
    </row>
    <row r="1508" spans="16:16" x14ac:dyDescent="0.35">
      <c r="P1508" s="8"/>
    </row>
    <row r="1509" spans="16:16" x14ac:dyDescent="0.35">
      <c r="P1509" s="8"/>
    </row>
    <row r="1510" spans="16:16" x14ac:dyDescent="0.35">
      <c r="P1510" s="8"/>
    </row>
    <row r="1511" spans="16:16" x14ac:dyDescent="0.35">
      <c r="P1511" s="8"/>
    </row>
    <row r="1512" spans="16:16" x14ac:dyDescent="0.35">
      <c r="P1512" s="8"/>
    </row>
    <row r="1513" spans="16:16" x14ac:dyDescent="0.35">
      <c r="P1513" s="8"/>
    </row>
    <row r="1514" spans="16:16" x14ac:dyDescent="0.35">
      <c r="P1514" s="8"/>
    </row>
    <row r="1515" spans="16:16" x14ac:dyDescent="0.35">
      <c r="P1515" s="8"/>
    </row>
    <row r="1516" spans="16:16" x14ac:dyDescent="0.35">
      <c r="P1516" s="8"/>
    </row>
    <row r="1517" spans="16:16" x14ac:dyDescent="0.35">
      <c r="P1517" s="8"/>
    </row>
    <row r="1518" spans="16:16" x14ac:dyDescent="0.35">
      <c r="P1518" s="8"/>
    </row>
    <row r="1519" spans="16:16" x14ac:dyDescent="0.35">
      <c r="P1519" s="8"/>
    </row>
    <row r="1520" spans="16:16" x14ac:dyDescent="0.35">
      <c r="P1520" s="8"/>
    </row>
    <row r="1521" spans="16:16" x14ac:dyDescent="0.35">
      <c r="P1521" s="8"/>
    </row>
    <row r="1522" spans="16:16" x14ac:dyDescent="0.35">
      <c r="P1522" s="8"/>
    </row>
    <row r="1523" spans="16:16" x14ac:dyDescent="0.35">
      <c r="P1523" s="8"/>
    </row>
    <row r="1524" spans="16:16" x14ac:dyDescent="0.35">
      <c r="P1524" s="8"/>
    </row>
    <row r="1525" spans="16:16" x14ac:dyDescent="0.35">
      <c r="P1525" s="8"/>
    </row>
    <row r="1526" spans="16:16" x14ac:dyDescent="0.35">
      <c r="P1526" s="8"/>
    </row>
    <row r="1527" spans="16:16" x14ac:dyDescent="0.35">
      <c r="P1527" s="8"/>
    </row>
    <row r="1528" spans="16:16" x14ac:dyDescent="0.35">
      <c r="P1528" s="8"/>
    </row>
    <row r="1529" spans="16:16" x14ac:dyDescent="0.35">
      <c r="P1529" s="8"/>
    </row>
    <row r="1530" spans="16:16" x14ac:dyDescent="0.35">
      <c r="P1530" s="8"/>
    </row>
    <row r="1531" spans="16:16" x14ac:dyDescent="0.35">
      <c r="P1531" s="8"/>
    </row>
    <row r="1532" spans="16:16" x14ac:dyDescent="0.35">
      <c r="P1532" s="8"/>
    </row>
    <row r="1533" spans="16:16" x14ac:dyDescent="0.35">
      <c r="P1533" s="8"/>
    </row>
    <row r="1534" spans="16:16" x14ac:dyDescent="0.35">
      <c r="P1534" s="8"/>
    </row>
    <row r="1535" spans="16:16" x14ac:dyDescent="0.35">
      <c r="P1535" s="8"/>
    </row>
    <row r="1536" spans="16:16" x14ac:dyDescent="0.35">
      <c r="P1536" s="8"/>
    </row>
    <row r="1537" spans="16:16" x14ac:dyDescent="0.35">
      <c r="P1537" s="8"/>
    </row>
    <row r="1538" spans="16:16" x14ac:dyDescent="0.35">
      <c r="P1538" s="8"/>
    </row>
    <row r="1539" spans="16:16" x14ac:dyDescent="0.35">
      <c r="P1539" s="8"/>
    </row>
    <row r="1540" spans="16:16" x14ac:dyDescent="0.35">
      <c r="P1540" s="8"/>
    </row>
    <row r="1541" spans="16:16" x14ac:dyDescent="0.35">
      <c r="P1541" s="8"/>
    </row>
    <row r="1542" spans="16:16" x14ac:dyDescent="0.35">
      <c r="P1542" s="8"/>
    </row>
    <row r="1543" spans="16:16" x14ac:dyDescent="0.35">
      <c r="P1543" s="8"/>
    </row>
    <row r="1544" spans="16:16" x14ac:dyDescent="0.35">
      <c r="P1544" s="8"/>
    </row>
    <row r="1545" spans="16:16" x14ac:dyDescent="0.35">
      <c r="P1545" s="8"/>
    </row>
    <row r="1546" spans="16:16" x14ac:dyDescent="0.35">
      <c r="P1546" s="8"/>
    </row>
    <row r="1547" spans="16:16" x14ac:dyDescent="0.35">
      <c r="P1547" s="8"/>
    </row>
    <row r="1548" spans="16:16" x14ac:dyDescent="0.35">
      <c r="P1548" s="8"/>
    </row>
    <row r="1549" spans="16:16" x14ac:dyDescent="0.35">
      <c r="P1549" s="8"/>
    </row>
    <row r="1550" spans="16:16" x14ac:dyDescent="0.35">
      <c r="P1550" s="8"/>
    </row>
    <row r="1551" spans="16:16" x14ac:dyDescent="0.35">
      <c r="P1551" s="8"/>
    </row>
    <row r="1552" spans="16:16" x14ac:dyDescent="0.35">
      <c r="P1552" s="8"/>
    </row>
    <row r="1553" spans="16:16" x14ac:dyDescent="0.35">
      <c r="P1553" s="8"/>
    </row>
    <row r="1554" spans="16:16" x14ac:dyDescent="0.35">
      <c r="P1554" s="8"/>
    </row>
    <row r="1555" spans="16:16" x14ac:dyDescent="0.35">
      <c r="P1555" s="8"/>
    </row>
    <row r="1556" spans="16:16" x14ac:dyDescent="0.35">
      <c r="P1556" s="8"/>
    </row>
    <row r="1557" spans="16:16" x14ac:dyDescent="0.35">
      <c r="P1557" s="8"/>
    </row>
    <row r="1558" spans="16:16" x14ac:dyDescent="0.35">
      <c r="P1558" s="8"/>
    </row>
    <row r="1559" spans="16:16" x14ac:dyDescent="0.35">
      <c r="P1559" s="8"/>
    </row>
    <row r="1560" spans="16:16" x14ac:dyDescent="0.35">
      <c r="P1560" s="8"/>
    </row>
    <row r="1561" spans="16:16" x14ac:dyDescent="0.35">
      <c r="P1561" s="8"/>
    </row>
    <row r="1562" spans="16:16" x14ac:dyDescent="0.35">
      <c r="P1562" s="8"/>
    </row>
    <row r="1563" spans="16:16" x14ac:dyDescent="0.35">
      <c r="P1563" s="8"/>
    </row>
    <row r="1564" spans="16:16" x14ac:dyDescent="0.35">
      <c r="P1564" s="8"/>
    </row>
    <row r="1565" spans="16:16" x14ac:dyDescent="0.35">
      <c r="P1565" s="8"/>
    </row>
    <row r="1566" spans="16:16" x14ac:dyDescent="0.35">
      <c r="P1566" s="8"/>
    </row>
    <row r="1567" spans="16:16" x14ac:dyDescent="0.35">
      <c r="P1567" s="8"/>
    </row>
    <row r="1568" spans="16:16" x14ac:dyDescent="0.35">
      <c r="P1568" s="8"/>
    </row>
    <row r="1569" spans="16:16" x14ac:dyDescent="0.35">
      <c r="P1569" s="8"/>
    </row>
    <row r="1570" spans="16:16" x14ac:dyDescent="0.35">
      <c r="P1570" s="8"/>
    </row>
    <row r="1571" spans="16:16" x14ac:dyDescent="0.35">
      <c r="P1571" s="8"/>
    </row>
    <row r="1572" spans="16:16" x14ac:dyDescent="0.35">
      <c r="P1572" s="8"/>
    </row>
    <row r="1573" spans="16:16" x14ac:dyDescent="0.35">
      <c r="P1573" s="8"/>
    </row>
    <row r="1574" spans="16:16" x14ac:dyDescent="0.35">
      <c r="P1574" s="8"/>
    </row>
    <row r="1575" spans="16:16" x14ac:dyDescent="0.35">
      <c r="P1575" s="8"/>
    </row>
    <row r="1576" spans="16:16" x14ac:dyDescent="0.35">
      <c r="P1576" s="8"/>
    </row>
    <row r="1577" spans="16:16" x14ac:dyDescent="0.35">
      <c r="P1577" s="8"/>
    </row>
    <row r="1578" spans="16:16" x14ac:dyDescent="0.35">
      <c r="P1578" s="8"/>
    </row>
    <row r="1579" spans="16:16" x14ac:dyDescent="0.35">
      <c r="P1579" s="8"/>
    </row>
    <row r="1580" spans="16:16" x14ac:dyDescent="0.35">
      <c r="P1580" s="8"/>
    </row>
    <row r="1581" spans="16:16" x14ac:dyDescent="0.35">
      <c r="P1581" s="8"/>
    </row>
    <row r="1582" spans="16:16" x14ac:dyDescent="0.35">
      <c r="P1582" s="8"/>
    </row>
    <row r="1583" spans="16:16" x14ac:dyDescent="0.35">
      <c r="P1583" s="8"/>
    </row>
    <row r="1584" spans="16:16" x14ac:dyDescent="0.35">
      <c r="P1584" s="8"/>
    </row>
    <row r="1585" spans="16:16" x14ac:dyDescent="0.35">
      <c r="P1585" s="8"/>
    </row>
    <row r="1586" spans="16:16" x14ac:dyDescent="0.35">
      <c r="P1586" s="8"/>
    </row>
    <row r="1587" spans="16:16" x14ac:dyDescent="0.35">
      <c r="P1587" s="8"/>
    </row>
    <row r="1588" spans="16:16" x14ac:dyDescent="0.35">
      <c r="P1588" s="8"/>
    </row>
    <row r="1589" spans="16:16" x14ac:dyDescent="0.35">
      <c r="P1589" s="8"/>
    </row>
    <row r="1590" spans="16:16" x14ac:dyDescent="0.35">
      <c r="P1590" s="8"/>
    </row>
    <row r="1591" spans="16:16" x14ac:dyDescent="0.35">
      <c r="P1591" s="8"/>
    </row>
    <row r="1592" spans="16:16" x14ac:dyDescent="0.35">
      <c r="P1592" s="8"/>
    </row>
    <row r="1593" spans="16:16" x14ac:dyDescent="0.35">
      <c r="P1593" s="8"/>
    </row>
    <row r="1594" spans="16:16" x14ac:dyDescent="0.35">
      <c r="P1594" s="8"/>
    </row>
    <row r="1595" spans="16:16" x14ac:dyDescent="0.35">
      <c r="P1595" s="8"/>
    </row>
    <row r="1596" spans="16:16" x14ac:dyDescent="0.35">
      <c r="P1596" s="8"/>
    </row>
    <row r="1597" spans="16:16" x14ac:dyDescent="0.35">
      <c r="P1597" s="8"/>
    </row>
    <row r="1598" spans="16:16" x14ac:dyDescent="0.35">
      <c r="P1598" s="8"/>
    </row>
    <row r="1599" spans="16:16" x14ac:dyDescent="0.35">
      <c r="P1599" s="8"/>
    </row>
    <row r="1600" spans="16:16" x14ac:dyDescent="0.35">
      <c r="P1600" s="8"/>
    </row>
    <row r="1601" spans="16:16" x14ac:dyDescent="0.35">
      <c r="P1601" s="8"/>
    </row>
    <row r="1602" spans="16:16" x14ac:dyDescent="0.35">
      <c r="P1602" s="8"/>
    </row>
    <row r="1603" spans="16:16" x14ac:dyDescent="0.35">
      <c r="P1603" s="8"/>
    </row>
    <row r="1604" spans="16:16" x14ac:dyDescent="0.35">
      <c r="P1604" s="8"/>
    </row>
    <row r="1605" spans="16:16" x14ac:dyDescent="0.35">
      <c r="P1605" s="8"/>
    </row>
    <row r="1606" spans="16:16" x14ac:dyDescent="0.35">
      <c r="P1606" s="8"/>
    </row>
    <row r="1607" spans="16:16" x14ac:dyDescent="0.35">
      <c r="P1607" s="8"/>
    </row>
    <row r="1608" spans="16:16" x14ac:dyDescent="0.35">
      <c r="P1608" s="8"/>
    </row>
    <row r="1609" spans="16:16" x14ac:dyDescent="0.35">
      <c r="P1609" s="8"/>
    </row>
    <row r="1610" spans="16:16" x14ac:dyDescent="0.35">
      <c r="P1610" s="8"/>
    </row>
    <row r="1611" spans="16:16" x14ac:dyDescent="0.35">
      <c r="P1611" s="8"/>
    </row>
    <row r="1612" spans="16:16" x14ac:dyDescent="0.35">
      <c r="P1612" s="8"/>
    </row>
    <row r="1613" spans="16:16" x14ac:dyDescent="0.35">
      <c r="P1613" s="8"/>
    </row>
    <row r="1614" spans="16:16" x14ac:dyDescent="0.35">
      <c r="P1614" s="8"/>
    </row>
    <row r="1615" spans="16:16" x14ac:dyDescent="0.35">
      <c r="P1615" s="8"/>
    </row>
    <row r="1616" spans="16:16" x14ac:dyDescent="0.35">
      <c r="P1616" s="8"/>
    </row>
    <row r="1617" spans="16:16" x14ac:dyDescent="0.35">
      <c r="P1617" s="8"/>
    </row>
    <row r="1618" spans="16:16" x14ac:dyDescent="0.35">
      <c r="P1618" s="8"/>
    </row>
    <row r="1619" spans="16:16" x14ac:dyDescent="0.35">
      <c r="P1619" s="8"/>
    </row>
    <row r="1620" spans="16:16" x14ac:dyDescent="0.35">
      <c r="P1620" s="8"/>
    </row>
    <row r="1621" spans="16:16" x14ac:dyDescent="0.35">
      <c r="P1621" s="8"/>
    </row>
    <row r="1622" spans="16:16" x14ac:dyDescent="0.35">
      <c r="P1622" s="8"/>
    </row>
    <row r="1623" spans="16:16" x14ac:dyDescent="0.35">
      <c r="P1623" s="8"/>
    </row>
    <row r="1624" spans="16:16" x14ac:dyDescent="0.35">
      <c r="P1624" s="8"/>
    </row>
    <row r="1625" spans="16:16" x14ac:dyDescent="0.35">
      <c r="P1625" s="8"/>
    </row>
    <row r="1626" spans="16:16" x14ac:dyDescent="0.35">
      <c r="P1626" s="8"/>
    </row>
    <row r="1627" spans="16:16" x14ac:dyDescent="0.35">
      <c r="P1627" s="8"/>
    </row>
    <row r="1628" spans="16:16" x14ac:dyDescent="0.35">
      <c r="P1628" s="8"/>
    </row>
    <row r="1629" spans="16:16" x14ac:dyDescent="0.35">
      <c r="P1629" s="8"/>
    </row>
    <row r="1630" spans="16:16" x14ac:dyDescent="0.35">
      <c r="P1630" s="8"/>
    </row>
    <row r="1631" spans="16:16" x14ac:dyDescent="0.35">
      <c r="P1631" s="8"/>
    </row>
    <row r="1632" spans="16:16" x14ac:dyDescent="0.35">
      <c r="P1632" s="8"/>
    </row>
    <row r="1633" spans="16:16" x14ac:dyDescent="0.35">
      <c r="P1633" s="8"/>
    </row>
    <row r="1634" spans="16:16" x14ac:dyDescent="0.35">
      <c r="P1634" s="8"/>
    </row>
    <row r="1635" spans="16:16" x14ac:dyDescent="0.35">
      <c r="P1635" s="8"/>
    </row>
    <row r="1636" spans="16:16" x14ac:dyDescent="0.35">
      <c r="P1636" s="8"/>
    </row>
    <row r="1637" spans="16:16" x14ac:dyDescent="0.35">
      <c r="P1637" s="8"/>
    </row>
    <row r="1638" spans="16:16" x14ac:dyDescent="0.35">
      <c r="P1638" s="8"/>
    </row>
    <row r="1639" spans="16:16" x14ac:dyDescent="0.35">
      <c r="P1639" s="8"/>
    </row>
    <row r="1640" spans="16:16" x14ac:dyDescent="0.35">
      <c r="P1640" s="8"/>
    </row>
    <row r="1641" spans="16:16" x14ac:dyDescent="0.35">
      <c r="P1641" s="8"/>
    </row>
    <row r="1642" spans="16:16" x14ac:dyDescent="0.35">
      <c r="P1642" s="8"/>
    </row>
    <row r="1643" spans="16:16" x14ac:dyDescent="0.35">
      <c r="P1643" s="8"/>
    </row>
    <row r="1644" spans="16:16" x14ac:dyDescent="0.35">
      <c r="P1644" s="8"/>
    </row>
    <row r="1645" spans="16:16" x14ac:dyDescent="0.35">
      <c r="P1645" s="8"/>
    </row>
    <row r="1646" spans="16:16" x14ac:dyDescent="0.35">
      <c r="P1646" s="8"/>
    </row>
    <row r="1647" spans="16:16" x14ac:dyDescent="0.35">
      <c r="P1647" s="8"/>
    </row>
    <row r="1648" spans="16:16" x14ac:dyDescent="0.35">
      <c r="P1648" s="8"/>
    </row>
    <row r="1649" spans="16:16" x14ac:dyDescent="0.35">
      <c r="P1649" s="8"/>
    </row>
    <row r="1650" spans="16:16" x14ac:dyDescent="0.35">
      <c r="P1650" s="8"/>
    </row>
    <row r="1651" spans="16:16" x14ac:dyDescent="0.35">
      <c r="P1651" s="8"/>
    </row>
    <row r="1652" spans="16:16" x14ac:dyDescent="0.35">
      <c r="P1652" s="8"/>
    </row>
    <row r="1653" spans="16:16" x14ac:dyDescent="0.35">
      <c r="P1653" s="8"/>
    </row>
    <row r="1654" spans="16:16" x14ac:dyDescent="0.35">
      <c r="P1654" s="8"/>
    </row>
    <row r="1655" spans="16:16" x14ac:dyDescent="0.35">
      <c r="P1655" s="8"/>
    </row>
    <row r="1656" spans="16:16" x14ac:dyDescent="0.35">
      <c r="P1656" s="8"/>
    </row>
    <row r="1657" spans="16:16" x14ac:dyDescent="0.35">
      <c r="P1657" s="8"/>
    </row>
    <row r="1658" spans="16:16" x14ac:dyDescent="0.35">
      <c r="P1658" s="8"/>
    </row>
    <row r="1659" spans="16:16" x14ac:dyDescent="0.35">
      <c r="P1659" s="8"/>
    </row>
    <row r="1660" spans="16:16" x14ac:dyDescent="0.35">
      <c r="P1660" s="8"/>
    </row>
    <row r="1661" spans="16:16" x14ac:dyDescent="0.35">
      <c r="P1661" s="8"/>
    </row>
    <row r="1662" spans="16:16" x14ac:dyDescent="0.35">
      <c r="P1662" s="8"/>
    </row>
    <row r="1663" spans="16:16" x14ac:dyDescent="0.35">
      <c r="P1663" s="8"/>
    </row>
    <row r="1664" spans="16:16" x14ac:dyDescent="0.35">
      <c r="P1664" s="8"/>
    </row>
    <row r="1665" spans="16:16" x14ac:dyDescent="0.35">
      <c r="P1665" s="8"/>
    </row>
    <row r="1666" spans="16:16" x14ac:dyDescent="0.35">
      <c r="P1666" s="8"/>
    </row>
    <row r="1667" spans="16:16" x14ac:dyDescent="0.35">
      <c r="P1667" s="8"/>
    </row>
    <row r="1668" spans="16:16" x14ac:dyDescent="0.35">
      <c r="P1668" s="8"/>
    </row>
    <row r="1669" spans="16:16" x14ac:dyDescent="0.35">
      <c r="P1669" s="8"/>
    </row>
    <row r="1670" spans="16:16" x14ac:dyDescent="0.35">
      <c r="P1670" s="8"/>
    </row>
    <row r="1671" spans="16:16" x14ac:dyDescent="0.35">
      <c r="P1671" s="8"/>
    </row>
    <row r="1672" spans="16:16" x14ac:dyDescent="0.35">
      <c r="P1672" s="8"/>
    </row>
    <row r="1673" spans="16:16" x14ac:dyDescent="0.35">
      <c r="P1673" s="8"/>
    </row>
    <row r="1674" spans="16:16" x14ac:dyDescent="0.35">
      <c r="P1674" s="8"/>
    </row>
    <row r="1675" spans="16:16" x14ac:dyDescent="0.35">
      <c r="P1675" s="8"/>
    </row>
    <row r="1676" spans="16:16" x14ac:dyDescent="0.35">
      <c r="P1676" s="8"/>
    </row>
    <row r="1677" spans="16:16" x14ac:dyDescent="0.35">
      <c r="P1677" s="8"/>
    </row>
    <row r="1678" spans="16:16" x14ac:dyDescent="0.35">
      <c r="P1678" s="8"/>
    </row>
    <row r="1679" spans="16:16" x14ac:dyDescent="0.35">
      <c r="P1679" s="8"/>
    </row>
    <row r="1680" spans="16:16" x14ac:dyDescent="0.35">
      <c r="P1680" s="8"/>
    </row>
    <row r="1681" spans="16:16" x14ac:dyDescent="0.35">
      <c r="P1681" s="8"/>
    </row>
    <row r="1682" spans="16:16" x14ac:dyDescent="0.35">
      <c r="P1682" s="8"/>
    </row>
    <row r="1683" spans="16:16" x14ac:dyDescent="0.35">
      <c r="P1683" s="8"/>
    </row>
    <row r="1684" spans="16:16" x14ac:dyDescent="0.35">
      <c r="P1684" s="8"/>
    </row>
    <row r="1685" spans="16:16" x14ac:dyDescent="0.35">
      <c r="P1685" s="8"/>
    </row>
    <row r="1686" spans="16:16" x14ac:dyDescent="0.35">
      <c r="P1686" s="8"/>
    </row>
    <row r="1687" spans="16:16" x14ac:dyDescent="0.35">
      <c r="P1687" s="8"/>
    </row>
    <row r="1688" spans="16:16" x14ac:dyDescent="0.35">
      <c r="P1688" s="8"/>
    </row>
    <row r="1689" spans="16:16" x14ac:dyDescent="0.35">
      <c r="P1689" s="8"/>
    </row>
    <row r="1690" spans="16:16" x14ac:dyDescent="0.35">
      <c r="P1690" s="8"/>
    </row>
    <row r="1691" spans="16:16" x14ac:dyDescent="0.35">
      <c r="P1691" s="8"/>
    </row>
    <row r="1692" spans="16:16" x14ac:dyDescent="0.35">
      <c r="P1692" s="8"/>
    </row>
    <row r="1693" spans="16:16" x14ac:dyDescent="0.35">
      <c r="P1693" s="8"/>
    </row>
    <row r="1694" spans="16:16" x14ac:dyDescent="0.35">
      <c r="P1694" s="8"/>
    </row>
    <row r="1695" spans="16:16" x14ac:dyDescent="0.35">
      <c r="P1695" s="8"/>
    </row>
    <row r="1696" spans="16:16" x14ac:dyDescent="0.35">
      <c r="P1696" s="8"/>
    </row>
    <row r="1697" spans="16:16" x14ac:dyDescent="0.35">
      <c r="P1697" s="8"/>
    </row>
    <row r="1698" spans="16:16" x14ac:dyDescent="0.35">
      <c r="P1698" s="8"/>
    </row>
    <row r="1699" spans="16:16" x14ac:dyDescent="0.35">
      <c r="P1699" s="8"/>
    </row>
    <row r="1700" spans="16:16" x14ac:dyDescent="0.35">
      <c r="P1700" s="8"/>
    </row>
    <row r="1701" spans="16:16" x14ac:dyDescent="0.35">
      <c r="P1701" s="8"/>
    </row>
    <row r="1702" spans="16:16" x14ac:dyDescent="0.35">
      <c r="P1702" s="8"/>
    </row>
    <row r="1703" spans="16:16" x14ac:dyDescent="0.35">
      <c r="P1703" s="8"/>
    </row>
    <row r="1704" spans="16:16" x14ac:dyDescent="0.35">
      <c r="P1704" s="8"/>
    </row>
    <row r="1705" spans="16:16" x14ac:dyDescent="0.35">
      <c r="P1705" s="8"/>
    </row>
    <row r="1706" spans="16:16" x14ac:dyDescent="0.35">
      <c r="P1706" s="8"/>
    </row>
    <row r="1707" spans="16:16" x14ac:dyDescent="0.35">
      <c r="P1707" s="8"/>
    </row>
    <row r="1708" spans="16:16" x14ac:dyDescent="0.35">
      <c r="P1708" s="8"/>
    </row>
    <row r="1709" spans="16:16" x14ac:dyDescent="0.35">
      <c r="P1709" s="8"/>
    </row>
    <row r="1710" spans="16:16" x14ac:dyDescent="0.35">
      <c r="P1710" s="8"/>
    </row>
    <row r="1711" spans="16:16" x14ac:dyDescent="0.35">
      <c r="P1711" s="8"/>
    </row>
    <row r="1712" spans="16:16" x14ac:dyDescent="0.35">
      <c r="P1712" s="8"/>
    </row>
    <row r="1713" spans="16:16" x14ac:dyDescent="0.35">
      <c r="P1713" s="8"/>
    </row>
    <row r="1714" spans="16:16" x14ac:dyDescent="0.35">
      <c r="P1714" s="8"/>
    </row>
    <row r="1715" spans="16:16" x14ac:dyDescent="0.35">
      <c r="P1715" s="8"/>
    </row>
    <row r="1716" spans="16:16" x14ac:dyDescent="0.35">
      <c r="P1716" s="8"/>
    </row>
    <row r="1717" spans="16:16" x14ac:dyDescent="0.35">
      <c r="P1717" s="8"/>
    </row>
    <row r="1718" spans="16:16" x14ac:dyDescent="0.35">
      <c r="P1718" s="8"/>
    </row>
    <row r="1719" spans="16:16" x14ac:dyDescent="0.35">
      <c r="P1719" s="8"/>
    </row>
    <row r="1720" spans="16:16" x14ac:dyDescent="0.35">
      <c r="P1720" s="8"/>
    </row>
    <row r="1721" spans="16:16" x14ac:dyDescent="0.35">
      <c r="P1721" s="8"/>
    </row>
    <row r="1722" spans="16:16" x14ac:dyDescent="0.35">
      <c r="P1722" s="8"/>
    </row>
    <row r="1723" spans="16:16" x14ac:dyDescent="0.35">
      <c r="P1723" s="8"/>
    </row>
    <row r="1724" spans="16:16" x14ac:dyDescent="0.35">
      <c r="P1724" s="8"/>
    </row>
    <row r="1725" spans="16:16" x14ac:dyDescent="0.35">
      <c r="P1725" s="8"/>
    </row>
    <row r="1726" spans="16:16" x14ac:dyDescent="0.35">
      <c r="P1726" s="8"/>
    </row>
    <row r="1727" spans="16:16" x14ac:dyDescent="0.35">
      <c r="P1727" s="8"/>
    </row>
    <row r="1728" spans="16:16" x14ac:dyDescent="0.35">
      <c r="P1728" s="8"/>
    </row>
    <row r="1729" spans="16:16" x14ac:dyDescent="0.35">
      <c r="P1729" s="8"/>
    </row>
    <row r="1730" spans="16:16" x14ac:dyDescent="0.35">
      <c r="P1730" s="8"/>
    </row>
    <row r="1731" spans="16:16" x14ac:dyDescent="0.35">
      <c r="P1731" s="8"/>
    </row>
    <row r="1732" spans="16:16" x14ac:dyDescent="0.35">
      <c r="P1732" s="8"/>
    </row>
    <row r="1733" spans="16:16" x14ac:dyDescent="0.35">
      <c r="P1733" s="8"/>
    </row>
    <row r="1734" spans="16:16" x14ac:dyDescent="0.35">
      <c r="P1734" s="8"/>
    </row>
    <row r="1735" spans="16:16" x14ac:dyDescent="0.35">
      <c r="P1735" s="8"/>
    </row>
    <row r="1736" spans="16:16" x14ac:dyDescent="0.35">
      <c r="P1736" s="8"/>
    </row>
    <row r="1737" spans="16:16" x14ac:dyDescent="0.35">
      <c r="P1737" s="8"/>
    </row>
    <row r="1738" spans="16:16" x14ac:dyDescent="0.35">
      <c r="P1738" s="8"/>
    </row>
    <row r="1739" spans="16:16" x14ac:dyDescent="0.35">
      <c r="P1739" s="8"/>
    </row>
    <row r="1740" spans="16:16" x14ac:dyDescent="0.35">
      <c r="P1740" s="8"/>
    </row>
    <row r="1741" spans="16:16" x14ac:dyDescent="0.35">
      <c r="P1741" s="8"/>
    </row>
    <row r="1742" spans="16:16" x14ac:dyDescent="0.35">
      <c r="P1742" s="8"/>
    </row>
    <row r="1743" spans="16:16" x14ac:dyDescent="0.35">
      <c r="P1743" s="8"/>
    </row>
    <row r="1744" spans="16:16" x14ac:dyDescent="0.35">
      <c r="P1744" s="8"/>
    </row>
    <row r="1745" spans="16:16" x14ac:dyDescent="0.35">
      <c r="P1745" s="8"/>
    </row>
    <row r="1746" spans="16:16" x14ac:dyDescent="0.35">
      <c r="P1746" s="8"/>
    </row>
    <row r="1747" spans="16:16" x14ac:dyDescent="0.35">
      <c r="P1747" s="8"/>
    </row>
    <row r="1748" spans="16:16" x14ac:dyDescent="0.35">
      <c r="P1748" s="8"/>
    </row>
    <row r="1749" spans="16:16" x14ac:dyDescent="0.35">
      <c r="P1749" s="8"/>
    </row>
    <row r="1750" spans="16:16" x14ac:dyDescent="0.35">
      <c r="P1750" s="8"/>
    </row>
    <row r="1751" spans="16:16" x14ac:dyDescent="0.35">
      <c r="P1751" s="8"/>
    </row>
    <row r="1752" spans="16:16" x14ac:dyDescent="0.35">
      <c r="P1752" s="8"/>
    </row>
    <row r="1753" spans="16:16" x14ac:dyDescent="0.35">
      <c r="P1753" s="8"/>
    </row>
    <row r="1754" spans="16:16" x14ac:dyDescent="0.35">
      <c r="P1754" s="8"/>
    </row>
    <row r="1755" spans="16:16" x14ac:dyDescent="0.35">
      <c r="P1755" s="8"/>
    </row>
    <row r="1756" spans="16:16" x14ac:dyDescent="0.35">
      <c r="P1756" s="8"/>
    </row>
    <row r="1757" spans="16:16" x14ac:dyDescent="0.35">
      <c r="P1757" s="8"/>
    </row>
    <row r="1758" spans="16:16" x14ac:dyDescent="0.35">
      <c r="P1758" s="8"/>
    </row>
    <row r="1759" spans="16:16" x14ac:dyDescent="0.35">
      <c r="P1759" s="8"/>
    </row>
    <row r="1760" spans="16:16" x14ac:dyDescent="0.35">
      <c r="P1760" s="8"/>
    </row>
    <row r="1761" spans="16:16" x14ac:dyDescent="0.35">
      <c r="P1761" s="8"/>
    </row>
    <row r="1762" spans="16:16" x14ac:dyDescent="0.35">
      <c r="P1762" s="8"/>
    </row>
    <row r="1763" spans="16:16" x14ac:dyDescent="0.35">
      <c r="P1763" s="8"/>
    </row>
    <row r="1764" spans="16:16" x14ac:dyDescent="0.35">
      <c r="P1764" s="8"/>
    </row>
    <row r="1765" spans="16:16" x14ac:dyDescent="0.35">
      <c r="P1765" s="8"/>
    </row>
    <row r="1766" spans="16:16" x14ac:dyDescent="0.35">
      <c r="P1766" s="8"/>
    </row>
    <row r="1767" spans="16:16" x14ac:dyDescent="0.35">
      <c r="P1767" s="8"/>
    </row>
    <row r="1768" spans="16:16" x14ac:dyDescent="0.35">
      <c r="P1768" s="8"/>
    </row>
    <row r="1769" spans="16:16" x14ac:dyDescent="0.35">
      <c r="P1769" s="8"/>
    </row>
    <row r="1770" spans="16:16" x14ac:dyDescent="0.35">
      <c r="P1770" s="8"/>
    </row>
    <row r="1771" spans="16:16" x14ac:dyDescent="0.35">
      <c r="P1771" s="8"/>
    </row>
    <row r="1772" spans="16:16" x14ac:dyDescent="0.35">
      <c r="P1772" s="8"/>
    </row>
    <row r="1773" spans="16:16" x14ac:dyDescent="0.35">
      <c r="P1773" s="8"/>
    </row>
    <row r="1774" spans="16:16" x14ac:dyDescent="0.35">
      <c r="P1774" s="8"/>
    </row>
    <row r="1775" spans="16:16" x14ac:dyDescent="0.35">
      <c r="P1775" s="8"/>
    </row>
    <row r="1776" spans="16:16" x14ac:dyDescent="0.35">
      <c r="P1776" s="8"/>
    </row>
    <row r="1777" spans="16:16" x14ac:dyDescent="0.35">
      <c r="P1777" s="8"/>
    </row>
    <row r="1778" spans="16:16" x14ac:dyDescent="0.35">
      <c r="P1778" s="8"/>
    </row>
    <row r="1779" spans="16:16" x14ac:dyDescent="0.35">
      <c r="P1779" s="8"/>
    </row>
    <row r="1780" spans="16:16" x14ac:dyDescent="0.35">
      <c r="P1780" s="8"/>
    </row>
    <row r="1781" spans="16:16" x14ac:dyDescent="0.35">
      <c r="P1781" s="8"/>
    </row>
    <row r="1782" spans="16:16" x14ac:dyDescent="0.35">
      <c r="P1782" s="8"/>
    </row>
    <row r="1783" spans="16:16" x14ac:dyDescent="0.35">
      <c r="P1783" s="8"/>
    </row>
    <row r="1784" spans="16:16" x14ac:dyDescent="0.35">
      <c r="P1784" s="8"/>
    </row>
    <row r="1785" spans="16:16" x14ac:dyDescent="0.35">
      <c r="P1785" s="8"/>
    </row>
    <row r="1786" spans="16:16" x14ac:dyDescent="0.35">
      <c r="P1786" s="8"/>
    </row>
    <row r="1787" spans="16:16" x14ac:dyDescent="0.35">
      <c r="P1787" s="8"/>
    </row>
    <row r="1788" spans="16:16" x14ac:dyDescent="0.35">
      <c r="P1788" s="8"/>
    </row>
    <row r="1789" spans="16:16" x14ac:dyDescent="0.35">
      <c r="P1789" s="8"/>
    </row>
    <row r="1790" spans="16:16" x14ac:dyDescent="0.35">
      <c r="P1790" s="8"/>
    </row>
    <row r="1791" spans="16:16" x14ac:dyDescent="0.35">
      <c r="P1791" s="8"/>
    </row>
    <row r="1792" spans="16:16" x14ac:dyDescent="0.35">
      <c r="P1792" s="8"/>
    </row>
    <row r="1793" spans="16:16" x14ac:dyDescent="0.35">
      <c r="P1793" s="8"/>
    </row>
    <row r="1794" spans="16:16" x14ac:dyDescent="0.35">
      <c r="P1794" s="8"/>
    </row>
    <row r="1795" spans="16:16" x14ac:dyDescent="0.35">
      <c r="P1795" s="8"/>
    </row>
    <row r="1796" spans="16:16" x14ac:dyDescent="0.35">
      <c r="P1796" s="8"/>
    </row>
    <row r="1797" spans="16:16" x14ac:dyDescent="0.35">
      <c r="P1797" s="8"/>
    </row>
    <row r="1798" spans="16:16" x14ac:dyDescent="0.35">
      <c r="P1798" s="8"/>
    </row>
    <row r="1799" spans="16:16" x14ac:dyDescent="0.35">
      <c r="P1799" s="8"/>
    </row>
    <row r="1800" spans="16:16" x14ac:dyDescent="0.35">
      <c r="P1800" s="8"/>
    </row>
    <row r="1801" spans="16:16" x14ac:dyDescent="0.35">
      <c r="P1801" s="8"/>
    </row>
    <row r="1802" spans="16:16" x14ac:dyDescent="0.35">
      <c r="P1802" s="8"/>
    </row>
    <row r="1803" spans="16:16" x14ac:dyDescent="0.35">
      <c r="P1803" s="8"/>
    </row>
    <row r="1804" spans="16:16" x14ac:dyDescent="0.35">
      <c r="P1804" s="8"/>
    </row>
    <row r="1805" spans="16:16" x14ac:dyDescent="0.35">
      <c r="P1805" s="8"/>
    </row>
    <row r="1806" spans="16:16" x14ac:dyDescent="0.35">
      <c r="P1806" s="8"/>
    </row>
    <row r="1807" spans="16:16" x14ac:dyDescent="0.35">
      <c r="P1807" s="8"/>
    </row>
    <row r="1808" spans="16:16" x14ac:dyDescent="0.35">
      <c r="P1808" s="8"/>
    </row>
    <row r="1809" spans="16:16" x14ac:dyDescent="0.35">
      <c r="P1809" s="8"/>
    </row>
    <row r="1810" spans="16:16" x14ac:dyDescent="0.35">
      <c r="P1810" s="8"/>
    </row>
    <row r="1811" spans="16:16" x14ac:dyDescent="0.35">
      <c r="P1811" s="8"/>
    </row>
    <row r="1812" spans="16:16" x14ac:dyDescent="0.35">
      <c r="P1812" s="8"/>
    </row>
    <row r="1813" spans="16:16" x14ac:dyDescent="0.35">
      <c r="P1813" s="8"/>
    </row>
    <row r="1814" spans="16:16" x14ac:dyDescent="0.35">
      <c r="P1814" s="8"/>
    </row>
    <row r="1815" spans="16:16" x14ac:dyDescent="0.35">
      <c r="P1815" s="8"/>
    </row>
    <row r="1816" spans="16:16" x14ac:dyDescent="0.35">
      <c r="P1816" s="8"/>
    </row>
    <row r="1817" spans="16:16" x14ac:dyDescent="0.35">
      <c r="P1817" s="8"/>
    </row>
    <row r="1818" spans="16:16" x14ac:dyDescent="0.35">
      <c r="P1818" s="8"/>
    </row>
    <row r="1819" spans="16:16" x14ac:dyDescent="0.35">
      <c r="P1819" s="8"/>
    </row>
    <row r="1820" spans="16:16" x14ac:dyDescent="0.35">
      <c r="P1820" s="8"/>
    </row>
    <row r="1821" spans="16:16" x14ac:dyDescent="0.35">
      <c r="P1821" s="8"/>
    </row>
    <row r="1822" spans="16:16" x14ac:dyDescent="0.35">
      <c r="P1822" s="8"/>
    </row>
    <row r="1823" spans="16:16" x14ac:dyDescent="0.35">
      <c r="P1823" s="8"/>
    </row>
    <row r="1824" spans="16:16" x14ac:dyDescent="0.35">
      <c r="P1824" s="8"/>
    </row>
    <row r="1825" spans="16:16" x14ac:dyDescent="0.35">
      <c r="P1825" s="8"/>
    </row>
    <row r="1826" spans="16:16" x14ac:dyDescent="0.35">
      <c r="P1826" s="8"/>
    </row>
    <row r="1827" spans="16:16" x14ac:dyDescent="0.35">
      <c r="P1827" s="8"/>
    </row>
    <row r="1828" spans="16:16" x14ac:dyDescent="0.35">
      <c r="P1828" s="8"/>
    </row>
    <row r="1829" spans="16:16" x14ac:dyDescent="0.35">
      <c r="P1829" s="8"/>
    </row>
    <row r="1830" spans="16:16" x14ac:dyDescent="0.35">
      <c r="P1830" s="8"/>
    </row>
    <row r="1831" spans="16:16" x14ac:dyDescent="0.35">
      <c r="P1831" s="8"/>
    </row>
    <row r="1832" spans="16:16" x14ac:dyDescent="0.35">
      <c r="P1832" s="8"/>
    </row>
    <row r="1833" spans="16:16" x14ac:dyDescent="0.35">
      <c r="P1833" s="8"/>
    </row>
    <row r="1834" spans="16:16" x14ac:dyDescent="0.35">
      <c r="P1834" s="8"/>
    </row>
    <row r="1835" spans="16:16" x14ac:dyDescent="0.35">
      <c r="P1835" s="8"/>
    </row>
    <row r="1836" spans="16:16" x14ac:dyDescent="0.35">
      <c r="P1836" s="8"/>
    </row>
    <row r="1837" spans="16:16" x14ac:dyDescent="0.35">
      <c r="P1837" s="8"/>
    </row>
    <row r="1838" spans="16:16" x14ac:dyDescent="0.35">
      <c r="P1838" s="8"/>
    </row>
    <row r="1839" spans="16:16" x14ac:dyDescent="0.35">
      <c r="P1839" s="8"/>
    </row>
    <row r="1840" spans="16:16" x14ac:dyDescent="0.35">
      <c r="P1840" s="8"/>
    </row>
    <row r="1841" spans="16:16" x14ac:dyDescent="0.35">
      <c r="P1841" s="8"/>
    </row>
    <row r="1842" spans="16:16" x14ac:dyDescent="0.35">
      <c r="P1842" s="8"/>
    </row>
    <row r="1843" spans="16:16" x14ac:dyDescent="0.35">
      <c r="P1843" s="8"/>
    </row>
    <row r="1844" spans="16:16" x14ac:dyDescent="0.35">
      <c r="P1844" s="8"/>
    </row>
    <row r="1845" spans="16:16" x14ac:dyDescent="0.35">
      <c r="P1845" s="8"/>
    </row>
    <row r="1846" spans="16:16" x14ac:dyDescent="0.35">
      <c r="P1846" s="8"/>
    </row>
    <row r="1847" spans="16:16" x14ac:dyDescent="0.35">
      <c r="P1847" s="8"/>
    </row>
    <row r="1848" spans="16:16" x14ac:dyDescent="0.35">
      <c r="P1848" s="8"/>
    </row>
    <row r="1849" spans="16:16" x14ac:dyDescent="0.35">
      <c r="P1849" s="8"/>
    </row>
    <row r="1850" spans="16:16" x14ac:dyDescent="0.35">
      <c r="P1850" s="8"/>
    </row>
    <row r="1851" spans="16:16" x14ac:dyDescent="0.35">
      <c r="P1851" s="8"/>
    </row>
    <row r="1852" spans="16:16" x14ac:dyDescent="0.35">
      <c r="P1852" s="8"/>
    </row>
    <row r="1853" spans="16:16" x14ac:dyDescent="0.35">
      <c r="P1853" s="8"/>
    </row>
    <row r="1854" spans="16:16" x14ac:dyDescent="0.35">
      <c r="P1854" s="8"/>
    </row>
    <row r="1855" spans="16:16" x14ac:dyDescent="0.35">
      <c r="P1855" s="8"/>
    </row>
    <row r="1856" spans="16:16" x14ac:dyDescent="0.35">
      <c r="P1856" s="8"/>
    </row>
    <row r="1857" spans="16:16" x14ac:dyDescent="0.35">
      <c r="P1857" s="8"/>
    </row>
    <row r="1858" spans="16:16" x14ac:dyDescent="0.35">
      <c r="P1858" s="8"/>
    </row>
    <row r="1859" spans="16:16" x14ac:dyDescent="0.35">
      <c r="P1859" s="8"/>
    </row>
    <row r="1860" spans="16:16" x14ac:dyDescent="0.35">
      <c r="P1860" s="8"/>
    </row>
    <row r="1861" spans="16:16" x14ac:dyDescent="0.35">
      <c r="P1861" s="8"/>
    </row>
    <row r="1862" spans="16:16" x14ac:dyDescent="0.35">
      <c r="P1862" s="8"/>
    </row>
    <row r="1863" spans="16:16" x14ac:dyDescent="0.35">
      <c r="P1863" s="8"/>
    </row>
    <row r="1864" spans="16:16" x14ac:dyDescent="0.35">
      <c r="P1864" s="8"/>
    </row>
    <row r="1865" spans="16:16" x14ac:dyDescent="0.35">
      <c r="P1865" s="8"/>
    </row>
    <row r="1866" spans="16:16" x14ac:dyDescent="0.35">
      <c r="P1866" s="8"/>
    </row>
    <row r="1867" spans="16:16" x14ac:dyDescent="0.35">
      <c r="P1867" s="8"/>
    </row>
    <row r="1868" spans="16:16" x14ac:dyDescent="0.35">
      <c r="P1868" s="8"/>
    </row>
    <row r="1869" spans="16:16" x14ac:dyDescent="0.35">
      <c r="P1869" s="8"/>
    </row>
    <row r="1870" spans="16:16" x14ac:dyDescent="0.35">
      <c r="P1870" s="8"/>
    </row>
    <row r="1871" spans="16:16" x14ac:dyDescent="0.35">
      <c r="P1871" s="8"/>
    </row>
    <row r="1872" spans="16:16" x14ac:dyDescent="0.35">
      <c r="P1872" s="8"/>
    </row>
    <row r="1873" spans="16:16" x14ac:dyDescent="0.35">
      <c r="P1873" s="8"/>
    </row>
    <row r="1874" spans="16:16" x14ac:dyDescent="0.35">
      <c r="P1874" s="8"/>
    </row>
    <row r="1875" spans="16:16" x14ac:dyDescent="0.35">
      <c r="P1875" s="8"/>
    </row>
    <row r="1876" spans="16:16" x14ac:dyDescent="0.35">
      <c r="P1876" s="8"/>
    </row>
    <row r="1877" spans="16:16" x14ac:dyDescent="0.35">
      <c r="P1877" s="8"/>
    </row>
    <row r="1878" spans="16:16" x14ac:dyDescent="0.35">
      <c r="P1878" s="8"/>
    </row>
    <row r="1879" spans="16:16" x14ac:dyDescent="0.35">
      <c r="P1879" s="8"/>
    </row>
    <row r="1880" spans="16:16" x14ac:dyDescent="0.35">
      <c r="P1880" s="8"/>
    </row>
    <row r="1881" spans="16:16" x14ac:dyDescent="0.35">
      <c r="P1881" s="8"/>
    </row>
    <row r="1882" spans="16:16" x14ac:dyDescent="0.35">
      <c r="P1882" s="8"/>
    </row>
    <row r="1883" spans="16:16" x14ac:dyDescent="0.35">
      <c r="P1883" s="8"/>
    </row>
    <row r="1884" spans="16:16" x14ac:dyDescent="0.35">
      <c r="P1884" s="8"/>
    </row>
    <row r="1885" spans="16:16" x14ac:dyDescent="0.35">
      <c r="P1885" s="8"/>
    </row>
    <row r="1886" spans="16:16" x14ac:dyDescent="0.35">
      <c r="P1886" s="8"/>
    </row>
    <row r="1887" spans="16:16" x14ac:dyDescent="0.35">
      <c r="P1887" s="8"/>
    </row>
    <row r="1888" spans="16:16" x14ac:dyDescent="0.35">
      <c r="P1888" s="8"/>
    </row>
    <row r="1889" spans="16:16" x14ac:dyDescent="0.35">
      <c r="P1889" s="8"/>
    </row>
    <row r="1890" spans="16:16" x14ac:dyDescent="0.35">
      <c r="P1890" s="8"/>
    </row>
    <row r="1891" spans="16:16" x14ac:dyDescent="0.35">
      <c r="P1891" s="8"/>
    </row>
    <row r="1892" spans="16:16" x14ac:dyDescent="0.35">
      <c r="P1892" s="8"/>
    </row>
    <row r="1893" spans="16:16" x14ac:dyDescent="0.35">
      <c r="P1893" s="8"/>
    </row>
    <row r="1894" spans="16:16" x14ac:dyDescent="0.35">
      <c r="P1894" s="8"/>
    </row>
    <row r="1895" spans="16:16" x14ac:dyDescent="0.35">
      <c r="P1895" s="8"/>
    </row>
    <row r="1896" spans="16:16" x14ac:dyDescent="0.35">
      <c r="P1896" s="8"/>
    </row>
    <row r="1897" spans="16:16" x14ac:dyDescent="0.35">
      <c r="P1897" s="8"/>
    </row>
    <row r="1898" spans="16:16" x14ac:dyDescent="0.35">
      <c r="P1898" s="8"/>
    </row>
    <row r="1899" spans="16:16" x14ac:dyDescent="0.35">
      <c r="P1899" s="8"/>
    </row>
    <row r="1900" spans="16:16" x14ac:dyDescent="0.35">
      <c r="P1900" s="8"/>
    </row>
    <row r="1901" spans="16:16" x14ac:dyDescent="0.35">
      <c r="P1901" s="8"/>
    </row>
    <row r="1902" spans="16:16" x14ac:dyDescent="0.35">
      <c r="P1902" s="8"/>
    </row>
    <row r="1903" spans="16:16" x14ac:dyDescent="0.35">
      <c r="P1903" s="8"/>
    </row>
    <row r="1904" spans="16:16" x14ac:dyDescent="0.35">
      <c r="P1904" s="8"/>
    </row>
    <row r="1905" spans="16:16" x14ac:dyDescent="0.35">
      <c r="P1905" s="8"/>
    </row>
    <row r="1906" spans="16:16" x14ac:dyDescent="0.35">
      <c r="P1906" s="8"/>
    </row>
    <row r="1907" spans="16:16" x14ac:dyDescent="0.35">
      <c r="P1907" s="8"/>
    </row>
    <row r="1908" spans="16:16" x14ac:dyDescent="0.35">
      <c r="P1908" s="8"/>
    </row>
    <row r="1909" spans="16:16" x14ac:dyDescent="0.35">
      <c r="P1909" s="8"/>
    </row>
    <row r="1910" spans="16:16" x14ac:dyDescent="0.35">
      <c r="P1910" s="8"/>
    </row>
    <row r="1911" spans="16:16" x14ac:dyDescent="0.35">
      <c r="P1911" s="8"/>
    </row>
    <row r="1912" spans="16:16" x14ac:dyDescent="0.35">
      <c r="P1912" s="8"/>
    </row>
    <row r="1913" spans="16:16" x14ac:dyDescent="0.35">
      <c r="P1913" s="8"/>
    </row>
    <row r="1914" spans="16:16" x14ac:dyDescent="0.35">
      <c r="P1914" s="8"/>
    </row>
    <row r="1915" spans="16:16" x14ac:dyDescent="0.35">
      <c r="P1915" s="8"/>
    </row>
    <row r="1916" spans="16:16" x14ac:dyDescent="0.35">
      <c r="P1916" s="8"/>
    </row>
    <row r="1917" spans="16:16" x14ac:dyDescent="0.35">
      <c r="P1917" s="8"/>
    </row>
    <row r="1918" spans="16:16" x14ac:dyDescent="0.35">
      <c r="P1918" s="8"/>
    </row>
    <row r="1919" spans="16:16" x14ac:dyDescent="0.35">
      <c r="P1919" s="8"/>
    </row>
    <row r="1920" spans="16:16" x14ac:dyDescent="0.35">
      <c r="P1920" s="8"/>
    </row>
    <row r="1921" spans="16:16" x14ac:dyDescent="0.35">
      <c r="P1921" s="8"/>
    </row>
    <row r="1922" spans="16:16" x14ac:dyDescent="0.35">
      <c r="P1922" s="8"/>
    </row>
    <row r="1923" spans="16:16" x14ac:dyDescent="0.35">
      <c r="P1923" s="8"/>
    </row>
    <row r="1924" spans="16:16" x14ac:dyDescent="0.35">
      <c r="P1924" s="8"/>
    </row>
    <row r="1925" spans="16:16" x14ac:dyDescent="0.35">
      <c r="P1925" s="8"/>
    </row>
    <row r="1926" spans="16:16" x14ac:dyDescent="0.35">
      <c r="P1926" s="8"/>
    </row>
    <row r="1927" spans="16:16" x14ac:dyDescent="0.35">
      <c r="P1927" s="8"/>
    </row>
    <row r="1928" spans="16:16" x14ac:dyDescent="0.35">
      <c r="P1928" s="8"/>
    </row>
    <row r="1929" spans="16:16" x14ac:dyDescent="0.35">
      <c r="P1929" s="8"/>
    </row>
    <row r="1930" spans="16:16" x14ac:dyDescent="0.35">
      <c r="P1930" s="8"/>
    </row>
    <row r="1931" spans="16:16" x14ac:dyDescent="0.35">
      <c r="P1931" s="8"/>
    </row>
    <row r="1932" spans="16:16" x14ac:dyDescent="0.35">
      <c r="P1932" s="8"/>
    </row>
    <row r="1933" spans="16:16" x14ac:dyDescent="0.35">
      <c r="P1933" s="8"/>
    </row>
    <row r="1934" spans="16:16" x14ac:dyDescent="0.35">
      <c r="P1934" s="8"/>
    </row>
    <row r="1935" spans="16:16" x14ac:dyDescent="0.35">
      <c r="P1935" s="8"/>
    </row>
    <row r="1936" spans="16:16" x14ac:dyDescent="0.35">
      <c r="P1936" s="8"/>
    </row>
    <row r="1937" spans="16:16" x14ac:dyDescent="0.35">
      <c r="P1937" s="8"/>
    </row>
    <row r="1938" spans="16:16" x14ac:dyDescent="0.35">
      <c r="P1938" s="8"/>
    </row>
    <row r="1939" spans="16:16" x14ac:dyDescent="0.35">
      <c r="P1939" s="8"/>
    </row>
    <row r="1940" spans="16:16" x14ac:dyDescent="0.35">
      <c r="P1940" s="8"/>
    </row>
    <row r="1941" spans="16:16" x14ac:dyDescent="0.35">
      <c r="P1941" s="8"/>
    </row>
    <row r="1942" spans="16:16" x14ac:dyDescent="0.35">
      <c r="P1942" s="8"/>
    </row>
    <row r="1943" spans="16:16" x14ac:dyDescent="0.35">
      <c r="P1943" s="8"/>
    </row>
    <row r="1944" spans="16:16" x14ac:dyDescent="0.35">
      <c r="P1944" s="8"/>
    </row>
    <row r="1945" spans="16:16" x14ac:dyDescent="0.35">
      <c r="P1945" s="8"/>
    </row>
    <row r="1946" spans="16:16" x14ac:dyDescent="0.35">
      <c r="P1946" s="8"/>
    </row>
    <row r="1947" spans="16:16" x14ac:dyDescent="0.35">
      <c r="P1947" s="8"/>
    </row>
    <row r="1948" spans="16:16" x14ac:dyDescent="0.35">
      <c r="P1948" s="8"/>
    </row>
    <row r="1949" spans="16:16" x14ac:dyDescent="0.35">
      <c r="P1949" s="8"/>
    </row>
    <row r="1950" spans="16:16" x14ac:dyDescent="0.35">
      <c r="P1950" s="8"/>
    </row>
    <row r="1951" spans="16:16" x14ac:dyDescent="0.35">
      <c r="P1951" s="8"/>
    </row>
    <row r="1952" spans="16:16" x14ac:dyDescent="0.35">
      <c r="P1952" s="8"/>
    </row>
    <row r="1953" spans="16:16" x14ac:dyDescent="0.35">
      <c r="P1953" s="8"/>
    </row>
    <row r="1954" spans="16:16" x14ac:dyDescent="0.35">
      <c r="P1954" s="8"/>
    </row>
    <row r="1955" spans="16:16" x14ac:dyDescent="0.35">
      <c r="P1955" s="8"/>
    </row>
    <row r="1956" spans="16:16" x14ac:dyDescent="0.35">
      <c r="P1956" s="8"/>
    </row>
    <row r="1957" spans="16:16" x14ac:dyDescent="0.35">
      <c r="P1957" s="8"/>
    </row>
    <row r="1958" spans="16:16" x14ac:dyDescent="0.35">
      <c r="P1958" s="8"/>
    </row>
    <row r="1959" spans="16:16" x14ac:dyDescent="0.35">
      <c r="P1959" s="8"/>
    </row>
    <row r="1960" spans="16:16" x14ac:dyDescent="0.35">
      <c r="P1960" s="8"/>
    </row>
    <row r="1961" spans="16:16" x14ac:dyDescent="0.35">
      <c r="P1961" s="8"/>
    </row>
    <row r="1962" spans="16:16" x14ac:dyDescent="0.35">
      <c r="P1962" s="8"/>
    </row>
    <row r="1963" spans="16:16" x14ac:dyDescent="0.35">
      <c r="P1963" s="8"/>
    </row>
    <row r="1964" spans="16:16" x14ac:dyDescent="0.35">
      <c r="P1964" s="8"/>
    </row>
    <row r="1965" spans="16:16" x14ac:dyDescent="0.35">
      <c r="P1965" s="8"/>
    </row>
    <row r="1966" spans="16:16" x14ac:dyDescent="0.35">
      <c r="P1966" s="8"/>
    </row>
    <row r="1967" spans="16:16" x14ac:dyDescent="0.35">
      <c r="P1967" s="8"/>
    </row>
    <row r="1968" spans="16:16" x14ac:dyDescent="0.35">
      <c r="P1968" s="8"/>
    </row>
    <row r="1969" spans="16:16" x14ac:dyDescent="0.35">
      <c r="P1969" s="8"/>
    </row>
    <row r="1970" spans="16:16" x14ac:dyDescent="0.35">
      <c r="P1970" s="8"/>
    </row>
    <row r="1971" spans="16:16" x14ac:dyDescent="0.35">
      <c r="P1971" s="8"/>
    </row>
    <row r="1972" spans="16:16" x14ac:dyDescent="0.35">
      <c r="P1972" s="8"/>
    </row>
    <row r="1973" spans="16:16" x14ac:dyDescent="0.35">
      <c r="P1973" s="8"/>
    </row>
    <row r="1974" spans="16:16" x14ac:dyDescent="0.35">
      <c r="P1974" s="8"/>
    </row>
    <row r="1975" spans="16:16" x14ac:dyDescent="0.35">
      <c r="P1975" s="8"/>
    </row>
    <row r="1976" spans="16:16" x14ac:dyDescent="0.35">
      <c r="P1976" s="8"/>
    </row>
    <row r="1977" spans="16:16" x14ac:dyDescent="0.35">
      <c r="P1977" s="8"/>
    </row>
    <row r="1978" spans="16:16" x14ac:dyDescent="0.35">
      <c r="P1978" s="8"/>
    </row>
    <row r="1979" spans="16:16" x14ac:dyDescent="0.35">
      <c r="P1979" s="8"/>
    </row>
    <row r="1980" spans="16:16" x14ac:dyDescent="0.35">
      <c r="P1980" s="8"/>
    </row>
    <row r="1981" spans="16:16" x14ac:dyDescent="0.35">
      <c r="P1981" s="8"/>
    </row>
    <row r="1982" spans="16:16" x14ac:dyDescent="0.35">
      <c r="P1982" s="8"/>
    </row>
    <row r="1983" spans="16:16" x14ac:dyDescent="0.35">
      <c r="P1983" s="8"/>
    </row>
    <row r="1984" spans="16:16" x14ac:dyDescent="0.35">
      <c r="P1984" s="8"/>
    </row>
    <row r="1985" spans="16:16" x14ac:dyDescent="0.35">
      <c r="P1985" s="8"/>
    </row>
    <row r="1986" spans="16:16" x14ac:dyDescent="0.35">
      <c r="P1986" s="8"/>
    </row>
    <row r="1987" spans="16:16" x14ac:dyDescent="0.35">
      <c r="P1987" s="8"/>
    </row>
    <row r="1988" spans="16:16" x14ac:dyDescent="0.35">
      <c r="P1988" s="8"/>
    </row>
    <row r="1989" spans="16:16" x14ac:dyDescent="0.35">
      <c r="P1989" s="8"/>
    </row>
    <row r="1990" spans="16:16" x14ac:dyDescent="0.35">
      <c r="P1990" s="8"/>
    </row>
    <row r="1991" spans="16:16" x14ac:dyDescent="0.35">
      <c r="P1991" s="8"/>
    </row>
    <row r="1992" spans="16:16" x14ac:dyDescent="0.35">
      <c r="P1992" s="8"/>
    </row>
    <row r="1993" spans="16:16" x14ac:dyDescent="0.35">
      <c r="P1993" s="8"/>
    </row>
    <row r="1994" spans="16:16" x14ac:dyDescent="0.35">
      <c r="P1994" s="8"/>
    </row>
    <row r="1995" spans="16:16" x14ac:dyDescent="0.35">
      <c r="P1995" s="8"/>
    </row>
    <row r="1996" spans="16:16" x14ac:dyDescent="0.35">
      <c r="P1996" s="8"/>
    </row>
    <row r="1997" spans="16:16" x14ac:dyDescent="0.35">
      <c r="P1997" s="8"/>
    </row>
    <row r="1998" spans="16:16" x14ac:dyDescent="0.35">
      <c r="P1998" s="8"/>
    </row>
    <row r="1999" spans="16:16" x14ac:dyDescent="0.35">
      <c r="P1999" s="8"/>
    </row>
    <row r="2000" spans="16:16" x14ac:dyDescent="0.35">
      <c r="P2000" s="8"/>
    </row>
    <row r="2001" spans="16:16" x14ac:dyDescent="0.35">
      <c r="P2001" s="8"/>
    </row>
    <row r="2002" spans="16:16" x14ac:dyDescent="0.35">
      <c r="P2002" s="8"/>
    </row>
    <row r="2003" spans="16:16" x14ac:dyDescent="0.35">
      <c r="P2003" s="8"/>
    </row>
    <row r="2004" spans="16:16" x14ac:dyDescent="0.35">
      <c r="P2004" s="8"/>
    </row>
    <row r="2005" spans="16:16" x14ac:dyDescent="0.35">
      <c r="P2005" s="8"/>
    </row>
    <row r="2006" spans="16:16" x14ac:dyDescent="0.35">
      <c r="P2006" s="8"/>
    </row>
    <row r="2007" spans="16:16" x14ac:dyDescent="0.35">
      <c r="P2007" s="8"/>
    </row>
    <row r="2008" spans="16:16" x14ac:dyDescent="0.35">
      <c r="P2008" s="8"/>
    </row>
    <row r="2009" spans="16:16" x14ac:dyDescent="0.35">
      <c r="P2009" s="8"/>
    </row>
    <row r="2010" spans="16:16" x14ac:dyDescent="0.35">
      <c r="P2010" s="8"/>
    </row>
    <row r="2011" spans="16:16" x14ac:dyDescent="0.35">
      <c r="P2011" s="8"/>
    </row>
    <row r="2012" spans="16:16" x14ac:dyDescent="0.35">
      <c r="P2012" s="8"/>
    </row>
    <row r="2013" spans="16:16" x14ac:dyDescent="0.35">
      <c r="P2013" s="8"/>
    </row>
    <row r="2014" spans="16:16" x14ac:dyDescent="0.35">
      <c r="P2014" s="8"/>
    </row>
    <row r="2015" spans="16:16" x14ac:dyDescent="0.35">
      <c r="P2015" s="8"/>
    </row>
    <row r="2016" spans="16:16" x14ac:dyDescent="0.35">
      <c r="P2016" s="8"/>
    </row>
    <row r="2017" spans="16:16" x14ac:dyDescent="0.35">
      <c r="P2017" s="8"/>
    </row>
    <row r="2018" spans="16:16" x14ac:dyDescent="0.35">
      <c r="P2018" s="8"/>
    </row>
    <row r="2019" spans="16:16" x14ac:dyDescent="0.35">
      <c r="P2019" s="8"/>
    </row>
    <row r="2020" spans="16:16" x14ac:dyDescent="0.35">
      <c r="P2020" s="8"/>
    </row>
    <row r="2021" spans="16:16" x14ac:dyDescent="0.35">
      <c r="P2021" s="8"/>
    </row>
    <row r="2022" spans="16:16" x14ac:dyDescent="0.35">
      <c r="P2022" s="8"/>
    </row>
    <row r="2023" spans="16:16" x14ac:dyDescent="0.35">
      <c r="P2023" s="8"/>
    </row>
    <row r="2024" spans="16:16" x14ac:dyDescent="0.35">
      <c r="P2024" s="8"/>
    </row>
    <row r="2025" spans="16:16" x14ac:dyDescent="0.35">
      <c r="P2025" s="8"/>
    </row>
    <row r="2026" spans="16:16" x14ac:dyDescent="0.35">
      <c r="P2026" s="8"/>
    </row>
    <row r="2027" spans="16:16" x14ac:dyDescent="0.35">
      <c r="P2027" s="8"/>
    </row>
    <row r="2028" spans="16:16" x14ac:dyDescent="0.35">
      <c r="P2028" s="8"/>
    </row>
    <row r="2029" spans="16:16" x14ac:dyDescent="0.35">
      <c r="P2029" s="8"/>
    </row>
    <row r="2030" spans="16:16" x14ac:dyDescent="0.35">
      <c r="P2030" s="8"/>
    </row>
    <row r="2031" spans="16:16" x14ac:dyDescent="0.35">
      <c r="P2031" s="8"/>
    </row>
    <row r="2032" spans="16:16" x14ac:dyDescent="0.35">
      <c r="P2032" s="8"/>
    </row>
    <row r="2033" spans="16:16" x14ac:dyDescent="0.35">
      <c r="P2033" s="8"/>
    </row>
    <row r="2034" spans="16:16" x14ac:dyDescent="0.35">
      <c r="P2034" s="8"/>
    </row>
    <row r="2035" spans="16:16" x14ac:dyDescent="0.35">
      <c r="P2035" s="8"/>
    </row>
    <row r="2036" spans="16:16" x14ac:dyDescent="0.35">
      <c r="P2036" s="8"/>
    </row>
    <row r="2037" spans="16:16" x14ac:dyDescent="0.35">
      <c r="P2037" s="8"/>
    </row>
    <row r="2038" spans="16:16" x14ac:dyDescent="0.35">
      <c r="P2038" s="8"/>
    </row>
    <row r="2039" spans="16:16" x14ac:dyDescent="0.35">
      <c r="P2039" s="8"/>
    </row>
    <row r="2040" spans="16:16" x14ac:dyDescent="0.35">
      <c r="P2040" s="8"/>
    </row>
    <row r="2041" spans="16:16" x14ac:dyDescent="0.35">
      <c r="P2041" s="8"/>
    </row>
    <row r="2042" spans="16:16" x14ac:dyDescent="0.35">
      <c r="P2042" s="8"/>
    </row>
    <row r="2043" spans="16:16" x14ac:dyDescent="0.35">
      <c r="P2043" s="8"/>
    </row>
    <row r="2044" spans="16:16" x14ac:dyDescent="0.35">
      <c r="P2044" s="8"/>
    </row>
    <row r="2045" spans="16:16" x14ac:dyDescent="0.35">
      <c r="P2045" s="8"/>
    </row>
    <row r="2046" spans="16:16" x14ac:dyDescent="0.35">
      <c r="P2046" s="8"/>
    </row>
    <row r="2047" spans="16:16" x14ac:dyDescent="0.35">
      <c r="P2047" s="8"/>
    </row>
    <row r="2048" spans="16:16" x14ac:dyDescent="0.35">
      <c r="P2048" s="8"/>
    </row>
    <row r="2049" spans="16:16" x14ac:dyDescent="0.35">
      <c r="P2049" s="8"/>
    </row>
    <row r="2050" spans="16:16" x14ac:dyDescent="0.35">
      <c r="P2050" s="8"/>
    </row>
    <row r="2051" spans="16:16" x14ac:dyDescent="0.35">
      <c r="P2051" s="8"/>
    </row>
    <row r="2052" spans="16:16" x14ac:dyDescent="0.35">
      <c r="P2052" s="8"/>
    </row>
    <row r="2053" spans="16:16" x14ac:dyDescent="0.35">
      <c r="P2053" s="8"/>
    </row>
    <row r="2054" spans="16:16" x14ac:dyDescent="0.35">
      <c r="P2054" s="8"/>
    </row>
    <row r="2055" spans="16:16" x14ac:dyDescent="0.35">
      <c r="P2055" s="8"/>
    </row>
    <row r="2056" spans="16:16" x14ac:dyDescent="0.35">
      <c r="P2056" s="8"/>
    </row>
    <row r="2057" spans="16:16" x14ac:dyDescent="0.35">
      <c r="P2057" s="8"/>
    </row>
    <row r="2058" spans="16:16" x14ac:dyDescent="0.35">
      <c r="P2058" s="8"/>
    </row>
    <row r="2059" spans="16:16" x14ac:dyDescent="0.35">
      <c r="P2059" s="8"/>
    </row>
    <row r="2060" spans="16:16" x14ac:dyDescent="0.35">
      <c r="P2060" s="8"/>
    </row>
    <row r="2061" spans="16:16" x14ac:dyDescent="0.35">
      <c r="P2061" s="8"/>
    </row>
    <row r="2062" spans="16:16" x14ac:dyDescent="0.35">
      <c r="P2062" s="8"/>
    </row>
    <row r="2063" spans="16:16" x14ac:dyDescent="0.35">
      <c r="P2063" s="8"/>
    </row>
    <row r="2064" spans="16:16" x14ac:dyDescent="0.35">
      <c r="P2064" s="8"/>
    </row>
    <row r="2065" spans="16:16" x14ac:dyDescent="0.35">
      <c r="P2065" s="8"/>
    </row>
    <row r="2066" spans="16:16" x14ac:dyDescent="0.35">
      <c r="P2066" s="8"/>
    </row>
    <row r="2067" spans="16:16" x14ac:dyDescent="0.35">
      <c r="P2067" s="8"/>
    </row>
    <row r="2068" spans="16:16" x14ac:dyDescent="0.35">
      <c r="P2068" s="8"/>
    </row>
    <row r="2069" spans="16:16" x14ac:dyDescent="0.35">
      <c r="P2069" s="8"/>
    </row>
    <row r="2070" spans="16:16" x14ac:dyDescent="0.35">
      <c r="P2070" s="8"/>
    </row>
    <row r="2071" spans="16:16" x14ac:dyDescent="0.35">
      <c r="P2071" s="8"/>
    </row>
    <row r="2072" spans="16:16" x14ac:dyDescent="0.35">
      <c r="P2072" s="8"/>
    </row>
    <row r="2073" spans="16:16" x14ac:dyDescent="0.35">
      <c r="P2073" s="8"/>
    </row>
    <row r="2074" spans="16:16" x14ac:dyDescent="0.35">
      <c r="P2074" s="8"/>
    </row>
    <row r="2075" spans="16:16" x14ac:dyDescent="0.35">
      <c r="P2075" s="8"/>
    </row>
    <row r="2076" spans="16:16" x14ac:dyDescent="0.35">
      <c r="P2076" s="8"/>
    </row>
    <row r="2077" spans="16:16" x14ac:dyDescent="0.35">
      <c r="P2077" s="8"/>
    </row>
    <row r="2078" spans="16:16" x14ac:dyDescent="0.35">
      <c r="P2078" s="8"/>
    </row>
    <row r="2079" spans="16:16" x14ac:dyDescent="0.35">
      <c r="P2079" s="8"/>
    </row>
    <row r="2080" spans="16:16" x14ac:dyDescent="0.35">
      <c r="P2080" s="8"/>
    </row>
    <row r="2081" spans="16:16" x14ac:dyDescent="0.35">
      <c r="P2081" s="8"/>
    </row>
    <row r="2082" spans="16:16" x14ac:dyDescent="0.35">
      <c r="P2082" s="8"/>
    </row>
    <row r="2083" spans="16:16" x14ac:dyDescent="0.35">
      <c r="P2083" s="8"/>
    </row>
    <row r="2084" spans="16:16" x14ac:dyDescent="0.35">
      <c r="P2084" s="8"/>
    </row>
    <row r="2085" spans="16:16" x14ac:dyDescent="0.35">
      <c r="P2085" s="8"/>
    </row>
    <row r="2086" spans="16:16" x14ac:dyDescent="0.35">
      <c r="P2086" s="8"/>
    </row>
    <row r="2087" spans="16:16" x14ac:dyDescent="0.35">
      <c r="P2087" s="8"/>
    </row>
    <row r="2088" spans="16:16" x14ac:dyDescent="0.35">
      <c r="P2088" s="8"/>
    </row>
    <row r="2089" spans="16:16" x14ac:dyDescent="0.35">
      <c r="P2089" s="8"/>
    </row>
    <row r="2090" spans="16:16" x14ac:dyDescent="0.35">
      <c r="P2090" s="8"/>
    </row>
    <row r="2091" spans="16:16" x14ac:dyDescent="0.35">
      <c r="P2091" s="8"/>
    </row>
    <row r="2092" spans="16:16" x14ac:dyDescent="0.35">
      <c r="P2092" s="8"/>
    </row>
    <row r="2093" spans="16:16" x14ac:dyDescent="0.35">
      <c r="P2093" s="8"/>
    </row>
    <row r="2094" spans="16:16" x14ac:dyDescent="0.35">
      <c r="P2094" s="8"/>
    </row>
    <row r="2095" spans="16:16" x14ac:dyDescent="0.35">
      <c r="P2095" s="8"/>
    </row>
    <row r="2096" spans="16:16" x14ac:dyDescent="0.35">
      <c r="P2096" s="8"/>
    </row>
    <row r="2097" spans="16:16" x14ac:dyDescent="0.35">
      <c r="P2097" s="8"/>
    </row>
    <row r="2098" spans="16:16" x14ac:dyDescent="0.35">
      <c r="P2098" s="8"/>
    </row>
    <row r="2099" spans="16:16" x14ac:dyDescent="0.35">
      <c r="P2099" s="8"/>
    </row>
    <row r="2100" spans="16:16" x14ac:dyDescent="0.35">
      <c r="P2100" s="8"/>
    </row>
    <row r="2101" spans="16:16" x14ac:dyDescent="0.35">
      <c r="P2101" s="8"/>
    </row>
    <row r="2102" spans="16:16" x14ac:dyDescent="0.35">
      <c r="P2102" s="8"/>
    </row>
    <row r="2103" spans="16:16" x14ac:dyDescent="0.35">
      <c r="P2103" s="8"/>
    </row>
    <row r="2104" spans="16:16" x14ac:dyDescent="0.35">
      <c r="P2104" s="8"/>
    </row>
    <row r="2105" spans="16:16" x14ac:dyDescent="0.35">
      <c r="P2105" s="8"/>
    </row>
    <row r="2106" spans="16:16" x14ac:dyDescent="0.35">
      <c r="P2106" s="8"/>
    </row>
    <row r="2107" spans="16:16" x14ac:dyDescent="0.35">
      <c r="P2107" s="8"/>
    </row>
    <row r="2108" spans="16:16" x14ac:dyDescent="0.35">
      <c r="P2108" s="8"/>
    </row>
    <row r="2109" spans="16:16" x14ac:dyDescent="0.35">
      <c r="P2109" s="8"/>
    </row>
    <row r="2110" spans="16:16" x14ac:dyDescent="0.35">
      <c r="P2110" s="8"/>
    </row>
    <row r="2111" spans="16:16" x14ac:dyDescent="0.35">
      <c r="P2111" s="8"/>
    </row>
    <row r="2112" spans="16:16" x14ac:dyDescent="0.35">
      <c r="P2112" s="8"/>
    </row>
    <row r="2113" spans="16:16" x14ac:dyDescent="0.35">
      <c r="P2113" s="8"/>
    </row>
    <row r="2114" spans="16:16" x14ac:dyDescent="0.35">
      <c r="P2114" s="8"/>
    </row>
    <row r="2115" spans="16:16" x14ac:dyDescent="0.35">
      <c r="P2115" s="8"/>
    </row>
    <row r="2116" spans="16:16" x14ac:dyDescent="0.35">
      <c r="P2116" s="8"/>
    </row>
    <row r="2117" spans="16:16" x14ac:dyDescent="0.35">
      <c r="P2117" s="8"/>
    </row>
    <row r="2118" spans="16:16" x14ac:dyDescent="0.35">
      <c r="P2118" s="8"/>
    </row>
    <row r="2119" spans="16:16" x14ac:dyDescent="0.35">
      <c r="P2119" s="8"/>
    </row>
    <row r="2120" spans="16:16" x14ac:dyDescent="0.35">
      <c r="P2120" s="8"/>
    </row>
    <row r="2121" spans="16:16" x14ac:dyDescent="0.35">
      <c r="P2121" s="8"/>
    </row>
    <row r="2122" spans="16:16" x14ac:dyDescent="0.35">
      <c r="P2122" s="8"/>
    </row>
    <row r="2123" spans="16:16" x14ac:dyDescent="0.35">
      <c r="P2123" s="8"/>
    </row>
    <row r="2124" spans="16:16" x14ac:dyDescent="0.35">
      <c r="P2124" s="8"/>
    </row>
    <row r="2125" spans="16:16" x14ac:dyDescent="0.35">
      <c r="P2125" s="8"/>
    </row>
    <row r="2126" spans="16:16" x14ac:dyDescent="0.35">
      <c r="P2126" s="8"/>
    </row>
    <row r="2127" spans="16:16" x14ac:dyDescent="0.35">
      <c r="P2127" s="8"/>
    </row>
    <row r="2128" spans="16:16" x14ac:dyDescent="0.35">
      <c r="P2128" s="8"/>
    </row>
    <row r="2129" spans="16:16" x14ac:dyDescent="0.35">
      <c r="P2129" s="8"/>
    </row>
    <row r="2130" spans="16:16" x14ac:dyDescent="0.35">
      <c r="P2130" s="8"/>
    </row>
    <row r="2131" spans="16:16" x14ac:dyDescent="0.35">
      <c r="P2131" s="8"/>
    </row>
    <row r="2132" spans="16:16" x14ac:dyDescent="0.35">
      <c r="P2132" s="8"/>
    </row>
    <row r="2133" spans="16:16" x14ac:dyDescent="0.35">
      <c r="P2133" s="8"/>
    </row>
    <row r="2134" spans="16:16" x14ac:dyDescent="0.35">
      <c r="P2134" s="8"/>
    </row>
    <row r="2135" spans="16:16" x14ac:dyDescent="0.35">
      <c r="P2135" s="8"/>
    </row>
    <row r="2136" spans="16:16" x14ac:dyDescent="0.35">
      <c r="P2136" s="8"/>
    </row>
    <row r="2137" spans="16:16" x14ac:dyDescent="0.35">
      <c r="P2137" s="8"/>
    </row>
    <row r="2138" spans="16:16" x14ac:dyDescent="0.35">
      <c r="P2138" s="8"/>
    </row>
    <row r="2139" spans="16:16" x14ac:dyDescent="0.35">
      <c r="P2139" s="8"/>
    </row>
    <row r="2140" spans="16:16" x14ac:dyDescent="0.35">
      <c r="P2140" s="8"/>
    </row>
    <row r="2141" spans="16:16" x14ac:dyDescent="0.35">
      <c r="P2141" s="8"/>
    </row>
    <row r="2142" spans="16:16" x14ac:dyDescent="0.35">
      <c r="P2142" s="8"/>
    </row>
    <row r="2143" spans="16:16" x14ac:dyDescent="0.35">
      <c r="P2143" s="8"/>
    </row>
    <row r="2144" spans="16:16" x14ac:dyDescent="0.35">
      <c r="P2144" s="8"/>
    </row>
    <row r="2145" spans="16:16" x14ac:dyDescent="0.35">
      <c r="P2145" s="8"/>
    </row>
    <row r="2146" spans="16:16" x14ac:dyDescent="0.35">
      <c r="P2146" s="8"/>
    </row>
    <row r="2147" spans="16:16" x14ac:dyDescent="0.35">
      <c r="P2147" s="8"/>
    </row>
    <row r="2148" spans="16:16" x14ac:dyDescent="0.35">
      <c r="P2148" s="8"/>
    </row>
    <row r="2149" spans="16:16" x14ac:dyDescent="0.35">
      <c r="P2149" s="8"/>
    </row>
    <row r="2150" spans="16:16" x14ac:dyDescent="0.35">
      <c r="P2150" s="8"/>
    </row>
    <row r="2151" spans="16:16" x14ac:dyDescent="0.35">
      <c r="P2151" s="8"/>
    </row>
    <row r="2152" spans="16:16" x14ac:dyDescent="0.35">
      <c r="P2152" s="8"/>
    </row>
    <row r="2153" spans="16:16" x14ac:dyDescent="0.35">
      <c r="P2153" s="8"/>
    </row>
    <row r="2154" spans="16:16" x14ac:dyDescent="0.35">
      <c r="P2154" s="8"/>
    </row>
    <row r="2155" spans="16:16" x14ac:dyDescent="0.35">
      <c r="P2155" s="8"/>
    </row>
    <row r="2156" spans="16:16" x14ac:dyDescent="0.35">
      <c r="P2156" s="8"/>
    </row>
    <row r="2157" spans="16:16" x14ac:dyDescent="0.35">
      <c r="P2157" s="8"/>
    </row>
    <row r="2158" spans="16:16" x14ac:dyDescent="0.35">
      <c r="P2158" s="8"/>
    </row>
    <row r="2159" spans="16:16" x14ac:dyDescent="0.35">
      <c r="P2159" s="8"/>
    </row>
    <row r="2160" spans="16:16" x14ac:dyDescent="0.35">
      <c r="P2160" s="8"/>
    </row>
    <row r="2161" spans="16:16" x14ac:dyDescent="0.35">
      <c r="P2161" s="8"/>
    </row>
    <row r="2162" spans="16:16" x14ac:dyDescent="0.35">
      <c r="P2162" s="8"/>
    </row>
    <row r="2163" spans="16:16" x14ac:dyDescent="0.35">
      <c r="P2163" s="8"/>
    </row>
    <row r="2164" spans="16:16" x14ac:dyDescent="0.35">
      <c r="P2164" s="8"/>
    </row>
    <row r="2165" spans="16:16" x14ac:dyDescent="0.35">
      <c r="P2165" s="8"/>
    </row>
    <row r="2166" spans="16:16" x14ac:dyDescent="0.35">
      <c r="P2166" s="8"/>
    </row>
    <row r="2167" spans="16:16" x14ac:dyDescent="0.35">
      <c r="P2167" s="8"/>
    </row>
    <row r="2168" spans="16:16" x14ac:dyDescent="0.35">
      <c r="P2168" s="8"/>
    </row>
    <row r="2169" spans="16:16" x14ac:dyDescent="0.35">
      <c r="P2169" s="8"/>
    </row>
    <row r="2170" spans="16:16" x14ac:dyDescent="0.35">
      <c r="P2170" s="8"/>
    </row>
    <row r="2171" spans="16:16" x14ac:dyDescent="0.35">
      <c r="P2171" s="8"/>
    </row>
    <row r="2172" spans="16:16" x14ac:dyDescent="0.35">
      <c r="P2172" s="8"/>
    </row>
    <row r="2173" spans="16:16" x14ac:dyDescent="0.35">
      <c r="P2173" s="8"/>
    </row>
    <row r="2174" spans="16:16" x14ac:dyDescent="0.35">
      <c r="P2174" s="8"/>
    </row>
    <row r="2175" spans="16:16" x14ac:dyDescent="0.35">
      <c r="P2175" s="8"/>
    </row>
    <row r="2176" spans="16:16" x14ac:dyDescent="0.35">
      <c r="P2176" s="8"/>
    </row>
    <row r="2177" spans="16:16" x14ac:dyDescent="0.35">
      <c r="P2177" s="8"/>
    </row>
    <row r="2178" spans="16:16" x14ac:dyDescent="0.35">
      <c r="P2178" s="8"/>
    </row>
    <row r="2179" spans="16:16" x14ac:dyDescent="0.35">
      <c r="P2179" s="8"/>
    </row>
    <row r="2180" spans="16:16" x14ac:dyDescent="0.35">
      <c r="P2180" s="8"/>
    </row>
    <row r="2181" spans="16:16" x14ac:dyDescent="0.35">
      <c r="P2181" s="8"/>
    </row>
    <row r="2182" spans="16:16" x14ac:dyDescent="0.35">
      <c r="P2182" s="8"/>
    </row>
    <row r="2183" spans="16:16" x14ac:dyDescent="0.35">
      <c r="P2183" s="8"/>
    </row>
    <row r="2184" spans="16:16" x14ac:dyDescent="0.35">
      <c r="P2184" s="8"/>
    </row>
    <row r="2185" spans="16:16" x14ac:dyDescent="0.35">
      <c r="P2185" s="8"/>
    </row>
    <row r="2186" spans="16:16" x14ac:dyDescent="0.35">
      <c r="P2186" s="8"/>
    </row>
    <row r="2187" spans="16:16" x14ac:dyDescent="0.35">
      <c r="P2187" s="8"/>
    </row>
    <row r="2188" spans="16:16" x14ac:dyDescent="0.35">
      <c r="P2188" s="8"/>
    </row>
    <row r="2189" spans="16:16" x14ac:dyDescent="0.35">
      <c r="P2189" s="8"/>
    </row>
    <row r="2190" spans="16:16" x14ac:dyDescent="0.35">
      <c r="P2190" s="8"/>
    </row>
    <row r="2191" spans="16:16" x14ac:dyDescent="0.35">
      <c r="P2191" s="8"/>
    </row>
    <row r="2192" spans="16:16" x14ac:dyDescent="0.35">
      <c r="P2192" s="8"/>
    </row>
    <row r="2193" spans="16:16" x14ac:dyDescent="0.35">
      <c r="P2193" s="8"/>
    </row>
    <row r="2194" spans="16:16" x14ac:dyDescent="0.35">
      <c r="P2194" s="8"/>
    </row>
    <row r="2195" spans="16:16" x14ac:dyDescent="0.35">
      <c r="P2195" s="8"/>
    </row>
    <row r="2196" spans="16:16" x14ac:dyDescent="0.35">
      <c r="P2196" s="8"/>
    </row>
    <row r="2197" spans="16:16" x14ac:dyDescent="0.35">
      <c r="P2197" s="8"/>
    </row>
    <row r="2198" spans="16:16" x14ac:dyDescent="0.35">
      <c r="P2198" s="8"/>
    </row>
    <row r="2199" spans="16:16" x14ac:dyDescent="0.35">
      <c r="P2199" s="8"/>
    </row>
    <row r="2200" spans="16:16" x14ac:dyDescent="0.35">
      <c r="P2200" s="8"/>
    </row>
    <row r="2201" spans="16:16" x14ac:dyDescent="0.35">
      <c r="P2201" s="8"/>
    </row>
    <row r="2202" spans="16:16" x14ac:dyDescent="0.35">
      <c r="P2202" s="8"/>
    </row>
    <row r="2203" spans="16:16" x14ac:dyDescent="0.35">
      <c r="P2203" s="8"/>
    </row>
    <row r="2204" spans="16:16" x14ac:dyDescent="0.35">
      <c r="P2204" s="8"/>
    </row>
    <row r="2205" spans="16:16" x14ac:dyDescent="0.35">
      <c r="P2205" s="8"/>
    </row>
    <row r="2206" spans="16:16" x14ac:dyDescent="0.35">
      <c r="P2206" s="8"/>
    </row>
    <row r="2207" spans="16:16" x14ac:dyDescent="0.35">
      <c r="P2207" s="8"/>
    </row>
    <row r="2208" spans="16:16" x14ac:dyDescent="0.35">
      <c r="P2208" s="8"/>
    </row>
    <row r="2209" spans="16:16" x14ac:dyDescent="0.35">
      <c r="P2209" s="8"/>
    </row>
    <row r="2210" spans="16:16" x14ac:dyDescent="0.35">
      <c r="P2210" s="8"/>
    </row>
    <row r="2211" spans="16:16" x14ac:dyDescent="0.35">
      <c r="P2211" s="8"/>
    </row>
    <row r="2212" spans="16:16" x14ac:dyDescent="0.35">
      <c r="P2212" s="8"/>
    </row>
    <row r="2213" spans="16:16" x14ac:dyDescent="0.35">
      <c r="P2213" s="8"/>
    </row>
    <row r="2214" spans="16:16" x14ac:dyDescent="0.35">
      <c r="P2214" s="8"/>
    </row>
    <row r="2215" spans="16:16" x14ac:dyDescent="0.35">
      <c r="P2215" s="8"/>
    </row>
    <row r="2216" spans="16:16" x14ac:dyDescent="0.35">
      <c r="P2216" s="8"/>
    </row>
    <row r="2217" spans="16:16" x14ac:dyDescent="0.35">
      <c r="P2217" s="8"/>
    </row>
    <row r="2218" spans="16:16" x14ac:dyDescent="0.35">
      <c r="P2218" s="8"/>
    </row>
    <row r="2219" spans="16:16" x14ac:dyDescent="0.35">
      <c r="P2219" s="8"/>
    </row>
    <row r="2220" spans="16:16" x14ac:dyDescent="0.35">
      <c r="P2220" s="8"/>
    </row>
    <row r="2221" spans="16:16" x14ac:dyDescent="0.35">
      <c r="P2221" s="8"/>
    </row>
    <row r="2222" spans="16:16" x14ac:dyDescent="0.35">
      <c r="P2222" s="8"/>
    </row>
    <row r="2223" spans="16:16" x14ac:dyDescent="0.35">
      <c r="P2223" s="8"/>
    </row>
    <row r="2224" spans="16:16" x14ac:dyDescent="0.35">
      <c r="P2224" s="8"/>
    </row>
    <row r="2225" spans="16:16" x14ac:dyDescent="0.35">
      <c r="P2225" s="8"/>
    </row>
    <row r="2226" spans="16:16" x14ac:dyDescent="0.35">
      <c r="P2226" s="8"/>
    </row>
    <row r="2227" spans="16:16" x14ac:dyDescent="0.35">
      <c r="P2227" s="8"/>
    </row>
    <row r="2228" spans="16:16" x14ac:dyDescent="0.35">
      <c r="P2228" s="8"/>
    </row>
    <row r="2229" spans="16:16" x14ac:dyDescent="0.35">
      <c r="P2229" s="8"/>
    </row>
    <row r="2230" spans="16:16" x14ac:dyDescent="0.35">
      <c r="P2230" s="8"/>
    </row>
    <row r="2231" spans="16:16" x14ac:dyDescent="0.35">
      <c r="P2231" s="8"/>
    </row>
    <row r="2232" spans="16:16" x14ac:dyDescent="0.35">
      <c r="P2232" s="8"/>
    </row>
    <row r="2233" spans="16:16" x14ac:dyDescent="0.35">
      <c r="P2233" s="8"/>
    </row>
    <row r="2234" spans="16:16" x14ac:dyDescent="0.35">
      <c r="P2234" s="8"/>
    </row>
    <row r="2235" spans="16:16" x14ac:dyDescent="0.35">
      <c r="P2235" s="8"/>
    </row>
    <row r="2236" spans="16:16" x14ac:dyDescent="0.35">
      <c r="P2236" s="8"/>
    </row>
    <row r="2237" spans="16:16" x14ac:dyDescent="0.35">
      <c r="P2237" s="8"/>
    </row>
    <row r="2238" spans="16:16" x14ac:dyDescent="0.35">
      <c r="P2238" s="8"/>
    </row>
    <row r="2239" spans="16:16" x14ac:dyDescent="0.35">
      <c r="P2239" s="8"/>
    </row>
    <row r="2240" spans="16:16" x14ac:dyDescent="0.35">
      <c r="P2240" s="8"/>
    </row>
    <row r="2241" spans="16:16" x14ac:dyDescent="0.35">
      <c r="P2241" s="8"/>
    </row>
    <row r="2242" spans="16:16" x14ac:dyDescent="0.35">
      <c r="P2242" s="8"/>
    </row>
    <row r="2243" spans="16:16" x14ac:dyDescent="0.35">
      <c r="P2243" s="8"/>
    </row>
    <row r="2244" spans="16:16" x14ac:dyDescent="0.35">
      <c r="P2244" s="8"/>
    </row>
    <row r="2245" spans="16:16" x14ac:dyDescent="0.35">
      <c r="P2245" s="8"/>
    </row>
    <row r="2246" spans="16:16" x14ac:dyDescent="0.35">
      <c r="P2246" s="8"/>
    </row>
    <row r="2247" spans="16:16" x14ac:dyDescent="0.35">
      <c r="P2247" s="8"/>
    </row>
    <row r="2248" spans="16:16" x14ac:dyDescent="0.35">
      <c r="P2248" s="8"/>
    </row>
    <row r="2249" spans="16:16" x14ac:dyDescent="0.35">
      <c r="P2249" s="8"/>
    </row>
    <row r="2250" spans="16:16" x14ac:dyDescent="0.35">
      <c r="P2250" s="8"/>
    </row>
    <row r="2251" spans="16:16" x14ac:dyDescent="0.35">
      <c r="P2251" s="8"/>
    </row>
    <row r="2252" spans="16:16" x14ac:dyDescent="0.35">
      <c r="P2252" s="8"/>
    </row>
    <row r="2253" spans="16:16" x14ac:dyDescent="0.35">
      <c r="P2253" s="8"/>
    </row>
    <row r="2254" spans="16:16" x14ac:dyDescent="0.35">
      <c r="P2254" s="8"/>
    </row>
    <row r="2255" spans="16:16" x14ac:dyDescent="0.35">
      <c r="P2255" s="8"/>
    </row>
    <row r="2256" spans="16:16" x14ac:dyDescent="0.35">
      <c r="P2256" s="8"/>
    </row>
    <row r="2257" spans="16:16" x14ac:dyDescent="0.35">
      <c r="P2257" s="8"/>
    </row>
    <row r="2258" spans="16:16" x14ac:dyDescent="0.35">
      <c r="P2258" s="8"/>
    </row>
    <row r="2259" spans="16:16" x14ac:dyDescent="0.35">
      <c r="P2259" s="8"/>
    </row>
    <row r="2260" spans="16:16" x14ac:dyDescent="0.35">
      <c r="P2260" s="8"/>
    </row>
    <row r="2261" spans="16:16" x14ac:dyDescent="0.35">
      <c r="P2261" s="8"/>
    </row>
    <row r="2262" spans="16:16" x14ac:dyDescent="0.35">
      <c r="P2262" s="8"/>
    </row>
    <row r="2263" spans="16:16" x14ac:dyDescent="0.35">
      <c r="P2263" s="8"/>
    </row>
    <row r="2264" spans="16:16" x14ac:dyDescent="0.35">
      <c r="P2264" s="8"/>
    </row>
    <row r="2265" spans="16:16" x14ac:dyDescent="0.35">
      <c r="P2265" s="8"/>
    </row>
    <row r="2266" spans="16:16" x14ac:dyDescent="0.35">
      <c r="P2266" s="8"/>
    </row>
    <row r="2267" spans="16:16" x14ac:dyDescent="0.35">
      <c r="P2267" s="8"/>
    </row>
    <row r="2268" spans="16:16" x14ac:dyDescent="0.35">
      <c r="P2268" s="8"/>
    </row>
    <row r="2269" spans="16:16" x14ac:dyDescent="0.35">
      <c r="P2269" s="8"/>
    </row>
    <row r="2270" spans="16:16" x14ac:dyDescent="0.35">
      <c r="P2270" s="8"/>
    </row>
    <row r="2271" spans="16:16" x14ac:dyDescent="0.35">
      <c r="P2271" s="8"/>
    </row>
    <row r="2272" spans="16:16" x14ac:dyDescent="0.35">
      <c r="P2272" s="8"/>
    </row>
    <row r="2273" spans="16:16" x14ac:dyDescent="0.35">
      <c r="P2273" s="8"/>
    </row>
    <row r="2274" spans="16:16" x14ac:dyDescent="0.35">
      <c r="P2274" s="8"/>
    </row>
    <row r="2275" spans="16:16" x14ac:dyDescent="0.35">
      <c r="P2275" s="8"/>
    </row>
    <row r="2276" spans="16:16" x14ac:dyDescent="0.35">
      <c r="P2276" s="8"/>
    </row>
    <row r="2277" spans="16:16" x14ac:dyDescent="0.35">
      <c r="P2277" s="8"/>
    </row>
    <row r="2278" spans="16:16" x14ac:dyDescent="0.35">
      <c r="P2278" s="8"/>
    </row>
    <row r="2279" spans="16:16" x14ac:dyDescent="0.35">
      <c r="P2279" s="8"/>
    </row>
    <row r="2280" spans="16:16" x14ac:dyDescent="0.35">
      <c r="P2280" s="8"/>
    </row>
    <row r="2281" spans="16:16" x14ac:dyDescent="0.35">
      <c r="P2281" s="8"/>
    </row>
    <row r="2282" spans="16:16" x14ac:dyDescent="0.35">
      <c r="P2282" s="8"/>
    </row>
    <row r="2283" spans="16:16" x14ac:dyDescent="0.35">
      <c r="P2283" s="8"/>
    </row>
    <row r="2284" spans="16:16" x14ac:dyDescent="0.35">
      <c r="P2284" s="8"/>
    </row>
    <row r="2285" spans="16:16" x14ac:dyDescent="0.35">
      <c r="P2285" s="8"/>
    </row>
    <row r="2286" spans="16:16" x14ac:dyDescent="0.35">
      <c r="P2286" s="8"/>
    </row>
    <row r="2287" spans="16:16" x14ac:dyDescent="0.35">
      <c r="P2287" s="8"/>
    </row>
    <row r="2288" spans="16:16" x14ac:dyDescent="0.35">
      <c r="P2288" s="8"/>
    </row>
    <row r="2289" spans="16:16" x14ac:dyDescent="0.35">
      <c r="P2289" s="8"/>
    </row>
    <row r="2290" spans="16:16" x14ac:dyDescent="0.35">
      <c r="P2290" s="8"/>
    </row>
    <row r="2291" spans="16:16" x14ac:dyDescent="0.35">
      <c r="P2291" s="8"/>
    </row>
    <row r="2292" spans="16:16" x14ac:dyDescent="0.35">
      <c r="P2292" s="8"/>
    </row>
    <row r="2293" spans="16:16" x14ac:dyDescent="0.35">
      <c r="P2293" s="8"/>
    </row>
    <row r="2294" spans="16:16" x14ac:dyDescent="0.35">
      <c r="P2294" s="8"/>
    </row>
    <row r="2295" spans="16:16" x14ac:dyDescent="0.35">
      <c r="P2295" s="8"/>
    </row>
    <row r="2296" spans="16:16" x14ac:dyDescent="0.35">
      <c r="P2296" s="8"/>
    </row>
    <row r="2297" spans="16:16" x14ac:dyDescent="0.35">
      <c r="P2297" s="8"/>
    </row>
    <row r="2298" spans="16:16" x14ac:dyDescent="0.35">
      <c r="P2298" s="8"/>
    </row>
    <row r="2299" spans="16:16" x14ac:dyDescent="0.35">
      <c r="P2299" s="8"/>
    </row>
    <row r="2300" spans="16:16" x14ac:dyDescent="0.35">
      <c r="P2300" s="8"/>
    </row>
    <row r="2301" spans="16:16" x14ac:dyDescent="0.35">
      <c r="P2301" s="8"/>
    </row>
    <row r="2302" spans="16:16" x14ac:dyDescent="0.35">
      <c r="P2302" s="8"/>
    </row>
    <row r="2303" spans="16:16" x14ac:dyDescent="0.35">
      <c r="P2303" s="8"/>
    </row>
    <row r="2304" spans="16:16" x14ac:dyDescent="0.35">
      <c r="P2304" s="8"/>
    </row>
    <row r="2305" spans="16:16" x14ac:dyDescent="0.35">
      <c r="P2305" s="8"/>
    </row>
    <row r="2306" spans="16:16" x14ac:dyDescent="0.35">
      <c r="P2306" s="8"/>
    </row>
    <row r="2307" spans="16:16" x14ac:dyDescent="0.35">
      <c r="P2307" s="8"/>
    </row>
    <row r="2308" spans="16:16" x14ac:dyDescent="0.35">
      <c r="P2308" s="8"/>
    </row>
    <row r="2309" spans="16:16" x14ac:dyDescent="0.35">
      <c r="P2309" s="8"/>
    </row>
    <row r="2310" spans="16:16" x14ac:dyDescent="0.35">
      <c r="P2310" s="8"/>
    </row>
    <row r="2311" spans="16:16" x14ac:dyDescent="0.35">
      <c r="P2311" s="8"/>
    </row>
    <row r="2312" spans="16:16" x14ac:dyDescent="0.35">
      <c r="P2312" s="8"/>
    </row>
    <row r="2313" spans="16:16" x14ac:dyDescent="0.35">
      <c r="P2313" s="8"/>
    </row>
    <row r="2314" spans="16:16" x14ac:dyDescent="0.35">
      <c r="P2314" s="8"/>
    </row>
    <row r="2315" spans="16:16" x14ac:dyDescent="0.35">
      <c r="P2315" s="8"/>
    </row>
    <row r="2316" spans="16:16" x14ac:dyDescent="0.35">
      <c r="P2316" s="8"/>
    </row>
    <row r="2317" spans="16:16" x14ac:dyDescent="0.35">
      <c r="P2317" s="8"/>
    </row>
    <row r="2318" spans="16:16" x14ac:dyDescent="0.35">
      <c r="P2318" s="8"/>
    </row>
    <row r="2319" spans="16:16" x14ac:dyDescent="0.35">
      <c r="P2319" s="8"/>
    </row>
    <row r="2320" spans="16:16" x14ac:dyDescent="0.35">
      <c r="P2320" s="8"/>
    </row>
    <row r="2321" spans="16:16" x14ac:dyDescent="0.35">
      <c r="P2321" s="8"/>
    </row>
    <row r="2322" spans="16:16" x14ac:dyDescent="0.35">
      <c r="P2322" s="8"/>
    </row>
    <row r="2323" spans="16:16" x14ac:dyDescent="0.35">
      <c r="P2323" s="8"/>
    </row>
    <row r="2324" spans="16:16" x14ac:dyDescent="0.35">
      <c r="P2324" s="8"/>
    </row>
    <row r="2325" spans="16:16" x14ac:dyDescent="0.35">
      <c r="P2325" s="8"/>
    </row>
    <row r="2326" spans="16:16" x14ac:dyDescent="0.35">
      <c r="P2326" s="8"/>
    </row>
    <row r="2327" spans="16:16" x14ac:dyDescent="0.35">
      <c r="P2327" s="8"/>
    </row>
    <row r="2328" spans="16:16" x14ac:dyDescent="0.35">
      <c r="P2328" s="8"/>
    </row>
    <row r="2329" spans="16:16" x14ac:dyDescent="0.35">
      <c r="P2329" s="8"/>
    </row>
    <row r="2330" spans="16:16" x14ac:dyDescent="0.35">
      <c r="P2330" s="8"/>
    </row>
    <row r="2331" spans="16:16" x14ac:dyDescent="0.35">
      <c r="P2331" s="8"/>
    </row>
    <row r="2332" spans="16:16" x14ac:dyDescent="0.35">
      <c r="P2332" s="8"/>
    </row>
    <row r="2333" spans="16:16" x14ac:dyDescent="0.35">
      <c r="P2333" s="8"/>
    </row>
    <row r="2334" spans="16:16" x14ac:dyDescent="0.35">
      <c r="P2334" s="8"/>
    </row>
    <row r="2335" spans="16:16" x14ac:dyDescent="0.35">
      <c r="P2335" s="8"/>
    </row>
    <row r="2336" spans="16:16" x14ac:dyDescent="0.35">
      <c r="P2336" s="8"/>
    </row>
    <row r="2337" spans="16:16" x14ac:dyDescent="0.35">
      <c r="P2337" s="8"/>
    </row>
    <row r="2338" spans="16:16" x14ac:dyDescent="0.35">
      <c r="P2338" s="8"/>
    </row>
    <row r="2339" spans="16:16" x14ac:dyDescent="0.35">
      <c r="P2339" s="8"/>
    </row>
    <row r="2340" spans="16:16" x14ac:dyDescent="0.35">
      <c r="P2340" s="8"/>
    </row>
    <row r="2341" spans="16:16" x14ac:dyDescent="0.35">
      <c r="P2341" s="8"/>
    </row>
    <row r="2342" spans="16:16" x14ac:dyDescent="0.35">
      <c r="P2342" s="8"/>
    </row>
    <row r="2343" spans="16:16" x14ac:dyDescent="0.35">
      <c r="P2343" s="8"/>
    </row>
    <row r="2344" spans="16:16" x14ac:dyDescent="0.35">
      <c r="P2344" s="8"/>
    </row>
    <row r="2345" spans="16:16" x14ac:dyDescent="0.35">
      <c r="P2345" s="8"/>
    </row>
    <row r="2346" spans="16:16" x14ac:dyDescent="0.35">
      <c r="P2346" s="8"/>
    </row>
    <row r="2347" spans="16:16" x14ac:dyDescent="0.35">
      <c r="P2347" s="8"/>
    </row>
    <row r="2348" spans="16:16" x14ac:dyDescent="0.35">
      <c r="P2348" s="8"/>
    </row>
    <row r="2349" spans="16:16" x14ac:dyDescent="0.35">
      <c r="P2349" s="8"/>
    </row>
    <row r="2350" spans="16:16" x14ac:dyDescent="0.35">
      <c r="P2350" s="8"/>
    </row>
    <row r="2351" spans="16:16" x14ac:dyDescent="0.35">
      <c r="P2351" s="8"/>
    </row>
    <row r="2352" spans="16:16" x14ac:dyDescent="0.35">
      <c r="P2352" s="8"/>
    </row>
    <row r="2353" spans="16:16" x14ac:dyDescent="0.35">
      <c r="P2353" s="8"/>
    </row>
    <row r="2354" spans="16:16" x14ac:dyDescent="0.35">
      <c r="P2354" s="8"/>
    </row>
    <row r="2355" spans="16:16" x14ac:dyDescent="0.35">
      <c r="P2355" s="8"/>
    </row>
    <row r="2356" spans="16:16" x14ac:dyDescent="0.35">
      <c r="P2356" s="8"/>
    </row>
    <row r="2357" spans="16:16" x14ac:dyDescent="0.35">
      <c r="P2357" s="8"/>
    </row>
    <row r="2358" spans="16:16" x14ac:dyDescent="0.35">
      <c r="P2358" s="8"/>
    </row>
    <row r="2359" spans="16:16" x14ac:dyDescent="0.35">
      <c r="P2359" s="8"/>
    </row>
    <row r="2360" spans="16:16" x14ac:dyDescent="0.35">
      <c r="P2360" s="8"/>
    </row>
    <row r="2361" spans="16:16" x14ac:dyDescent="0.35">
      <c r="P2361" s="8"/>
    </row>
    <row r="2362" spans="16:16" x14ac:dyDescent="0.35">
      <c r="P2362" s="8"/>
    </row>
    <row r="2363" spans="16:16" x14ac:dyDescent="0.35">
      <c r="P2363" s="8"/>
    </row>
    <row r="2364" spans="16:16" x14ac:dyDescent="0.35">
      <c r="P2364" s="8"/>
    </row>
    <row r="2365" spans="16:16" x14ac:dyDescent="0.35">
      <c r="P2365" s="8"/>
    </row>
    <row r="2366" spans="16:16" x14ac:dyDescent="0.35">
      <c r="P2366" s="8"/>
    </row>
    <row r="2367" spans="16:16" x14ac:dyDescent="0.35">
      <c r="P2367" s="8"/>
    </row>
    <row r="2368" spans="16:16" x14ac:dyDescent="0.35">
      <c r="P2368" s="8"/>
    </row>
    <row r="2369" spans="16:16" x14ac:dyDescent="0.35">
      <c r="P2369" s="8"/>
    </row>
    <row r="2370" spans="16:16" x14ac:dyDescent="0.35">
      <c r="P2370" s="8"/>
    </row>
    <row r="2371" spans="16:16" x14ac:dyDescent="0.35">
      <c r="P2371" s="8"/>
    </row>
    <row r="2372" spans="16:16" x14ac:dyDescent="0.35">
      <c r="P2372" s="8"/>
    </row>
    <row r="2373" spans="16:16" x14ac:dyDescent="0.35">
      <c r="P2373" s="8"/>
    </row>
    <row r="2374" spans="16:16" x14ac:dyDescent="0.35">
      <c r="P2374" s="8"/>
    </row>
    <row r="2375" spans="16:16" x14ac:dyDescent="0.35">
      <c r="P2375" s="8"/>
    </row>
    <row r="2376" spans="16:16" x14ac:dyDescent="0.35">
      <c r="P2376" s="8"/>
    </row>
    <row r="2377" spans="16:16" x14ac:dyDescent="0.35">
      <c r="P2377" s="8"/>
    </row>
    <row r="2378" spans="16:16" x14ac:dyDescent="0.35">
      <c r="P2378" s="8"/>
    </row>
    <row r="2379" spans="16:16" x14ac:dyDescent="0.35">
      <c r="P2379" s="8"/>
    </row>
    <row r="2380" spans="16:16" x14ac:dyDescent="0.35">
      <c r="P2380" s="8"/>
    </row>
    <row r="2381" spans="16:16" x14ac:dyDescent="0.35">
      <c r="P2381" s="8"/>
    </row>
    <row r="2382" spans="16:16" x14ac:dyDescent="0.35">
      <c r="P2382" s="8"/>
    </row>
    <row r="2383" spans="16:16" x14ac:dyDescent="0.35">
      <c r="P2383" s="8"/>
    </row>
    <row r="2384" spans="16:16" x14ac:dyDescent="0.35">
      <c r="P2384" s="8"/>
    </row>
    <row r="2385" spans="16:16" x14ac:dyDescent="0.35">
      <c r="P2385" s="8"/>
    </row>
    <row r="2386" spans="16:16" x14ac:dyDescent="0.35">
      <c r="P2386" s="8"/>
    </row>
    <row r="2387" spans="16:16" x14ac:dyDescent="0.35">
      <c r="P2387" s="8"/>
    </row>
    <row r="2388" spans="16:16" x14ac:dyDescent="0.35">
      <c r="P2388" s="8"/>
    </row>
    <row r="2389" spans="16:16" x14ac:dyDescent="0.35">
      <c r="P2389" s="8"/>
    </row>
    <row r="2390" spans="16:16" x14ac:dyDescent="0.35">
      <c r="P2390" s="8"/>
    </row>
    <row r="2391" spans="16:16" x14ac:dyDescent="0.35">
      <c r="P2391" s="8"/>
    </row>
    <row r="2392" spans="16:16" x14ac:dyDescent="0.35">
      <c r="P2392" s="8"/>
    </row>
    <row r="2393" spans="16:16" x14ac:dyDescent="0.35">
      <c r="P2393" s="8"/>
    </row>
    <row r="2394" spans="16:16" x14ac:dyDescent="0.35">
      <c r="P2394" s="8"/>
    </row>
    <row r="2395" spans="16:16" x14ac:dyDescent="0.35">
      <c r="P2395" s="8"/>
    </row>
    <row r="2396" spans="16:16" x14ac:dyDescent="0.35">
      <c r="P2396" s="8"/>
    </row>
    <row r="2397" spans="16:16" x14ac:dyDescent="0.35">
      <c r="P2397" s="8"/>
    </row>
    <row r="2398" spans="16:16" x14ac:dyDescent="0.35">
      <c r="P2398" s="8"/>
    </row>
    <row r="2399" spans="16:16" x14ac:dyDescent="0.35">
      <c r="P2399" s="8"/>
    </row>
    <row r="2400" spans="16:16" x14ac:dyDescent="0.35">
      <c r="P2400" s="8"/>
    </row>
    <row r="2401" spans="16:16" x14ac:dyDescent="0.35">
      <c r="P2401" s="8"/>
    </row>
    <row r="2402" spans="16:16" x14ac:dyDescent="0.35">
      <c r="P2402" s="8"/>
    </row>
    <row r="2403" spans="16:16" x14ac:dyDescent="0.35">
      <c r="P2403" s="8"/>
    </row>
    <row r="2404" spans="16:16" x14ac:dyDescent="0.35">
      <c r="P2404" s="8"/>
    </row>
    <row r="2405" spans="16:16" x14ac:dyDescent="0.35">
      <c r="P2405" s="8"/>
    </row>
    <row r="2406" spans="16:16" x14ac:dyDescent="0.35">
      <c r="P2406" s="8"/>
    </row>
    <row r="2407" spans="16:16" x14ac:dyDescent="0.35">
      <c r="P2407" s="8"/>
    </row>
    <row r="2408" spans="16:16" x14ac:dyDescent="0.35">
      <c r="P2408" s="8"/>
    </row>
    <row r="2409" spans="16:16" x14ac:dyDescent="0.35">
      <c r="P2409" s="8"/>
    </row>
    <row r="2410" spans="16:16" x14ac:dyDescent="0.35">
      <c r="P2410" s="8"/>
    </row>
    <row r="2411" spans="16:16" x14ac:dyDescent="0.35">
      <c r="P2411" s="8"/>
    </row>
    <row r="2412" spans="16:16" x14ac:dyDescent="0.35">
      <c r="P2412" s="8"/>
    </row>
    <row r="2413" spans="16:16" x14ac:dyDescent="0.35">
      <c r="P2413" s="8"/>
    </row>
    <row r="2414" spans="16:16" x14ac:dyDescent="0.35">
      <c r="P2414" s="8"/>
    </row>
    <row r="2415" spans="16:16" x14ac:dyDescent="0.35">
      <c r="P2415" s="8"/>
    </row>
    <row r="2416" spans="16:16" x14ac:dyDescent="0.35">
      <c r="P2416" s="8"/>
    </row>
    <row r="2417" spans="16:16" x14ac:dyDescent="0.35">
      <c r="P2417" s="8"/>
    </row>
    <row r="2418" spans="16:16" x14ac:dyDescent="0.35">
      <c r="P2418" s="8"/>
    </row>
    <row r="2419" spans="16:16" x14ac:dyDescent="0.35">
      <c r="P2419" s="8"/>
    </row>
    <row r="2420" spans="16:16" x14ac:dyDescent="0.35">
      <c r="P2420" s="8"/>
    </row>
    <row r="2421" spans="16:16" x14ac:dyDescent="0.35">
      <c r="P2421" s="8"/>
    </row>
    <row r="2422" spans="16:16" x14ac:dyDescent="0.35">
      <c r="P2422" s="8"/>
    </row>
    <row r="2423" spans="16:16" x14ac:dyDescent="0.35">
      <c r="P2423" s="8"/>
    </row>
    <row r="2424" spans="16:16" x14ac:dyDescent="0.35">
      <c r="P2424" s="8"/>
    </row>
    <row r="2425" spans="16:16" x14ac:dyDescent="0.35">
      <c r="P2425" s="8"/>
    </row>
    <row r="2426" spans="16:16" x14ac:dyDescent="0.35">
      <c r="P2426" s="8"/>
    </row>
    <row r="2427" spans="16:16" x14ac:dyDescent="0.35">
      <c r="P2427" s="8"/>
    </row>
    <row r="2428" spans="16:16" x14ac:dyDescent="0.35">
      <c r="P2428" s="8"/>
    </row>
    <row r="2429" spans="16:16" x14ac:dyDescent="0.35">
      <c r="P2429" s="8"/>
    </row>
    <row r="2430" spans="16:16" x14ac:dyDescent="0.35">
      <c r="P2430" s="8"/>
    </row>
    <row r="2431" spans="16:16" x14ac:dyDescent="0.35">
      <c r="P2431" s="8"/>
    </row>
    <row r="2432" spans="16:16" x14ac:dyDescent="0.35">
      <c r="P2432" s="8"/>
    </row>
    <row r="2433" spans="16:16" x14ac:dyDescent="0.35">
      <c r="P2433" s="8"/>
    </row>
    <row r="2434" spans="16:16" x14ac:dyDescent="0.35">
      <c r="P2434" s="8"/>
    </row>
    <row r="2435" spans="16:16" x14ac:dyDescent="0.35">
      <c r="P2435" s="8"/>
    </row>
    <row r="2436" spans="16:16" x14ac:dyDescent="0.35">
      <c r="P2436" s="8"/>
    </row>
    <row r="2437" spans="16:16" x14ac:dyDescent="0.35">
      <c r="P2437" s="8"/>
    </row>
    <row r="2438" spans="16:16" x14ac:dyDescent="0.35">
      <c r="P2438" s="8"/>
    </row>
    <row r="2439" spans="16:16" x14ac:dyDescent="0.35">
      <c r="P2439" s="8"/>
    </row>
    <row r="2440" spans="16:16" x14ac:dyDescent="0.35">
      <c r="P2440" s="8"/>
    </row>
    <row r="2441" spans="16:16" x14ac:dyDescent="0.35">
      <c r="P2441" s="8"/>
    </row>
    <row r="2442" spans="16:16" x14ac:dyDescent="0.35">
      <c r="P2442" s="8"/>
    </row>
    <row r="2443" spans="16:16" x14ac:dyDescent="0.35">
      <c r="P2443" s="8"/>
    </row>
    <row r="2444" spans="16:16" x14ac:dyDescent="0.35">
      <c r="P2444" s="8"/>
    </row>
    <row r="2445" spans="16:16" x14ac:dyDescent="0.35">
      <c r="P2445" s="8"/>
    </row>
    <row r="2446" spans="16:16" x14ac:dyDescent="0.35">
      <c r="P2446" s="8"/>
    </row>
    <row r="2447" spans="16:16" x14ac:dyDescent="0.35">
      <c r="P2447" s="8"/>
    </row>
    <row r="2448" spans="16:16" x14ac:dyDescent="0.35">
      <c r="P2448" s="8"/>
    </row>
    <row r="2449" spans="16:16" x14ac:dyDescent="0.35">
      <c r="P2449" s="8"/>
    </row>
    <row r="2450" spans="16:16" x14ac:dyDescent="0.35">
      <c r="P2450" s="8"/>
    </row>
    <row r="2451" spans="16:16" x14ac:dyDescent="0.35">
      <c r="P2451" s="8"/>
    </row>
    <row r="2452" spans="16:16" x14ac:dyDescent="0.35">
      <c r="P2452" s="8"/>
    </row>
    <row r="2453" spans="16:16" x14ac:dyDescent="0.35">
      <c r="P2453" s="8"/>
    </row>
    <row r="2454" spans="16:16" x14ac:dyDescent="0.35">
      <c r="P2454" s="8"/>
    </row>
    <row r="2455" spans="16:16" x14ac:dyDescent="0.35">
      <c r="P2455" s="8"/>
    </row>
    <row r="2456" spans="16:16" x14ac:dyDescent="0.35">
      <c r="P2456" s="8"/>
    </row>
    <row r="2457" spans="16:16" x14ac:dyDescent="0.35">
      <c r="P2457" s="8"/>
    </row>
    <row r="2458" spans="16:16" x14ac:dyDescent="0.35">
      <c r="P2458" s="8"/>
    </row>
    <row r="2459" spans="16:16" x14ac:dyDescent="0.35">
      <c r="P2459" s="8"/>
    </row>
    <row r="2460" spans="16:16" x14ac:dyDescent="0.35">
      <c r="P2460" s="8"/>
    </row>
    <row r="2461" spans="16:16" x14ac:dyDescent="0.35">
      <c r="P2461" s="8"/>
    </row>
    <row r="2462" spans="16:16" x14ac:dyDescent="0.35">
      <c r="P2462" s="8"/>
    </row>
    <row r="2463" spans="16:16" x14ac:dyDescent="0.35">
      <c r="P2463" s="8"/>
    </row>
    <row r="2464" spans="16:16" x14ac:dyDescent="0.35">
      <c r="P2464" s="8"/>
    </row>
    <row r="2465" spans="16:16" x14ac:dyDescent="0.35">
      <c r="P2465" s="8"/>
    </row>
    <row r="2466" spans="16:16" x14ac:dyDescent="0.35">
      <c r="P2466" s="8"/>
    </row>
    <row r="2467" spans="16:16" x14ac:dyDescent="0.35">
      <c r="P2467" s="8"/>
    </row>
    <row r="2468" spans="16:16" x14ac:dyDescent="0.35">
      <c r="P2468" s="8"/>
    </row>
    <row r="2469" spans="16:16" x14ac:dyDescent="0.35">
      <c r="P2469" s="8"/>
    </row>
    <row r="2470" spans="16:16" x14ac:dyDescent="0.35">
      <c r="P2470" s="8"/>
    </row>
    <row r="2471" spans="16:16" x14ac:dyDescent="0.35">
      <c r="P2471" s="8"/>
    </row>
    <row r="2472" spans="16:16" x14ac:dyDescent="0.35">
      <c r="P2472" s="8"/>
    </row>
    <row r="2473" spans="16:16" x14ac:dyDescent="0.35">
      <c r="P2473" s="8"/>
    </row>
    <row r="2474" spans="16:16" x14ac:dyDescent="0.35">
      <c r="P2474" s="8"/>
    </row>
    <row r="2475" spans="16:16" x14ac:dyDescent="0.35">
      <c r="P2475" s="8"/>
    </row>
    <row r="2476" spans="16:16" x14ac:dyDescent="0.35">
      <c r="P2476" s="8"/>
    </row>
    <row r="2477" spans="16:16" x14ac:dyDescent="0.35">
      <c r="P2477" s="8"/>
    </row>
    <row r="2478" spans="16:16" x14ac:dyDescent="0.35">
      <c r="P2478" s="8"/>
    </row>
    <row r="2479" spans="16:16" x14ac:dyDescent="0.35">
      <c r="P2479" s="8"/>
    </row>
    <row r="2480" spans="16:16" x14ac:dyDescent="0.35">
      <c r="P2480" s="8"/>
    </row>
    <row r="2481" spans="16:16" x14ac:dyDescent="0.35">
      <c r="P2481" s="8"/>
    </row>
    <row r="2482" spans="16:16" x14ac:dyDescent="0.35">
      <c r="P2482" s="8"/>
    </row>
    <row r="2483" spans="16:16" x14ac:dyDescent="0.35">
      <c r="P2483" s="8"/>
    </row>
    <row r="2484" spans="16:16" x14ac:dyDescent="0.35">
      <c r="P2484" s="8"/>
    </row>
    <row r="2485" spans="16:16" x14ac:dyDescent="0.35">
      <c r="P2485" s="8"/>
    </row>
    <row r="2486" spans="16:16" x14ac:dyDescent="0.35">
      <c r="P2486" s="8"/>
    </row>
    <row r="2487" spans="16:16" x14ac:dyDescent="0.35">
      <c r="P2487" s="8"/>
    </row>
    <row r="2488" spans="16:16" x14ac:dyDescent="0.35">
      <c r="P2488" s="8"/>
    </row>
    <row r="2489" spans="16:16" x14ac:dyDescent="0.35">
      <c r="P2489" s="8"/>
    </row>
    <row r="2490" spans="16:16" x14ac:dyDescent="0.35">
      <c r="P2490" s="8"/>
    </row>
    <row r="2491" spans="16:16" x14ac:dyDescent="0.35">
      <c r="P2491" s="8"/>
    </row>
    <row r="2492" spans="16:16" x14ac:dyDescent="0.35">
      <c r="P2492" s="8"/>
    </row>
    <row r="2493" spans="16:16" x14ac:dyDescent="0.35">
      <c r="P2493" s="8"/>
    </row>
    <row r="2494" spans="16:16" x14ac:dyDescent="0.35">
      <c r="P2494" s="8"/>
    </row>
    <row r="2495" spans="16:16" x14ac:dyDescent="0.35">
      <c r="P2495" s="8"/>
    </row>
    <row r="2496" spans="16:16" x14ac:dyDescent="0.35">
      <c r="P2496" s="8"/>
    </row>
    <row r="2497" spans="16:16" x14ac:dyDescent="0.35">
      <c r="P2497" s="8"/>
    </row>
    <row r="2498" spans="16:16" x14ac:dyDescent="0.35">
      <c r="P2498" s="8"/>
    </row>
    <row r="2499" spans="16:16" x14ac:dyDescent="0.35">
      <c r="P2499" s="8"/>
    </row>
    <row r="2500" spans="16:16" x14ac:dyDescent="0.35">
      <c r="P2500" s="8"/>
    </row>
    <row r="2501" spans="16:16" x14ac:dyDescent="0.35">
      <c r="P2501" s="8"/>
    </row>
    <row r="2502" spans="16:16" x14ac:dyDescent="0.35">
      <c r="P2502" s="8"/>
    </row>
    <row r="2503" spans="16:16" x14ac:dyDescent="0.35">
      <c r="P2503" s="8"/>
    </row>
    <row r="2504" spans="16:16" x14ac:dyDescent="0.35">
      <c r="P2504" s="8"/>
    </row>
    <row r="2505" spans="16:16" x14ac:dyDescent="0.35">
      <c r="P2505" s="8"/>
    </row>
    <row r="2506" spans="16:16" x14ac:dyDescent="0.35">
      <c r="P2506" s="8"/>
    </row>
    <row r="2507" spans="16:16" x14ac:dyDescent="0.35">
      <c r="P2507" s="8"/>
    </row>
    <row r="2508" spans="16:16" x14ac:dyDescent="0.35">
      <c r="P2508" s="8"/>
    </row>
    <row r="2509" spans="16:16" x14ac:dyDescent="0.35">
      <c r="P2509" s="8"/>
    </row>
    <row r="2510" spans="16:16" x14ac:dyDescent="0.35">
      <c r="P2510" s="8"/>
    </row>
    <row r="2511" spans="16:16" x14ac:dyDescent="0.35">
      <c r="P2511" s="8"/>
    </row>
    <row r="2512" spans="16:16" x14ac:dyDescent="0.35">
      <c r="P2512" s="8"/>
    </row>
    <row r="2513" spans="16:16" x14ac:dyDescent="0.35">
      <c r="P2513" s="8"/>
    </row>
    <row r="2514" spans="16:16" x14ac:dyDescent="0.35">
      <c r="P2514" s="8"/>
    </row>
    <row r="2515" spans="16:16" x14ac:dyDescent="0.35">
      <c r="P2515" s="8"/>
    </row>
    <row r="2516" spans="16:16" x14ac:dyDescent="0.35">
      <c r="P2516" s="8"/>
    </row>
    <row r="2517" spans="16:16" x14ac:dyDescent="0.35">
      <c r="P2517" s="8"/>
    </row>
    <row r="2518" spans="16:16" x14ac:dyDescent="0.35">
      <c r="P2518" s="8"/>
    </row>
    <row r="2519" spans="16:16" x14ac:dyDescent="0.35">
      <c r="P2519" s="8"/>
    </row>
    <row r="2520" spans="16:16" x14ac:dyDescent="0.35">
      <c r="P2520" s="8"/>
    </row>
    <row r="2521" spans="16:16" x14ac:dyDescent="0.35">
      <c r="P2521" s="8"/>
    </row>
    <row r="2522" spans="16:16" x14ac:dyDescent="0.35">
      <c r="P2522" s="8"/>
    </row>
    <row r="2523" spans="16:16" x14ac:dyDescent="0.35">
      <c r="P2523" s="8"/>
    </row>
    <row r="2524" spans="16:16" x14ac:dyDescent="0.35">
      <c r="P2524" s="8"/>
    </row>
    <row r="2525" spans="16:16" x14ac:dyDescent="0.35">
      <c r="P2525" s="8"/>
    </row>
    <row r="2526" spans="16:16" x14ac:dyDescent="0.35">
      <c r="P2526" s="8"/>
    </row>
    <row r="2527" spans="16:16" x14ac:dyDescent="0.35">
      <c r="P2527" s="8"/>
    </row>
    <row r="2528" spans="16:16" x14ac:dyDescent="0.35">
      <c r="P2528" s="8"/>
    </row>
    <row r="2529" spans="16:16" x14ac:dyDescent="0.35">
      <c r="P2529" s="8"/>
    </row>
    <row r="2530" spans="16:16" x14ac:dyDescent="0.35">
      <c r="P2530" s="8"/>
    </row>
    <row r="2531" spans="16:16" x14ac:dyDescent="0.35">
      <c r="P2531" s="8"/>
    </row>
    <row r="2532" spans="16:16" x14ac:dyDescent="0.35">
      <c r="P2532" s="8"/>
    </row>
    <row r="2533" spans="16:16" x14ac:dyDescent="0.35">
      <c r="P2533" s="8"/>
    </row>
    <row r="2534" spans="16:16" x14ac:dyDescent="0.35">
      <c r="P2534" s="8"/>
    </row>
    <row r="2535" spans="16:16" x14ac:dyDescent="0.35">
      <c r="P2535" s="8"/>
    </row>
    <row r="2536" spans="16:16" x14ac:dyDescent="0.35">
      <c r="P2536" s="8"/>
    </row>
    <row r="2537" spans="16:16" x14ac:dyDescent="0.35">
      <c r="P2537" s="8"/>
    </row>
    <row r="2538" spans="16:16" x14ac:dyDescent="0.35">
      <c r="P2538" s="8"/>
    </row>
    <row r="2539" spans="16:16" x14ac:dyDescent="0.35">
      <c r="P2539" s="8"/>
    </row>
    <row r="2540" spans="16:16" x14ac:dyDescent="0.35">
      <c r="P2540" s="8"/>
    </row>
    <row r="2541" spans="16:16" x14ac:dyDescent="0.35">
      <c r="P2541" s="8"/>
    </row>
    <row r="2542" spans="16:16" x14ac:dyDescent="0.35">
      <c r="P2542" s="8"/>
    </row>
    <row r="2543" spans="16:16" x14ac:dyDescent="0.35">
      <c r="P2543" s="8"/>
    </row>
    <row r="2544" spans="16:16" x14ac:dyDescent="0.35">
      <c r="P2544" s="8"/>
    </row>
    <row r="2545" spans="16:16" x14ac:dyDescent="0.35">
      <c r="P2545" s="8"/>
    </row>
    <row r="2546" spans="16:16" x14ac:dyDescent="0.35">
      <c r="P2546" s="8"/>
    </row>
    <row r="2547" spans="16:16" x14ac:dyDescent="0.35">
      <c r="P2547" s="8"/>
    </row>
    <row r="2548" spans="16:16" x14ac:dyDescent="0.35">
      <c r="P2548" s="8"/>
    </row>
    <row r="2549" spans="16:16" x14ac:dyDescent="0.35">
      <c r="P2549" s="8"/>
    </row>
    <row r="2550" spans="16:16" x14ac:dyDescent="0.35">
      <c r="P2550" s="8"/>
    </row>
    <row r="2551" spans="16:16" x14ac:dyDescent="0.35">
      <c r="P2551" s="8"/>
    </row>
    <row r="2552" spans="16:16" x14ac:dyDescent="0.35">
      <c r="P2552" s="8"/>
    </row>
    <row r="2553" spans="16:16" x14ac:dyDescent="0.35">
      <c r="P2553" s="8"/>
    </row>
    <row r="2554" spans="16:16" x14ac:dyDescent="0.35">
      <c r="P2554" s="8"/>
    </row>
    <row r="2555" spans="16:16" x14ac:dyDescent="0.35">
      <c r="P2555" s="8"/>
    </row>
    <row r="2556" spans="16:16" x14ac:dyDescent="0.35">
      <c r="P2556" s="8"/>
    </row>
    <row r="2557" spans="16:16" x14ac:dyDescent="0.35">
      <c r="P2557" s="8"/>
    </row>
    <row r="2558" spans="16:16" x14ac:dyDescent="0.35">
      <c r="P2558" s="8"/>
    </row>
    <row r="2559" spans="16:16" x14ac:dyDescent="0.35">
      <c r="P2559" s="8"/>
    </row>
    <row r="2560" spans="16:16" x14ac:dyDescent="0.35">
      <c r="P2560" s="8"/>
    </row>
    <row r="2561" spans="16:16" x14ac:dyDescent="0.35">
      <c r="P2561" s="8"/>
    </row>
    <row r="2562" spans="16:16" x14ac:dyDescent="0.35">
      <c r="P2562" s="8"/>
    </row>
    <row r="2563" spans="16:16" x14ac:dyDescent="0.35">
      <c r="P2563" s="8"/>
    </row>
    <row r="2564" spans="16:16" x14ac:dyDescent="0.35">
      <c r="P2564" s="8"/>
    </row>
    <row r="2565" spans="16:16" x14ac:dyDescent="0.35">
      <c r="P2565" s="8"/>
    </row>
    <row r="2566" spans="16:16" x14ac:dyDescent="0.35">
      <c r="P2566" s="8"/>
    </row>
    <row r="2567" spans="16:16" x14ac:dyDescent="0.35">
      <c r="P2567" s="8"/>
    </row>
    <row r="2568" spans="16:16" x14ac:dyDescent="0.35">
      <c r="P2568" s="8"/>
    </row>
    <row r="2569" spans="16:16" x14ac:dyDescent="0.35">
      <c r="P2569" s="8"/>
    </row>
    <row r="2570" spans="16:16" x14ac:dyDescent="0.35">
      <c r="P2570" s="8"/>
    </row>
    <row r="2571" spans="16:16" x14ac:dyDescent="0.35">
      <c r="P2571" s="8"/>
    </row>
    <row r="2572" spans="16:16" x14ac:dyDescent="0.35">
      <c r="P2572" s="8"/>
    </row>
    <row r="2573" spans="16:16" x14ac:dyDescent="0.35">
      <c r="P2573" s="8"/>
    </row>
    <row r="2574" spans="16:16" x14ac:dyDescent="0.35">
      <c r="P2574" s="8"/>
    </row>
    <row r="2575" spans="16:16" x14ac:dyDescent="0.35">
      <c r="P2575" s="8"/>
    </row>
    <row r="2576" spans="16:16" x14ac:dyDescent="0.35">
      <c r="P2576" s="8"/>
    </row>
    <row r="2577" spans="16:16" x14ac:dyDescent="0.35">
      <c r="P2577" s="8"/>
    </row>
    <row r="2578" spans="16:16" x14ac:dyDescent="0.35">
      <c r="P2578" s="8"/>
    </row>
    <row r="2579" spans="16:16" x14ac:dyDescent="0.35">
      <c r="P2579" s="8"/>
    </row>
    <row r="2580" spans="16:16" x14ac:dyDescent="0.35">
      <c r="P2580" s="8"/>
    </row>
    <row r="2581" spans="16:16" x14ac:dyDescent="0.35">
      <c r="P2581" s="8"/>
    </row>
    <row r="2582" spans="16:16" x14ac:dyDescent="0.35">
      <c r="P2582" s="8"/>
    </row>
    <row r="2583" spans="16:16" x14ac:dyDescent="0.35">
      <c r="P2583" s="8"/>
    </row>
    <row r="2584" spans="16:16" x14ac:dyDescent="0.35">
      <c r="P2584" s="8"/>
    </row>
    <row r="2585" spans="16:16" x14ac:dyDescent="0.35">
      <c r="P2585" s="8"/>
    </row>
    <row r="2586" spans="16:16" x14ac:dyDescent="0.35">
      <c r="P2586" s="8"/>
    </row>
    <row r="2587" spans="16:16" x14ac:dyDescent="0.35">
      <c r="P2587" s="8"/>
    </row>
    <row r="2588" spans="16:16" x14ac:dyDescent="0.35">
      <c r="P2588" s="8"/>
    </row>
    <row r="2589" spans="16:16" x14ac:dyDescent="0.35">
      <c r="P2589" s="8"/>
    </row>
    <row r="2590" spans="16:16" x14ac:dyDescent="0.35">
      <c r="P2590" s="8"/>
    </row>
    <row r="2591" spans="16:16" x14ac:dyDescent="0.35">
      <c r="P2591" s="8"/>
    </row>
    <row r="2592" spans="16:16" x14ac:dyDescent="0.35">
      <c r="P2592" s="8"/>
    </row>
    <row r="2593" spans="16:16" x14ac:dyDescent="0.35">
      <c r="P2593" s="8"/>
    </row>
    <row r="2594" spans="16:16" x14ac:dyDescent="0.35">
      <c r="P2594" s="8"/>
    </row>
    <row r="2595" spans="16:16" x14ac:dyDescent="0.35">
      <c r="P2595" s="8"/>
    </row>
    <row r="2596" spans="16:16" x14ac:dyDescent="0.35">
      <c r="P2596" s="8"/>
    </row>
    <row r="2597" spans="16:16" x14ac:dyDescent="0.35">
      <c r="P2597" s="8"/>
    </row>
    <row r="2598" spans="16:16" x14ac:dyDescent="0.35">
      <c r="P2598" s="8"/>
    </row>
    <row r="2599" spans="16:16" x14ac:dyDescent="0.35">
      <c r="P2599" s="8"/>
    </row>
    <row r="2600" spans="16:16" x14ac:dyDescent="0.35">
      <c r="P2600" s="8"/>
    </row>
    <row r="2601" spans="16:16" x14ac:dyDescent="0.35">
      <c r="P2601" s="8"/>
    </row>
    <row r="2602" spans="16:16" x14ac:dyDescent="0.35">
      <c r="P2602" s="8"/>
    </row>
    <row r="2603" spans="16:16" x14ac:dyDescent="0.35">
      <c r="P2603" s="8"/>
    </row>
    <row r="2604" spans="16:16" x14ac:dyDescent="0.35">
      <c r="P2604" s="8"/>
    </row>
    <row r="2605" spans="16:16" x14ac:dyDescent="0.35">
      <c r="P2605" s="8"/>
    </row>
    <row r="2606" spans="16:16" x14ac:dyDescent="0.35">
      <c r="P2606" s="8"/>
    </row>
    <row r="2607" spans="16:16" x14ac:dyDescent="0.35">
      <c r="P2607" s="8"/>
    </row>
    <row r="2608" spans="16:16" x14ac:dyDescent="0.35">
      <c r="P2608" s="8"/>
    </row>
    <row r="2609" spans="16:16" x14ac:dyDescent="0.35">
      <c r="P2609" s="8"/>
    </row>
    <row r="2610" spans="16:16" x14ac:dyDescent="0.35">
      <c r="P2610" s="8"/>
    </row>
    <row r="2611" spans="16:16" x14ac:dyDescent="0.35">
      <c r="P2611" s="8"/>
    </row>
    <row r="2612" spans="16:16" x14ac:dyDescent="0.35">
      <c r="P2612" s="8"/>
    </row>
    <row r="2613" spans="16:16" x14ac:dyDescent="0.35">
      <c r="P2613" s="8"/>
    </row>
    <row r="2614" spans="16:16" x14ac:dyDescent="0.35">
      <c r="P2614" s="8"/>
    </row>
    <row r="2615" spans="16:16" x14ac:dyDescent="0.35">
      <c r="P2615" s="8"/>
    </row>
    <row r="2616" spans="16:16" x14ac:dyDescent="0.35">
      <c r="P2616" s="8"/>
    </row>
    <row r="2617" spans="16:16" x14ac:dyDescent="0.35">
      <c r="P2617" s="8"/>
    </row>
    <row r="2618" spans="16:16" x14ac:dyDescent="0.35">
      <c r="P2618" s="8"/>
    </row>
    <row r="2619" spans="16:16" x14ac:dyDescent="0.35">
      <c r="P2619" s="8"/>
    </row>
    <row r="2620" spans="16:16" x14ac:dyDescent="0.35">
      <c r="P2620" s="8"/>
    </row>
    <row r="2621" spans="16:16" x14ac:dyDescent="0.35">
      <c r="P2621" s="8"/>
    </row>
    <row r="2622" spans="16:16" x14ac:dyDescent="0.35">
      <c r="P2622" s="8"/>
    </row>
    <row r="2623" spans="16:16" x14ac:dyDescent="0.35">
      <c r="P2623" s="8"/>
    </row>
    <row r="2624" spans="16:16" x14ac:dyDescent="0.35">
      <c r="P2624" s="8"/>
    </row>
    <row r="2625" spans="16:16" x14ac:dyDescent="0.35">
      <c r="P2625" s="8"/>
    </row>
    <row r="2626" spans="16:16" x14ac:dyDescent="0.35">
      <c r="P2626" s="8"/>
    </row>
    <row r="2627" spans="16:16" x14ac:dyDescent="0.35">
      <c r="P2627" s="8"/>
    </row>
    <row r="2628" spans="16:16" x14ac:dyDescent="0.35">
      <c r="P2628" s="8"/>
    </row>
    <row r="2629" spans="16:16" x14ac:dyDescent="0.35">
      <c r="P2629" s="8"/>
    </row>
    <row r="2630" spans="16:16" x14ac:dyDescent="0.35">
      <c r="P2630" s="8"/>
    </row>
    <row r="2631" spans="16:16" x14ac:dyDescent="0.35">
      <c r="P2631" s="8"/>
    </row>
    <row r="2632" spans="16:16" x14ac:dyDescent="0.35">
      <c r="P2632" s="8"/>
    </row>
    <row r="2633" spans="16:16" x14ac:dyDescent="0.35">
      <c r="P2633" s="8"/>
    </row>
    <row r="2634" spans="16:16" x14ac:dyDescent="0.35">
      <c r="P2634" s="8"/>
    </row>
    <row r="2635" spans="16:16" x14ac:dyDescent="0.35">
      <c r="P2635" s="8"/>
    </row>
    <row r="2636" spans="16:16" x14ac:dyDescent="0.35">
      <c r="P2636" s="8"/>
    </row>
    <row r="2637" spans="16:16" x14ac:dyDescent="0.35">
      <c r="P2637" s="8"/>
    </row>
    <row r="2638" spans="16:16" x14ac:dyDescent="0.35">
      <c r="P2638" s="8"/>
    </row>
    <row r="2639" spans="16:16" x14ac:dyDescent="0.35">
      <c r="P2639" s="8"/>
    </row>
    <row r="2640" spans="16:16" x14ac:dyDescent="0.35">
      <c r="P2640" s="8"/>
    </row>
    <row r="2641" spans="16:16" x14ac:dyDescent="0.35">
      <c r="P2641" s="8"/>
    </row>
    <row r="2642" spans="16:16" x14ac:dyDescent="0.35">
      <c r="P2642" s="8"/>
    </row>
    <row r="2643" spans="16:16" x14ac:dyDescent="0.35">
      <c r="P2643" s="8"/>
    </row>
    <row r="2644" spans="16:16" x14ac:dyDescent="0.35">
      <c r="P2644" s="8"/>
    </row>
    <row r="2645" spans="16:16" x14ac:dyDescent="0.35">
      <c r="P2645" s="8"/>
    </row>
    <row r="2646" spans="16:16" x14ac:dyDescent="0.35">
      <c r="P2646" s="8"/>
    </row>
    <row r="2647" spans="16:16" x14ac:dyDescent="0.35">
      <c r="P2647" s="8"/>
    </row>
    <row r="2648" spans="16:16" x14ac:dyDescent="0.35">
      <c r="P2648" s="8"/>
    </row>
    <row r="2649" spans="16:16" x14ac:dyDescent="0.35">
      <c r="P2649" s="8"/>
    </row>
    <row r="2650" spans="16:16" x14ac:dyDescent="0.35">
      <c r="P2650" s="8"/>
    </row>
    <row r="2651" spans="16:16" x14ac:dyDescent="0.35">
      <c r="P2651" s="8"/>
    </row>
    <row r="2652" spans="16:16" x14ac:dyDescent="0.35">
      <c r="P2652" s="8"/>
    </row>
    <row r="2653" spans="16:16" x14ac:dyDescent="0.35">
      <c r="P2653" s="8"/>
    </row>
    <row r="2654" spans="16:16" x14ac:dyDescent="0.35">
      <c r="P2654" s="8"/>
    </row>
    <row r="2655" spans="16:16" x14ac:dyDescent="0.35">
      <c r="P2655" s="8"/>
    </row>
    <row r="2656" spans="16:16" x14ac:dyDescent="0.35">
      <c r="P2656" s="8"/>
    </row>
    <row r="2657" spans="16:16" x14ac:dyDescent="0.35">
      <c r="P2657" s="8"/>
    </row>
    <row r="2658" spans="16:16" x14ac:dyDescent="0.35">
      <c r="P2658" s="8"/>
    </row>
    <row r="2659" spans="16:16" x14ac:dyDescent="0.35">
      <c r="P2659" s="8"/>
    </row>
    <row r="2660" spans="16:16" x14ac:dyDescent="0.35">
      <c r="P2660" s="8"/>
    </row>
    <row r="2661" spans="16:16" x14ac:dyDescent="0.35">
      <c r="P2661" s="8"/>
    </row>
    <row r="2662" spans="16:16" x14ac:dyDescent="0.35">
      <c r="P2662" s="8"/>
    </row>
    <row r="2663" spans="16:16" x14ac:dyDescent="0.35">
      <c r="P2663" s="8"/>
    </row>
    <row r="2664" spans="16:16" x14ac:dyDescent="0.35">
      <c r="P2664" s="8"/>
    </row>
    <row r="2665" spans="16:16" x14ac:dyDescent="0.35">
      <c r="P2665" s="8"/>
    </row>
    <row r="2666" spans="16:16" x14ac:dyDescent="0.35">
      <c r="P2666" s="8"/>
    </row>
    <row r="2667" spans="16:16" x14ac:dyDescent="0.35">
      <c r="P2667" s="8"/>
    </row>
    <row r="2668" spans="16:16" x14ac:dyDescent="0.35">
      <c r="P2668" s="8"/>
    </row>
    <row r="2669" spans="16:16" x14ac:dyDescent="0.35">
      <c r="P2669" s="8"/>
    </row>
    <row r="2670" spans="16:16" x14ac:dyDescent="0.35">
      <c r="P2670" s="8"/>
    </row>
    <row r="2671" spans="16:16" x14ac:dyDescent="0.35">
      <c r="P2671" s="8"/>
    </row>
    <row r="2672" spans="16:16" x14ac:dyDescent="0.35">
      <c r="P2672" s="8"/>
    </row>
    <row r="2673" spans="16:16" x14ac:dyDescent="0.35">
      <c r="P2673" s="8"/>
    </row>
    <row r="2674" spans="16:16" x14ac:dyDescent="0.35">
      <c r="P2674" s="8"/>
    </row>
    <row r="2675" spans="16:16" x14ac:dyDescent="0.35">
      <c r="P2675" s="8"/>
    </row>
    <row r="2676" spans="16:16" x14ac:dyDescent="0.35">
      <c r="P2676" s="8"/>
    </row>
    <row r="2677" spans="16:16" x14ac:dyDescent="0.35">
      <c r="P2677" s="8"/>
    </row>
    <row r="2678" spans="16:16" x14ac:dyDescent="0.35">
      <c r="P2678" s="8"/>
    </row>
    <row r="2679" spans="16:16" x14ac:dyDescent="0.35">
      <c r="P2679" s="8"/>
    </row>
    <row r="2680" spans="16:16" x14ac:dyDescent="0.35">
      <c r="P2680" s="8"/>
    </row>
    <row r="2681" spans="16:16" x14ac:dyDescent="0.35">
      <c r="P2681" s="8"/>
    </row>
    <row r="2682" spans="16:16" x14ac:dyDescent="0.35">
      <c r="P2682" s="8"/>
    </row>
    <row r="2683" spans="16:16" x14ac:dyDescent="0.35">
      <c r="P2683" s="8"/>
    </row>
    <row r="2684" spans="16:16" x14ac:dyDescent="0.35">
      <c r="P2684" s="8"/>
    </row>
    <row r="2685" spans="16:16" x14ac:dyDescent="0.35">
      <c r="P2685" s="8"/>
    </row>
    <row r="2686" spans="16:16" x14ac:dyDescent="0.35">
      <c r="P2686" s="8"/>
    </row>
    <row r="2687" spans="16:16" x14ac:dyDescent="0.35">
      <c r="P2687" s="8"/>
    </row>
    <row r="2688" spans="16:16" x14ac:dyDescent="0.35">
      <c r="P2688" s="8"/>
    </row>
    <row r="2689" spans="16:16" x14ac:dyDescent="0.35">
      <c r="P2689" s="8"/>
    </row>
    <row r="2690" spans="16:16" x14ac:dyDescent="0.35">
      <c r="P2690" s="8"/>
    </row>
    <row r="2691" spans="16:16" x14ac:dyDescent="0.35">
      <c r="P2691" s="8"/>
    </row>
    <row r="2692" spans="16:16" x14ac:dyDescent="0.35">
      <c r="P2692" s="8"/>
    </row>
    <row r="2693" spans="16:16" x14ac:dyDescent="0.35">
      <c r="P2693" s="8"/>
    </row>
    <row r="2694" spans="16:16" x14ac:dyDescent="0.35">
      <c r="P2694" s="8"/>
    </row>
    <row r="2695" spans="16:16" x14ac:dyDescent="0.35">
      <c r="P2695" s="8"/>
    </row>
    <row r="2696" spans="16:16" x14ac:dyDescent="0.35">
      <c r="P2696" s="8"/>
    </row>
    <row r="2697" spans="16:16" x14ac:dyDescent="0.35">
      <c r="P2697" s="8"/>
    </row>
    <row r="2698" spans="16:16" x14ac:dyDescent="0.35">
      <c r="P2698" s="8"/>
    </row>
    <row r="2699" spans="16:16" x14ac:dyDescent="0.35">
      <c r="P2699" s="8"/>
    </row>
    <row r="2700" spans="16:16" x14ac:dyDescent="0.35">
      <c r="P2700" s="8"/>
    </row>
    <row r="2701" spans="16:16" x14ac:dyDescent="0.35">
      <c r="P2701" s="8"/>
    </row>
    <row r="2702" spans="16:16" x14ac:dyDescent="0.35">
      <c r="P2702" s="8"/>
    </row>
    <row r="2703" spans="16:16" x14ac:dyDescent="0.35">
      <c r="P2703" s="8"/>
    </row>
    <row r="2704" spans="16:16" x14ac:dyDescent="0.35">
      <c r="P2704" s="8"/>
    </row>
    <row r="2705" spans="16:16" x14ac:dyDescent="0.35">
      <c r="P2705" s="8"/>
    </row>
    <row r="2706" spans="16:16" x14ac:dyDescent="0.35">
      <c r="P2706" s="8"/>
    </row>
    <row r="2707" spans="16:16" x14ac:dyDescent="0.35">
      <c r="P2707" s="8"/>
    </row>
    <row r="2708" spans="16:16" x14ac:dyDescent="0.35">
      <c r="P2708" s="8"/>
    </row>
    <row r="2709" spans="16:16" x14ac:dyDescent="0.35">
      <c r="P2709" s="8"/>
    </row>
    <row r="2710" spans="16:16" x14ac:dyDescent="0.35">
      <c r="P2710" s="8"/>
    </row>
    <row r="2711" spans="16:16" x14ac:dyDescent="0.35">
      <c r="P2711" s="8"/>
    </row>
    <row r="2712" spans="16:16" x14ac:dyDescent="0.35">
      <c r="P2712" s="8"/>
    </row>
    <row r="2713" spans="16:16" x14ac:dyDescent="0.35">
      <c r="P2713" s="8"/>
    </row>
    <row r="2714" spans="16:16" x14ac:dyDescent="0.35">
      <c r="P2714" s="8"/>
    </row>
    <row r="2715" spans="16:16" x14ac:dyDescent="0.35">
      <c r="P2715" s="8"/>
    </row>
    <row r="2716" spans="16:16" x14ac:dyDescent="0.35">
      <c r="P2716" s="8"/>
    </row>
    <row r="2717" spans="16:16" x14ac:dyDescent="0.35">
      <c r="P2717" s="8"/>
    </row>
    <row r="2718" spans="16:16" x14ac:dyDescent="0.35">
      <c r="P2718" s="8"/>
    </row>
    <row r="2719" spans="16:16" x14ac:dyDescent="0.35">
      <c r="P2719" s="8"/>
    </row>
    <row r="2720" spans="16:16" x14ac:dyDescent="0.35">
      <c r="P2720" s="8"/>
    </row>
    <row r="2721" spans="16:16" x14ac:dyDescent="0.35">
      <c r="P2721" s="8"/>
    </row>
    <row r="2722" spans="16:16" x14ac:dyDescent="0.35">
      <c r="P2722" s="8"/>
    </row>
    <row r="2723" spans="16:16" x14ac:dyDescent="0.35">
      <c r="P2723" s="8"/>
    </row>
    <row r="2724" spans="16:16" x14ac:dyDescent="0.35">
      <c r="P2724" s="8"/>
    </row>
    <row r="2725" spans="16:16" x14ac:dyDescent="0.35">
      <c r="P2725" s="8"/>
    </row>
    <row r="2726" spans="16:16" x14ac:dyDescent="0.35">
      <c r="P2726" s="8"/>
    </row>
    <row r="2727" spans="16:16" x14ac:dyDescent="0.35">
      <c r="P2727" s="8"/>
    </row>
    <row r="2728" spans="16:16" x14ac:dyDescent="0.35">
      <c r="P2728" s="8"/>
    </row>
    <row r="2729" spans="16:16" x14ac:dyDescent="0.35">
      <c r="P2729" s="8"/>
    </row>
    <row r="2730" spans="16:16" x14ac:dyDescent="0.35">
      <c r="P2730" s="8"/>
    </row>
    <row r="2731" spans="16:16" x14ac:dyDescent="0.35">
      <c r="P2731" s="8"/>
    </row>
    <row r="2732" spans="16:16" x14ac:dyDescent="0.35">
      <c r="P2732" s="8"/>
    </row>
    <row r="2733" spans="16:16" x14ac:dyDescent="0.35">
      <c r="P2733" s="8"/>
    </row>
    <row r="2734" spans="16:16" x14ac:dyDescent="0.35">
      <c r="P2734" s="8"/>
    </row>
    <row r="2735" spans="16:16" x14ac:dyDescent="0.35">
      <c r="P2735" s="8"/>
    </row>
    <row r="2736" spans="16:16" x14ac:dyDescent="0.35">
      <c r="P2736" s="8"/>
    </row>
    <row r="2737" spans="16:16" x14ac:dyDescent="0.35">
      <c r="P2737" s="8"/>
    </row>
    <row r="2738" spans="16:16" x14ac:dyDescent="0.35">
      <c r="P2738" s="8"/>
    </row>
    <row r="2739" spans="16:16" x14ac:dyDescent="0.35">
      <c r="P2739" s="8"/>
    </row>
    <row r="2740" spans="16:16" x14ac:dyDescent="0.35">
      <c r="P2740" s="8"/>
    </row>
    <row r="2741" spans="16:16" x14ac:dyDescent="0.35">
      <c r="P2741" s="8"/>
    </row>
    <row r="2742" spans="16:16" x14ac:dyDescent="0.35">
      <c r="P2742" s="8"/>
    </row>
    <row r="2743" spans="16:16" x14ac:dyDescent="0.35">
      <c r="P2743" s="8"/>
    </row>
    <row r="2744" spans="16:16" x14ac:dyDescent="0.35">
      <c r="P2744" s="8"/>
    </row>
    <row r="2745" spans="16:16" x14ac:dyDescent="0.35">
      <c r="P2745" s="8"/>
    </row>
    <row r="2746" spans="16:16" x14ac:dyDescent="0.35">
      <c r="P2746" s="8"/>
    </row>
    <row r="2747" spans="16:16" x14ac:dyDescent="0.35">
      <c r="P2747" s="8"/>
    </row>
    <row r="2748" spans="16:16" x14ac:dyDescent="0.35">
      <c r="P2748" s="8"/>
    </row>
    <row r="2749" spans="16:16" x14ac:dyDescent="0.35">
      <c r="P2749" s="8"/>
    </row>
    <row r="2750" spans="16:16" x14ac:dyDescent="0.35">
      <c r="P2750" s="8"/>
    </row>
    <row r="2751" spans="16:16" x14ac:dyDescent="0.35">
      <c r="P2751" s="8"/>
    </row>
    <row r="2752" spans="16:16" x14ac:dyDescent="0.35">
      <c r="P2752" s="8"/>
    </row>
    <row r="2753" spans="16:16" x14ac:dyDescent="0.35">
      <c r="P2753" s="8"/>
    </row>
    <row r="2754" spans="16:16" x14ac:dyDescent="0.35">
      <c r="P2754" s="8"/>
    </row>
    <row r="2755" spans="16:16" x14ac:dyDescent="0.35">
      <c r="P2755" s="8"/>
    </row>
    <row r="2756" spans="16:16" x14ac:dyDescent="0.35">
      <c r="P2756" s="8"/>
    </row>
    <row r="2757" spans="16:16" x14ac:dyDescent="0.35">
      <c r="P2757" s="8"/>
    </row>
    <row r="2758" spans="16:16" x14ac:dyDescent="0.35">
      <c r="P2758" s="8"/>
    </row>
    <row r="2759" spans="16:16" x14ac:dyDescent="0.35">
      <c r="P2759" s="8"/>
    </row>
    <row r="2760" spans="16:16" x14ac:dyDescent="0.35">
      <c r="P2760" s="8"/>
    </row>
    <row r="2761" spans="16:16" x14ac:dyDescent="0.35">
      <c r="P2761" s="8"/>
    </row>
    <row r="2762" spans="16:16" x14ac:dyDescent="0.35">
      <c r="P2762" s="8"/>
    </row>
    <row r="2763" spans="16:16" x14ac:dyDescent="0.35">
      <c r="P2763" s="8"/>
    </row>
    <row r="2764" spans="16:16" x14ac:dyDescent="0.35">
      <c r="P2764" s="8"/>
    </row>
    <row r="2765" spans="16:16" x14ac:dyDescent="0.35">
      <c r="P2765" s="8"/>
    </row>
    <row r="2766" spans="16:16" x14ac:dyDescent="0.35">
      <c r="P2766" s="8"/>
    </row>
    <row r="2767" spans="16:16" x14ac:dyDescent="0.35">
      <c r="P2767" s="8"/>
    </row>
    <row r="2768" spans="16:16" x14ac:dyDescent="0.35">
      <c r="P2768" s="8"/>
    </row>
    <row r="2769" spans="16:16" x14ac:dyDescent="0.35">
      <c r="P2769" s="8"/>
    </row>
    <row r="2770" spans="16:16" x14ac:dyDescent="0.35">
      <c r="P2770" s="8"/>
    </row>
    <row r="2771" spans="16:16" x14ac:dyDescent="0.35">
      <c r="P2771" s="8"/>
    </row>
    <row r="2772" spans="16:16" x14ac:dyDescent="0.35">
      <c r="P2772" s="8"/>
    </row>
    <row r="2773" spans="16:16" x14ac:dyDescent="0.35">
      <c r="P2773" s="8"/>
    </row>
    <row r="2774" spans="16:16" x14ac:dyDescent="0.35">
      <c r="P2774" s="8"/>
    </row>
    <row r="2775" spans="16:16" x14ac:dyDescent="0.35">
      <c r="P2775" s="8"/>
    </row>
    <row r="2776" spans="16:16" x14ac:dyDescent="0.35">
      <c r="P2776" s="8"/>
    </row>
    <row r="2777" spans="16:16" x14ac:dyDescent="0.35">
      <c r="P2777" s="8"/>
    </row>
    <row r="2778" spans="16:16" x14ac:dyDescent="0.35">
      <c r="P2778" s="8"/>
    </row>
    <row r="2779" spans="16:16" x14ac:dyDescent="0.35">
      <c r="P2779" s="8"/>
    </row>
    <row r="2780" spans="16:16" x14ac:dyDescent="0.35">
      <c r="P2780" s="8"/>
    </row>
    <row r="2781" spans="16:16" x14ac:dyDescent="0.35">
      <c r="P2781" s="8"/>
    </row>
    <row r="2782" spans="16:16" x14ac:dyDescent="0.35">
      <c r="P2782" s="8"/>
    </row>
    <row r="2783" spans="16:16" x14ac:dyDescent="0.35">
      <c r="P2783" s="8"/>
    </row>
    <row r="2784" spans="16:16" x14ac:dyDescent="0.35">
      <c r="P2784" s="8"/>
    </row>
    <row r="2785" spans="16:16" x14ac:dyDescent="0.35">
      <c r="P2785" s="8"/>
    </row>
    <row r="2786" spans="16:16" x14ac:dyDescent="0.35">
      <c r="P2786" s="8"/>
    </row>
    <row r="2787" spans="16:16" x14ac:dyDescent="0.35">
      <c r="P2787" s="8"/>
    </row>
    <row r="2788" spans="16:16" x14ac:dyDescent="0.35">
      <c r="P2788" s="8"/>
    </row>
    <row r="2789" spans="16:16" x14ac:dyDescent="0.35">
      <c r="P2789" s="8"/>
    </row>
    <row r="2790" spans="16:16" x14ac:dyDescent="0.35">
      <c r="P2790" s="8"/>
    </row>
    <row r="2791" spans="16:16" x14ac:dyDescent="0.35">
      <c r="P2791" s="8"/>
    </row>
    <row r="2792" spans="16:16" x14ac:dyDescent="0.35">
      <c r="P2792" s="8"/>
    </row>
    <row r="2793" spans="16:16" x14ac:dyDescent="0.35">
      <c r="P2793" s="8"/>
    </row>
    <row r="2794" spans="16:16" x14ac:dyDescent="0.35">
      <c r="P2794" s="8"/>
    </row>
    <row r="2795" spans="16:16" x14ac:dyDescent="0.35">
      <c r="P2795" s="8"/>
    </row>
    <row r="2796" spans="16:16" x14ac:dyDescent="0.35">
      <c r="P2796" s="8"/>
    </row>
    <row r="2797" spans="16:16" x14ac:dyDescent="0.35">
      <c r="P2797" s="8"/>
    </row>
    <row r="2798" spans="16:16" x14ac:dyDescent="0.35">
      <c r="P2798" s="8"/>
    </row>
    <row r="2799" spans="16:16" x14ac:dyDescent="0.35">
      <c r="P2799" s="8"/>
    </row>
    <row r="2800" spans="16:16" x14ac:dyDescent="0.35">
      <c r="P2800" s="8"/>
    </row>
    <row r="2801" spans="16:16" x14ac:dyDescent="0.35">
      <c r="P2801" s="8"/>
    </row>
    <row r="2802" spans="16:16" x14ac:dyDescent="0.35">
      <c r="P2802" s="8"/>
    </row>
    <row r="2803" spans="16:16" x14ac:dyDescent="0.35">
      <c r="P2803" s="8"/>
    </row>
    <row r="2804" spans="16:16" x14ac:dyDescent="0.35">
      <c r="P2804" s="8"/>
    </row>
    <row r="2805" spans="16:16" x14ac:dyDescent="0.35">
      <c r="P2805" s="8"/>
    </row>
    <row r="2806" spans="16:16" x14ac:dyDescent="0.35">
      <c r="P2806" s="8"/>
    </row>
    <row r="2807" spans="16:16" x14ac:dyDescent="0.35">
      <c r="P2807" s="8"/>
    </row>
    <row r="2808" spans="16:16" x14ac:dyDescent="0.35">
      <c r="P2808" s="8"/>
    </row>
    <row r="2809" spans="16:16" x14ac:dyDescent="0.35">
      <c r="P2809" s="8"/>
    </row>
    <row r="2810" spans="16:16" x14ac:dyDescent="0.35">
      <c r="P2810" s="8"/>
    </row>
    <row r="2811" spans="16:16" x14ac:dyDescent="0.35">
      <c r="P2811" s="8"/>
    </row>
    <row r="2812" spans="16:16" x14ac:dyDescent="0.35">
      <c r="P2812" s="8"/>
    </row>
    <row r="2813" spans="16:16" x14ac:dyDescent="0.35">
      <c r="P2813" s="8"/>
    </row>
    <row r="2814" spans="16:16" x14ac:dyDescent="0.35">
      <c r="P2814" s="8"/>
    </row>
    <row r="2815" spans="16:16" x14ac:dyDescent="0.35">
      <c r="P2815" s="8"/>
    </row>
    <row r="2816" spans="16:16" x14ac:dyDescent="0.35">
      <c r="P2816" s="8"/>
    </row>
    <row r="2817" spans="16:16" x14ac:dyDescent="0.35">
      <c r="P2817" s="8"/>
    </row>
    <row r="2818" spans="16:16" x14ac:dyDescent="0.35">
      <c r="P2818" s="8"/>
    </row>
    <row r="2819" spans="16:16" x14ac:dyDescent="0.35">
      <c r="P2819" s="8"/>
    </row>
    <row r="2820" spans="16:16" x14ac:dyDescent="0.35">
      <c r="P2820" s="8"/>
    </row>
    <row r="2821" spans="16:16" x14ac:dyDescent="0.35">
      <c r="P2821" s="8"/>
    </row>
    <row r="2822" spans="16:16" x14ac:dyDescent="0.35">
      <c r="P2822" s="8"/>
    </row>
    <row r="2823" spans="16:16" x14ac:dyDescent="0.35">
      <c r="P2823" s="8"/>
    </row>
    <row r="2824" spans="16:16" x14ac:dyDescent="0.35">
      <c r="P2824" s="8"/>
    </row>
    <row r="2825" spans="16:16" x14ac:dyDescent="0.35">
      <c r="P2825" s="8"/>
    </row>
    <row r="2826" spans="16:16" x14ac:dyDescent="0.35">
      <c r="P2826" s="8"/>
    </row>
    <row r="2827" spans="16:16" x14ac:dyDescent="0.35">
      <c r="P2827" s="8"/>
    </row>
    <row r="2828" spans="16:16" x14ac:dyDescent="0.35">
      <c r="P2828" s="8"/>
    </row>
    <row r="2829" spans="16:16" x14ac:dyDescent="0.35">
      <c r="P2829" s="8"/>
    </row>
    <row r="2830" spans="16:16" x14ac:dyDescent="0.35">
      <c r="P2830" s="8"/>
    </row>
    <row r="2831" spans="16:16" x14ac:dyDescent="0.35">
      <c r="P2831" s="8"/>
    </row>
    <row r="2832" spans="16:16" x14ac:dyDescent="0.35">
      <c r="P2832" s="8"/>
    </row>
    <row r="2833" spans="16:16" x14ac:dyDescent="0.35">
      <c r="P2833" s="8"/>
    </row>
    <row r="2834" spans="16:16" x14ac:dyDescent="0.35">
      <c r="P2834" s="8"/>
    </row>
    <row r="2835" spans="16:16" x14ac:dyDescent="0.35">
      <c r="P2835" s="8"/>
    </row>
    <row r="2836" spans="16:16" x14ac:dyDescent="0.35">
      <c r="P2836" s="8"/>
    </row>
    <row r="2837" spans="16:16" x14ac:dyDescent="0.35">
      <c r="P2837" s="8"/>
    </row>
    <row r="2838" spans="16:16" x14ac:dyDescent="0.35">
      <c r="P2838" s="8"/>
    </row>
    <row r="2839" spans="16:16" x14ac:dyDescent="0.35">
      <c r="P2839" s="8"/>
    </row>
    <row r="2840" spans="16:16" x14ac:dyDescent="0.35">
      <c r="P2840" s="8"/>
    </row>
    <row r="2841" spans="16:16" x14ac:dyDescent="0.35">
      <c r="P2841" s="8"/>
    </row>
    <row r="2842" spans="16:16" x14ac:dyDescent="0.35">
      <c r="P2842" s="8"/>
    </row>
    <row r="2843" spans="16:16" x14ac:dyDescent="0.35">
      <c r="P2843" s="8"/>
    </row>
    <row r="2844" spans="16:16" x14ac:dyDescent="0.35">
      <c r="P2844" s="8"/>
    </row>
    <row r="2845" spans="16:16" x14ac:dyDescent="0.35">
      <c r="P2845" s="8"/>
    </row>
    <row r="2846" spans="16:16" x14ac:dyDescent="0.35">
      <c r="P2846" s="8"/>
    </row>
    <row r="2847" spans="16:16" x14ac:dyDescent="0.35">
      <c r="P2847" s="8"/>
    </row>
    <row r="2848" spans="16:16" x14ac:dyDescent="0.35">
      <c r="P2848" s="8"/>
    </row>
    <row r="2849" spans="16:16" x14ac:dyDescent="0.35">
      <c r="P2849" s="8"/>
    </row>
    <row r="2850" spans="16:16" x14ac:dyDescent="0.35">
      <c r="P2850" s="8"/>
    </row>
    <row r="2851" spans="16:16" x14ac:dyDescent="0.35">
      <c r="P2851" s="8"/>
    </row>
    <row r="2852" spans="16:16" x14ac:dyDescent="0.35">
      <c r="P2852" s="8"/>
    </row>
    <row r="2853" spans="16:16" x14ac:dyDescent="0.35">
      <c r="P2853" s="8"/>
    </row>
    <row r="2854" spans="16:16" x14ac:dyDescent="0.35">
      <c r="P2854" s="8"/>
    </row>
    <row r="2855" spans="16:16" x14ac:dyDescent="0.35">
      <c r="P2855" s="8"/>
    </row>
    <row r="2856" spans="16:16" x14ac:dyDescent="0.35">
      <c r="P2856" s="8"/>
    </row>
    <row r="2857" spans="16:16" x14ac:dyDescent="0.35">
      <c r="P2857" s="8"/>
    </row>
    <row r="2858" spans="16:16" x14ac:dyDescent="0.35">
      <c r="P2858" s="8"/>
    </row>
    <row r="2859" spans="16:16" x14ac:dyDescent="0.35">
      <c r="P2859" s="8"/>
    </row>
    <row r="2860" spans="16:16" x14ac:dyDescent="0.35">
      <c r="P2860" s="8"/>
    </row>
    <row r="2861" spans="16:16" x14ac:dyDescent="0.35">
      <c r="P2861" s="8"/>
    </row>
    <row r="2862" spans="16:16" x14ac:dyDescent="0.35">
      <c r="P2862" s="8"/>
    </row>
    <row r="2863" spans="16:16" x14ac:dyDescent="0.35">
      <c r="P2863" s="8"/>
    </row>
    <row r="2864" spans="16:16" x14ac:dyDescent="0.35">
      <c r="P2864" s="8"/>
    </row>
    <row r="2865" spans="16:16" x14ac:dyDescent="0.35">
      <c r="P2865" s="8"/>
    </row>
    <row r="2866" spans="16:16" x14ac:dyDescent="0.35">
      <c r="P2866" s="8"/>
    </row>
    <row r="2867" spans="16:16" x14ac:dyDescent="0.35">
      <c r="P2867" s="8"/>
    </row>
    <row r="2868" spans="16:16" x14ac:dyDescent="0.35">
      <c r="P2868" s="8"/>
    </row>
    <row r="2869" spans="16:16" x14ac:dyDescent="0.35">
      <c r="P2869" s="8"/>
    </row>
    <row r="2870" spans="16:16" x14ac:dyDescent="0.35">
      <c r="P2870" s="8"/>
    </row>
    <row r="2871" spans="16:16" x14ac:dyDescent="0.35">
      <c r="P2871" s="8"/>
    </row>
    <row r="2872" spans="16:16" x14ac:dyDescent="0.35">
      <c r="P2872" s="8"/>
    </row>
    <row r="2873" spans="16:16" x14ac:dyDescent="0.35">
      <c r="P2873" s="8"/>
    </row>
    <row r="2874" spans="16:16" x14ac:dyDescent="0.35">
      <c r="P2874" s="8"/>
    </row>
    <row r="2875" spans="16:16" x14ac:dyDescent="0.35">
      <c r="P2875" s="8"/>
    </row>
    <row r="2876" spans="16:16" x14ac:dyDescent="0.35">
      <c r="P2876" s="8"/>
    </row>
    <row r="2877" spans="16:16" x14ac:dyDescent="0.35">
      <c r="P2877" s="8"/>
    </row>
    <row r="2878" spans="16:16" x14ac:dyDescent="0.35">
      <c r="P2878" s="8"/>
    </row>
    <row r="2879" spans="16:16" x14ac:dyDescent="0.35">
      <c r="P2879" s="8"/>
    </row>
    <row r="2880" spans="16:16" x14ac:dyDescent="0.35">
      <c r="P2880" s="8"/>
    </row>
    <row r="2881" spans="16:16" x14ac:dyDescent="0.35">
      <c r="P2881" s="8"/>
    </row>
    <row r="2882" spans="16:16" x14ac:dyDescent="0.35">
      <c r="P2882" s="8"/>
    </row>
    <row r="2883" spans="16:16" x14ac:dyDescent="0.35">
      <c r="P2883" s="8"/>
    </row>
    <row r="2884" spans="16:16" x14ac:dyDescent="0.35">
      <c r="P2884" s="8"/>
    </row>
    <row r="2885" spans="16:16" x14ac:dyDescent="0.35">
      <c r="P2885" s="8"/>
    </row>
    <row r="2886" spans="16:16" x14ac:dyDescent="0.35">
      <c r="P2886" s="8"/>
    </row>
    <row r="2887" spans="16:16" x14ac:dyDescent="0.35">
      <c r="P2887" s="8"/>
    </row>
    <row r="2888" spans="16:16" x14ac:dyDescent="0.35">
      <c r="P2888" s="8"/>
    </row>
    <row r="2889" spans="16:16" x14ac:dyDescent="0.35">
      <c r="P2889" s="8"/>
    </row>
    <row r="2890" spans="16:16" x14ac:dyDescent="0.35">
      <c r="P2890" s="8"/>
    </row>
    <row r="2891" spans="16:16" x14ac:dyDescent="0.35">
      <c r="P2891" s="8"/>
    </row>
    <row r="2892" spans="16:16" x14ac:dyDescent="0.35">
      <c r="P2892" s="8"/>
    </row>
    <row r="2893" spans="16:16" x14ac:dyDescent="0.35">
      <c r="P2893" s="8"/>
    </row>
    <row r="2894" spans="16:16" x14ac:dyDescent="0.35">
      <c r="P2894" s="8"/>
    </row>
    <row r="2895" spans="16:16" x14ac:dyDescent="0.35">
      <c r="P2895" s="8"/>
    </row>
    <row r="2896" spans="16:16" x14ac:dyDescent="0.35">
      <c r="P2896" s="8"/>
    </row>
    <row r="2897" spans="16:16" x14ac:dyDescent="0.35">
      <c r="P2897" s="8"/>
    </row>
    <row r="2898" spans="16:16" x14ac:dyDescent="0.35">
      <c r="P2898" s="8"/>
    </row>
    <row r="2899" spans="16:16" x14ac:dyDescent="0.35">
      <c r="P2899" s="8"/>
    </row>
    <row r="2900" spans="16:16" x14ac:dyDescent="0.35">
      <c r="P2900" s="8"/>
    </row>
    <row r="2901" spans="16:16" x14ac:dyDescent="0.35">
      <c r="P2901" s="8"/>
    </row>
    <row r="2902" spans="16:16" x14ac:dyDescent="0.35">
      <c r="P2902" s="8"/>
    </row>
    <row r="2903" spans="16:16" x14ac:dyDescent="0.35">
      <c r="P2903" s="8"/>
    </row>
    <row r="2904" spans="16:16" x14ac:dyDescent="0.35">
      <c r="P2904" s="8"/>
    </row>
    <row r="2905" spans="16:16" x14ac:dyDescent="0.35">
      <c r="P2905" s="8"/>
    </row>
    <row r="2906" spans="16:16" x14ac:dyDescent="0.35">
      <c r="P2906" s="8"/>
    </row>
    <row r="2907" spans="16:16" x14ac:dyDescent="0.35">
      <c r="P2907" s="8"/>
    </row>
    <row r="2908" spans="16:16" x14ac:dyDescent="0.35">
      <c r="P2908" s="8"/>
    </row>
    <row r="2909" spans="16:16" x14ac:dyDescent="0.35">
      <c r="P2909" s="8"/>
    </row>
    <row r="2910" spans="16:16" x14ac:dyDescent="0.35">
      <c r="P2910" s="8"/>
    </row>
    <row r="2911" spans="16:16" x14ac:dyDescent="0.35">
      <c r="P2911" s="8"/>
    </row>
    <row r="2912" spans="16:16" x14ac:dyDescent="0.35">
      <c r="P2912" s="8"/>
    </row>
    <row r="2913" spans="16:16" x14ac:dyDescent="0.35">
      <c r="P2913" s="8"/>
    </row>
    <row r="2914" spans="16:16" x14ac:dyDescent="0.35">
      <c r="P2914" s="8"/>
    </row>
    <row r="2915" spans="16:16" x14ac:dyDescent="0.35">
      <c r="P2915" s="8"/>
    </row>
    <row r="2916" spans="16:16" x14ac:dyDescent="0.35">
      <c r="P2916" s="8"/>
    </row>
    <row r="2917" spans="16:16" x14ac:dyDescent="0.35">
      <c r="P2917" s="8"/>
    </row>
    <row r="2918" spans="16:16" x14ac:dyDescent="0.35">
      <c r="P2918" s="8"/>
    </row>
    <row r="2919" spans="16:16" x14ac:dyDescent="0.35">
      <c r="P2919" s="8"/>
    </row>
    <row r="2920" spans="16:16" x14ac:dyDescent="0.35">
      <c r="P2920" s="8"/>
    </row>
    <row r="2921" spans="16:16" x14ac:dyDescent="0.35">
      <c r="P2921" s="8"/>
    </row>
    <row r="2922" spans="16:16" x14ac:dyDescent="0.35">
      <c r="P2922" s="8"/>
    </row>
    <row r="2923" spans="16:16" x14ac:dyDescent="0.35">
      <c r="P2923" s="8"/>
    </row>
    <row r="2924" spans="16:16" x14ac:dyDescent="0.35">
      <c r="P2924" s="8"/>
    </row>
    <row r="2925" spans="16:16" x14ac:dyDescent="0.35">
      <c r="P2925" s="8"/>
    </row>
    <row r="2926" spans="16:16" x14ac:dyDescent="0.35">
      <c r="P2926" s="8"/>
    </row>
    <row r="2927" spans="16:16" x14ac:dyDescent="0.35">
      <c r="P2927" s="8"/>
    </row>
    <row r="2928" spans="16:16" x14ac:dyDescent="0.35">
      <c r="P2928" s="8"/>
    </row>
    <row r="2929" spans="16:16" x14ac:dyDescent="0.35">
      <c r="P2929" s="8"/>
    </row>
    <row r="2930" spans="16:16" x14ac:dyDescent="0.35">
      <c r="P2930" s="8"/>
    </row>
    <row r="2931" spans="16:16" x14ac:dyDescent="0.35">
      <c r="P2931" s="8"/>
    </row>
    <row r="2932" spans="16:16" x14ac:dyDescent="0.35">
      <c r="P2932" s="8"/>
    </row>
    <row r="2933" spans="16:16" x14ac:dyDescent="0.35">
      <c r="P2933" s="8"/>
    </row>
    <row r="2934" spans="16:16" x14ac:dyDescent="0.35">
      <c r="P2934" s="8"/>
    </row>
    <row r="2935" spans="16:16" x14ac:dyDescent="0.35">
      <c r="P2935" s="8"/>
    </row>
    <row r="2936" spans="16:16" x14ac:dyDescent="0.35">
      <c r="P2936" s="8"/>
    </row>
    <row r="2937" spans="16:16" x14ac:dyDescent="0.35">
      <c r="P2937" s="8"/>
    </row>
    <row r="2938" spans="16:16" x14ac:dyDescent="0.35">
      <c r="P2938" s="8"/>
    </row>
    <row r="2939" spans="16:16" x14ac:dyDescent="0.35">
      <c r="P2939" s="8"/>
    </row>
    <row r="2940" spans="16:16" x14ac:dyDescent="0.35">
      <c r="P2940" s="8"/>
    </row>
    <row r="2941" spans="16:16" x14ac:dyDescent="0.35">
      <c r="P2941" s="8"/>
    </row>
    <row r="2942" spans="16:16" x14ac:dyDescent="0.35">
      <c r="P2942" s="8"/>
    </row>
    <row r="2943" spans="16:16" x14ac:dyDescent="0.35">
      <c r="P2943" s="8"/>
    </row>
    <row r="2944" spans="16:16" x14ac:dyDescent="0.35">
      <c r="P2944" s="8"/>
    </row>
    <row r="2945" spans="16:16" x14ac:dyDescent="0.35">
      <c r="P2945" s="8"/>
    </row>
    <row r="2946" spans="16:16" x14ac:dyDescent="0.35">
      <c r="P2946" s="8"/>
    </row>
    <row r="2947" spans="16:16" x14ac:dyDescent="0.35">
      <c r="P2947" s="8"/>
    </row>
    <row r="2948" spans="16:16" x14ac:dyDescent="0.35">
      <c r="P2948" s="8"/>
    </row>
    <row r="2949" spans="16:16" x14ac:dyDescent="0.35">
      <c r="P2949" s="8"/>
    </row>
    <row r="2950" spans="16:16" x14ac:dyDescent="0.35">
      <c r="P2950" s="8"/>
    </row>
    <row r="2951" spans="16:16" x14ac:dyDescent="0.35">
      <c r="P2951" s="8"/>
    </row>
    <row r="2952" spans="16:16" x14ac:dyDescent="0.35">
      <c r="P2952" s="8"/>
    </row>
    <row r="2953" spans="16:16" x14ac:dyDescent="0.35">
      <c r="P2953" s="8"/>
    </row>
    <row r="2954" spans="16:16" x14ac:dyDescent="0.35">
      <c r="P2954" s="8"/>
    </row>
    <row r="2955" spans="16:16" x14ac:dyDescent="0.35">
      <c r="P2955" s="8"/>
    </row>
    <row r="2956" spans="16:16" x14ac:dyDescent="0.35">
      <c r="P2956" s="8"/>
    </row>
    <row r="2957" spans="16:16" x14ac:dyDescent="0.35">
      <c r="P2957" s="8"/>
    </row>
    <row r="2958" spans="16:16" x14ac:dyDescent="0.35">
      <c r="P2958" s="8"/>
    </row>
    <row r="2959" spans="16:16" x14ac:dyDescent="0.35">
      <c r="P2959" s="8"/>
    </row>
    <row r="2960" spans="16:16" x14ac:dyDescent="0.35">
      <c r="P2960" s="8"/>
    </row>
    <row r="2961" spans="16:16" x14ac:dyDescent="0.35">
      <c r="P2961" s="8"/>
    </row>
    <row r="2962" spans="16:16" x14ac:dyDescent="0.35">
      <c r="P2962" s="8"/>
    </row>
    <row r="2963" spans="16:16" x14ac:dyDescent="0.35">
      <c r="P2963" s="8"/>
    </row>
    <row r="2964" spans="16:16" x14ac:dyDescent="0.35">
      <c r="P2964" s="8"/>
    </row>
    <row r="2965" spans="16:16" x14ac:dyDescent="0.35">
      <c r="P2965" s="8"/>
    </row>
    <row r="2966" spans="16:16" x14ac:dyDescent="0.35">
      <c r="P2966" s="8"/>
    </row>
    <row r="2967" spans="16:16" x14ac:dyDescent="0.35">
      <c r="P2967" s="8"/>
    </row>
    <row r="2968" spans="16:16" x14ac:dyDescent="0.35">
      <c r="P2968" s="8"/>
    </row>
    <row r="2969" spans="16:16" x14ac:dyDescent="0.35">
      <c r="P2969" s="8"/>
    </row>
    <row r="2970" spans="16:16" x14ac:dyDescent="0.35">
      <c r="P2970" s="8"/>
    </row>
    <row r="2971" spans="16:16" x14ac:dyDescent="0.35">
      <c r="P2971" s="8"/>
    </row>
    <row r="2972" spans="16:16" x14ac:dyDescent="0.35">
      <c r="P2972" s="8"/>
    </row>
    <row r="2973" spans="16:16" x14ac:dyDescent="0.35">
      <c r="P2973" s="8"/>
    </row>
    <row r="2974" spans="16:16" x14ac:dyDescent="0.35">
      <c r="P2974" s="8"/>
    </row>
    <row r="2975" spans="16:16" x14ac:dyDescent="0.35">
      <c r="P2975" s="8"/>
    </row>
    <row r="2976" spans="16:16" x14ac:dyDescent="0.35">
      <c r="P2976" s="8"/>
    </row>
    <row r="2977" spans="16:16" x14ac:dyDescent="0.35">
      <c r="P2977" s="8"/>
    </row>
    <row r="2978" spans="16:16" x14ac:dyDescent="0.35">
      <c r="P2978" s="8"/>
    </row>
    <row r="2979" spans="16:16" x14ac:dyDescent="0.35">
      <c r="P2979" s="8"/>
    </row>
    <row r="2980" spans="16:16" x14ac:dyDescent="0.35">
      <c r="P2980" s="8"/>
    </row>
    <row r="2981" spans="16:16" x14ac:dyDescent="0.35">
      <c r="P2981" s="8"/>
    </row>
    <row r="2982" spans="16:16" x14ac:dyDescent="0.35">
      <c r="P2982" s="8"/>
    </row>
    <row r="2983" spans="16:16" x14ac:dyDescent="0.35">
      <c r="P2983" s="8"/>
    </row>
    <row r="2984" spans="16:16" x14ac:dyDescent="0.35">
      <c r="P2984" s="8"/>
    </row>
    <row r="2985" spans="16:16" x14ac:dyDescent="0.35">
      <c r="P2985" s="8"/>
    </row>
    <row r="2986" spans="16:16" x14ac:dyDescent="0.35">
      <c r="P2986" s="8"/>
    </row>
    <row r="2987" spans="16:16" x14ac:dyDescent="0.35">
      <c r="P2987" s="8"/>
    </row>
    <row r="2988" spans="16:16" x14ac:dyDescent="0.35">
      <c r="P2988" s="8"/>
    </row>
    <row r="2989" spans="16:16" x14ac:dyDescent="0.35">
      <c r="P2989" s="8"/>
    </row>
    <row r="2990" spans="16:16" x14ac:dyDescent="0.35">
      <c r="P2990" s="8"/>
    </row>
    <row r="2991" spans="16:16" x14ac:dyDescent="0.35">
      <c r="P2991" s="8"/>
    </row>
    <row r="2992" spans="16:16" x14ac:dyDescent="0.35">
      <c r="P2992" s="8"/>
    </row>
    <row r="2993" spans="16:16" x14ac:dyDescent="0.35">
      <c r="P2993" s="8"/>
    </row>
    <row r="2994" spans="16:16" x14ac:dyDescent="0.35">
      <c r="P2994" s="8"/>
    </row>
    <row r="2995" spans="16:16" x14ac:dyDescent="0.35">
      <c r="P2995" s="8"/>
    </row>
    <row r="2996" spans="16:16" x14ac:dyDescent="0.35">
      <c r="P2996" s="8"/>
    </row>
    <row r="2997" spans="16:16" x14ac:dyDescent="0.35">
      <c r="P2997" s="8"/>
    </row>
    <row r="2998" spans="16:16" x14ac:dyDescent="0.35">
      <c r="P2998" s="8"/>
    </row>
    <row r="2999" spans="16:16" x14ac:dyDescent="0.35">
      <c r="P2999" s="8"/>
    </row>
    <row r="3000" spans="16:16" x14ac:dyDescent="0.35">
      <c r="P3000" s="8"/>
    </row>
    <row r="3001" spans="16:16" x14ac:dyDescent="0.35">
      <c r="P3001" s="8"/>
    </row>
    <row r="3002" spans="16:16" x14ac:dyDescent="0.35">
      <c r="P3002" s="8"/>
    </row>
    <row r="3003" spans="16:16" x14ac:dyDescent="0.35">
      <c r="P3003" s="8"/>
    </row>
    <row r="3004" spans="16:16" x14ac:dyDescent="0.35">
      <c r="P3004" s="8"/>
    </row>
    <row r="3005" spans="16:16" x14ac:dyDescent="0.35">
      <c r="P3005" s="8"/>
    </row>
    <row r="3006" spans="16:16" x14ac:dyDescent="0.35">
      <c r="P3006" s="8"/>
    </row>
    <row r="3007" spans="16:16" x14ac:dyDescent="0.35">
      <c r="P3007" s="8"/>
    </row>
    <row r="3008" spans="16:16" x14ac:dyDescent="0.35">
      <c r="P3008" s="8"/>
    </row>
    <row r="3009" spans="16:16" x14ac:dyDescent="0.35">
      <c r="P3009" s="8"/>
    </row>
    <row r="3010" spans="16:16" x14ac:dyDescent="0.35">
      <c r="P3010" s="8"/>
    </row>
    <row r="3011" spans="16:16" x14ac:dyDescent="0.35">
      <c r="P3011" s="8"/>
    </row>
    <row r="3012" spans="16:16" x14ac:dyDescent="0.35">
      <c r="P3012" s="8"/>
    </row>
    <row r="3013" spans="16:16" x14ac:dyDescent="0.35">
      <c r="P3013" s="8"/>
    </row>
    <row r="3014" spans="16:16" x14ac:dyDescent="0.35">
      <c r="P3014" s="8"/>
    </row>
    <row r="3015" spans="16:16" x14ac:dyDescent="0.35">
      <c r="P3015" s="8"/>
    </row>
    <row r="3016" spans="16:16" x14ac:dyDescent="0.35">
      <c r="P3016" s="8"/>
    </row>
    <row r="3017" spans="16:16" x14ac:dyDescent="0.35">
      <c r="P3017" s="8"/>
    </row>
    <row r="3018" spans="16:16" x14ac:dyDescent="0.35">
      <c r="P3018" s="8"/>
    </row>
    <row r="3019" spans="16:16" x14ac:dyDescent="0.35">
      <c r="P3019" s="8"/>
    </row>
    <row r="3020" spans="16:16" x14ac:dyDescent="0.35">
      <c r="P3020" s="8"/>
    </row>
    <row r="3021" spans="16:16" x14ac:dyDescent="0.35">
      <c r="P3021" s="8"/>
    </row>
    <row r="3022" spans="16:16" x14ac:dyDescent="0.35">
      <c r="P3022" s="8"/>
    </row>
    <row r="3023" spans="16:16" x14ac:dyDescent="0.35">
      <c r="P3023" s="8"/>
    </row>
    <row r="3024" spans="16:16" x14ac:dyDescent="0.35">
      <c r="P3024" s="8"/>
    </row>
    <row r="3025" spans="16:16" x14ac:dyDescent="0.35">
      <c r="P3025" s="8"/>
    </row>
    <row r="3026" spans="16:16" x14ac:dyDescent="0.35">
      <c r="P3026" s="8"/>
    </row>
    <row r="3027" spans="16:16" x14ac:dyDescent="0.35">
      <c r="P3027" s="8"/>
    </row>
    <row r="3028" spans="16:16" x14ac:dyDescent="0.35">
      <c r="P3028" s="8"/>
    </row>
    <row r="3029" spans="16:16" x14ac:dyDescent="0.35">
      <c r="P3029" s="8"/>
    </row>
    <row r="3030" spans="16:16" x14ac:dyDescent="0.35">
      <c r="P3030" s="8"/>
    </row>
    <row r="3031" spans="16:16" x14ac:dyDescent="0.35">
      <c r="P3031" s="8"/>
    </row>
    <row r="3032" spans="16:16" x14ac:dyDescent="0.35">
      <c r="P3032" s="8"/>
    </row>
    <row r="3033" spans="16:16" x14ac:dyDescent="0.35">
      <c r="P3033" s="8"/>
    </row>
    <row r="3034" spans="16:16" x14ac:dyDescent="0.35">
      <c r="P3034" s="8"/>
    </row>
    <row r="3035" spans="16:16" x14ac:dyDescent="0.35">
      <c r="P3035" s="8"/>
    </row>
    <row r="3036" spans="16:16" x14ac:dyDescent="0.35">
      <c r="P3036" s="8"/>
    </row>
    <row r="3037" spans="16:16" x14ac:dyDescent="0.35">
      <c r="P3037" s="8"/>
    </row>
    <row r="3038" spans="16:16" x14ac:dyDescent="0.35">
      <c r="P3038" s="8"/>
    </row>
    <row r="3039" spans="16:16" x14ac:dyDescent="0.35">
      <c r="P3039" s="8"/>
    </row>
    <row r="3040" spans="16:16" x14ac:dyDescent="0.35">
      <c r="P3040" s="8"/>
    </row>
    <row r="3041" spans="16:16" x14ac:dyDescent="0.35">
      <c r="P3041" s="8"/>
    </row>
    <row r="3042" spans="16:16" x14ac:dyDescent="0.35">
      <c r="P3042" s="8"/>
    </row>
    <row r="3043" spans="16:16" x14ac:dyDescent="0.35">
      <c r="P3043" s="8"/>
    </row>
    <row r="3044" spans="16:16" x14ac:dyDescent="0.35">
      <c r="P3044" s="8"/>
    </row>
    <row r="3045" spans="16:16" x14ac:dyDescent="0.35">
      <c r="P3045" s="8"/>
    </row>
    <row r="3046" spans="16:16" x14ac:dyDescent="0.35">
      <c r="P3046" s="8"/>
    </row>
    <row r="3047" spans="16:16" x14ac:dyDescent="0.35">
      <c r="P3047" s="8"/>
    </row>
    <row r="3048" spans="16:16" x14ac:dyDescent="0.35">
      <c r="P3048" s="8"/>
    </row>
    <row r="3049" spans="16:16" x14ac:dyDescent="0.35">
      <c r="P3049" s="8"/>
    </row>
    <row r="3050" spans="16:16" x14ac:dyDescent="0.35">
      <c r="P3050" s="8"/>
    </row>
    <row r="3051" spans="16:16" x14ac:dyDescent="0.35">
      <c r="P3051" s="8"/>
    </row>
    <row r="3052" spans="16:16" x14ac:dyDescent="0.35">
      <c r="P3052" s="8"/>
    </row>
    <row r="3053" spans="16:16" x14ac:dyDescent="0.35">
      <c r="P3053" s="8"/>
    </row>
    <row r="3054" spans="16:16" x14ac:dyDescent="0.35">
      <c r="P3054" s="8"/>
    </row>
    <row r="3055" spans="16:16" x14ac:dyDescent="0.35">
      <c r="P3055" s="8"/>
    </row>
    <row r="3056" spans="16:16" x14ac:dyDescent="0.35">
      <c r="P3056" s="8"/>
    </row>
    <row r="3057" spans="16:16" x14ac:dyDescent="0.35">
      <c r="P3057" s="8"/>
    </row>
    <row r="3058" spans="16:16" x14ac:dyDescent="0.35">
      <c r="P3058" s="8"/>
    </row>
    <row r="3059" spans="16:16" x14ac:dyDescent="0.35">
      <c r="P3059" s="8"/>
    </row>
    <row r="3060" spans="16:16" x14ac:dyDescent="0.35">
      <c r="P3060" s="8"/>
    </row>
    <row r="3061" spans="16:16" x14ac:dyDescent="0.35">
      <c r="P3061" s="8"/>
    </row>
    <row r="3062" spans="16:16" x14ac:dyDescent="0.35">
      <c r="P3062" s="8"/>
    </row>
    <row r="3063" spans="16:16" x14ac:dyDescent="0.35">
      <c r="P3063" s="8"/>
    </row>
    <row r="3064" spans="16:16" x14ac:dyDescent="0.35">
      <c r="P3064" s="8"/>
    </row>
    <row r="3065" spans="16:16" x14ac:dyDescent="0.35">
      <c r="P3065" s="8"/>
    </row>
    <row r="3066" spans="16:16" x14ac:dyDescent="0.35">
      <c r="P3066" s="8"/>
    </row>
    <row r="3067" spans="16:16" x14ac:dyDescent="0.35">
      <c r="P3067" s="8"/>
    </row>
    <row r="3068" spans="16:16" x14ac:dyDescent="0.35">
      <c r="P3068" s="8"/>
    </row>
    <row r="3069" spans="16:16" x14ac:dyDescent="0.35">
      <c r="P3069" s="8"/>
    </row>
    <row r="3070" spans="16:16" x14ac:dyDescent="0.35">
      <c r="P3070" s="8"/>
    </row>
    <row r="3071" spans="16:16" x14ac:dyDescent="0.35">
      <c r="P3071" s="8"/>
    </row>
    <row r="3072" spans="16:16" x14ac:dyDescent="0.35">
      <c r="P3072" s="8"/>
    </row>
    <row r="3073" spans="16:16" x14ac:dyDescent="0.35">
      <c r="P3073" s="8"/>
    </row>
    <row r="3074" spans="16:16" x14ac:dyDescent="0.35">
      <c r="P3074" s="8"/>
    </row>
    <row r="3075" spans="16:16" x14ac:dyDescent="0.35">
      <c r="P3075" s="8"/>
    </row>
    <row r="3076" spans="16:16" x14ac:dyDescent="0.35">
      <c r="P3076" s="8"/>
    </row>
    <row r="3077" spans="16:16" x14ac:dyDescent="0.35">
      <c r="P3077" s="8"/>
    </row>
    <row r="3078" spans="16:16" x14ac:dyDescent="0.35">
      <c r="P3078" s="8"/>
    </row>
    <row r="3079" spans="16:16" x14ac:dyDescent="0.35">
      <c r="P3079" s="8"/>
    </row>
    <row r="3080" spans="16:16" x14ac:dyDescent="0.35">
      <c r="P3080" s="8"/>
    </row>
    <row r="3081" spans="16:16" x14ac:dyDescent="0.35">
      <c r="P3081" s="8"/>
    </row>
    <row r="3082" spans="16:16" x14ac:dyDescent="0.35">
      <c r="P3082" s="8"/>
    </row>
    <row r="3083" spans="16:16" x14ac:dyDescent="0.35">
      <c r="P3083" s="8"/>
    </row>
    <row r="3084" spans="16:16" x14ac:dyDescent="0.35">
      <c r="P3084" s="8"/>
    </row>
    <row r="3085" spans="16:16" x14ac:dyDescent="0.35">
      <c r="P3085" s="8"/>
    </row>
    <row r="3086" spans="16:16" x14ac:dyDescent="0.35">
      <c r="P3086" s="8"/>
    </row>
    <row r="3087" spans="16:16" x14ac:dyDescent="0.35">
      <c r="P3087" s="8"/>
    </row>
    <row r="3088" spans="16:16" x14ac:dyDescent="0.35">
      <c r="P3088" s="8"/>
    </row>
    <row r="3089" spans="16:16" x14ac:dyDescent="0.35">
      <c r="P3089" s="8"/>
    </row>
    <row r="3090" spans="16:16" x14ac:dyDescent="0.35">
      <c r="P3090" s="8"/>
    </row>
    <row r="3091" spans="16:16" x14ac:dyDescent="0.35">
      <c r="P3091" s="8"/>
    </row>
    <row r="3092" spans="16:16" x14ac:dyDescent="0.35">
      <c r="P3092" s="8"/>
    </row>
    <row r="3093" spans="16:16" x14ac:dyDescent="0.35">
      <c r="P3093" s="8"/>
    </row>
    <row r="3094" spans="16:16" x14ac:dyDescent="0.35">
      <c r="P3094" s="8"/>
    </row>
    <row r="3095" spans="16:16" x14ac:dyDescent="0.35">
      <c r="P3095" s="8"/>
    </row>
    <row r="3096" spans="16:16" x14ac:dyDescent="0.35">
      <c r="P3096" s="8"/>
    </row>
    <row r="3097" spans="16:16" x14ac:dyDescent="0.35">
      <c r="P3097" s="8"/>
    </row>
    <row r="3098" spans="16:16" x14ac:dyDescent="0.35">
      <c r="P3098" s="8"/>
    </row>
    <row r="3099" spans="16:16" x14ac:dyDescent="0.35">
      <c r="P3099" s="8"/>
    </row>
    <row r="3100" spans="16:16" x14ac:dyDescent="0.35">
      <c r="P3100" s="8"/>
    </row>
    <row r="3101" spans="16:16" x14ac:dyDescent="0.35">
      <c r="P3101" s="8"/>
    </row>
    <row r="3102" spans="16:16" x14ac:dyDescent="0.35">
      <c r="P3102" s="8"/>
    </row>
    <row r="3103" spans="16:16" x14ac:dyDescent="0.35">
      <c r="P3103" s="8"/>
    </row>
    <row r="3104" spans="16:16" x14ac:dyDescent="0.35">
      <c r="P3104" s="8"/>
    </row>
    <row r="3105" spans="16:16" x14ac:dyDescent="0.35">
      <c r="P3105" s="8"/>
    </row>
    <row r="3106" spans="16:16" x14ac:dyDescent="0.35">
      <c r="P3106" s="8"/>
    </row>
    <row r="3107" spans="16:16" x14ac:dyDescent="0.35">
      <c r="P3107" s="8"/>
    </row>
    <row r="3108" spans="16:16" x14ac:dyDescent="0.35">
      <c r="P3108" s="8"/>
    </row>
    <row r="3109" spans="16:16" x14ac:dyDescent="0.35">
      <c r="P3109" s="8"/>
    </row>
    <row r="3110" spans="16:16" x14ac:dyDescent="0.35">
      <c r="P3110" s="8"/>
    </row>
    <row r="3111" spans="16:16" x14ac:dyDescent="0.35">
      <c r="P3111" s="8"/>
    </row>
    <row r="3112" spans="16:16" x14ac:dyDescent="0.35">
      <c r="P3112" s="8"/>
    </row>
    <row r="3113" spans="16:16" x14ac:dyDescent="0.35">
      <c r="P3113" s="8"/>
    </row>
    <row r="3114" spans="16:16" x14ac:dyDescent="0.35">
      <c r="P3114" s="8"/>
    </row>
    <row r="3115" spans="16:16" x14ac:dyDescent="0.35">
      <c r="P3115" s="8"/>
    </row>
    <row r="3116" spans="16:16" x14ac:dyDescent="0.35">
      <c r="P3116" s="8"/>
    </row>
    <row r="3117" spans="16:16" x14ac:dyDescent="0.35">
      <c r="P3117" s="8"/>
    </row>
    <row r="3118" spans="16:16" x14ac:dyDescent="0.35">
      <c r="P3118" s="8"/>
    </row>
    <row r="3119" spans="16:16" x14ac:dyDescent="0.35">
      <c r="P3119" s="8"/>
    </row>
    <row r="3120" spans="16:16" x14ac:dyDescent="0.35">
      <c r="P3120" s="8"/>
    </row>
    <row r="3121" spans="16:16" x14ac:dyDescent="0.35">
      <c r="P3121" s="8"/>
    </row>
    <row r="3122" spans="16:16" x14ac:dyDescent="0.35">
      <c r="P3122" s="8"/>
    </row>
    <row r="3123" spans="16:16" x14ac:dyDescent="0.35">
      <c r="P3123" s="8"/>
    </row>
    <row r="3124" spans="16:16" x14ac:dyDescent="0.35">
      <c r="P3124" s="8"/>
    </row>
    <row r="3125" spans="16:16" x14ac:dyDescent="0.35">
      <c r="P3125" s="8"/>
    </row>
    <row r="3126" spans="16:16" x14ac:dyDescent="0.35">
      <c r="P3126" s="8"/>
    </row>
    <row r="3127" spans="16:16" x14ac:dyDescent="0.35">
      <c r="P3127" s="8"/>
    </row>
    <row r="3128" spans="16:16" x14ac:dyDescent="0.35">
      <c r="P3128" s="8"/>
    </row>
    <row r="3129" spans="16:16" x14ac:dyDescent="0.35">
      <c r="P3129" s="8"/>
    </row>
    <row r="3130" spans="16:16" x14ac:dyDescent="0.35">
      <c r="P3130" s="8"/>
    </row>
    <row r="3131" spans="16:16" x14ac:dyDescent="0.35">
      <c r="P3131" s="8"/>
    </row>
    <row r="3132" spans="16:16" x14ac:dyDescent="0.35">
      <c r="P3132" s="8"/>
    </row>
    <row r="3133" spans="16:16" x14ac:dyDescent="0.35">
      <c r="P3133" s="8"/>
    </row>
    <row r="3134" spans="16:16" x14ac:dyDescent="0.35">
      <c r="P3134" s="8"/>
    </row>
    <row r="3135" spans="16:16" x14ac:dyDescent="0.35">
      <c r="P3135" s="8"/>
    </row>
    <row r="3136" spans="16:16" x14ac:dyDescent="0.35">
      <c r="P3136" s="8"/>
    </row>
    <row r="3137" spans="16:16" x14ac:dyDescent="0.35">
      <c r="P3137" s="8"/>
    </row>
    <row r="3138" spans="16:16" x14ac:dyDescent="0.35">
      <c r="P3138" s="8"/>
    </row>
    <row r="3139" spans="16:16" x14ac:dyDescent="0.35">
      <c r="P3139" s="8"/>
    </row>
    <row r="3140" spans="16:16" x14ac:dyDescent="0.35">
      <c r="P3140" s="8"/>
    </row>
    <row r="3141" spans="16:16" x14ac:dyDescent="0.35">
      <c r="P3141" s="8"/>
    </row>
    <row r="3142" spans="16:16" x14ac:dyDescent="0.35">
      <c r="P3142" s="8"/>
    </row>
    <row r="3143" spans="16:16" x14ac:dyDescent="0.35">
      <c r="P3143" s="8"/>
    </row>
    <row r="3144" spans="16:16" x14ac:dyDescent="0.35">
      <c r="P3144" s="8"/>
    </row>
    <row r="3145" spans="16:16" x14ac:dyDescent="0.35">
      <c r="P3145" s="8"/>
    </row>
    <row r="3146" spans="16:16" x14ac:dyDescent="0.35">
      <c r="P3146" s="8"/>
    </row>
    <row r="3147" spans="16:16" x14ac:dyDescent="0.35">
      <c r="P3147" s="8"/>
    </row>
    <row r="3148" spans="16:16" x14ac:dyDescent="0.35">
      <c r="P3148" s="8"/>
    </row>
    <row r="3149" spans="16:16" x14ac:dyDescent="0.35">
      <c r="P3149" s="8"/>
    </row>
    <row r="3150" spans="16:16" x14ac:dyDescent="0.35">
      <c r="P3150" s="8"/>
    </row>
    <row r="3151" spans="16:16" x14ac:dyDescent="0.35">
      <c r="P3151" s="8"/>
    </row>
    <row r="3152" spans="16:16" x14ac:dyDescent="0.35">
      <c r="P3152" s="8"/>
    </row>
    <row r="3153" spans="16:16" x14ac:dyDescent="0.35">
      <c r="P3153" s="8"/>
    </row>
    <row r="3154" spans="16:16" x14ac:dyDescent="0.35">
      <c r="P3154" s="8"/>
    </row>
    <row r="3155" spans="16:16" x14ac:dyDescent="0.35">
      <c r="P3155" s="8"/>
    </row>
    <row r="3156" spans="16:16" x14ac:dyDescent="0.35">
      <c r="P3156" s="8"/>
    </row>
    <row r="3157" spans="16:16" x14ac:dyDescent="0.35">
      <c r="P3157" s="8"/>
    </row>
    <row r="3158" spans="16:16" x14ac:dyDescent="0.35">
      <c r="P3158" s="8"/>
    </row>
    <row r="3159" spans="16:16" x14ac:dyDescent="0.35">
      <c r="P3159" s="8"/>
    </row>
    <row r="3160" spans="16:16" x14ac:dyDescent="0.35">
      <c r="P3160" s="8"/>
    </row>
    <row r="3161" spans="16:16" x14ac:dyDescent="0.35">
      <c r="P3161" s="8"/>
    </row>
    <row r="3162" spans="16:16" x14ac:dyDescent="0.35">
      <c r="P3162" s="8"/>
    </row>
    <row r="3163" spans="16:16" x14ac:dyDescent="0.35">
      <c r="P3163" s="8"/>
    </row>
    <row r="3164" spans="16:16" x14ac:dyDescent="0.35">
      <c r="P3164" s="8"/>
    </row>
    <row r="3165" spans="16:16" x14ac:dyDescent="0.35">
      <c r="P3165" s="8"/>
    </row>
    <row r="3166" spans="16:16" x14ac:dyDescent="0.35">
      <c r="P3166" s="8"/>
    </row>
    <row r="3167" spans="16:16" x14ac:dyDescent="0.35">
      <c r="P3167" s="8"/>
    </row>
    <row r="3168" spans="16:16" x14ac:dyDescent="0.35">
      <c r="P3168" s="8"/>
    </row>
    <row r="3169" spans="16:16" x14ac:dyDescent="0.35">
      <c r="P3169" s="8"/>
    </row>
    <row r="3170" spans="16:16" x14ac:dyDescent="0.35">
      <c r="P3170" s="8"/>
    </row>
    <row r="3171" spans="16:16" x14ac:dyDescent="0.35">
      <c r="P3171" s="8"/>
    </row>
    <row r="3172" spans="16:16" x14ac:dyDescent="0.35">
      <c r="P3172" s="8"/>
    </row>
    <row r="3173" spans="16:16" x14ac:dyDescent="0.35">
      <c r="P3173" s="8"/>
    </row>
    <row r="3174" spans="16:16" x14ac:dyDescent="0.35">
      <c r="P3174" s="8"/>
    </row>
    <row r="3175" spans="16:16" x14ac:dyDescent="0.35">
      <c r="P3175" s="8"/>
    </row>
    <row r="3176" spans="16:16" x14ac:dyDescent="0.35">
      <c r="P3176" s="8"/>
    </row>
    <row r="3177" spans="16:16" x14ac:dyDescent="0.35">
      <c r="P3177" s="8"/>
    </row>
    <row r="3178" spans="16:16" x14ac:dyDescent="0.35">
      <c r="P3178" s="8"/>
    </row>
    <row r="3179" spans="16:16" x14ac:dyDescent="0.35">
      <c r="P3179" s="8"/>
    </row>
    <row r="3180" spans="16:16" x14ac:dyDescent="0.35">
      <c r="P3180" s="8"/>
    </row>
    <row r="3181" spans="16:16" x14ac:dyDescent="0.35">
      <c r="P3181" s="8"/>
    </row>
    <row r="3182" spans="16:16" x14ac:dyDescent="0.35">
      <c r="P3182" s="8"/>
    </row>
    <row r="3183" spans="16:16" x14ac:dyDescent="0.35">
      <c r="P3183" s="8"/>
    </row>
    <row r="3184" spans="16:16" x14ac:dyDescent="0.35">
      <c r="P3184" s="8"/>
    </row>
    <row r="3185" spans="16:16" x14ac:dyDescent="0.35">
      <c r="P3185" s="8"/>
    </row>
    <row r="3186" spans="16:16" x14ac:dyDescent="0.35">
      <c r="P3186" s="8"/>
    </row>
    <row r="3187" spans="16:16" x14ac:dyDescent="0.35">
      <c r="P3187" s="8"/>
    </row>
    <row r="3188" spans="16:16" x14ac:dyDescent="0.35">
      <c r="P3188" s="8"/>
    </row>
    <row r="3189" spans="16:16" x14ac:dyDescent="0.35">
      <c r="P3189" s="8"/>
    </row>
    <row r="3190" spans="16:16" x14ac:dyDescent="0.35">
      <c r="P3190" s="8"/>
    </row>
    <row r="3191" spans="16:16" x14ac:dyDescent="0.35">
      <c r="P3191" s="8"/>
    </row>
    <row r="3192" spans="16:16" x14ac:dyDescent="0.35">
      <c r="P3192" s="8"/>
    </row>
    <row r="3193" spans="16:16" x14ac:dyDescent="0.35">
      <c r="P3193" s="8"/>
    </row>
    <row r="3194" spans="16:16" x14ac:dyDescent="0.35">
      <c r="P3194" s="8"/>
    </row>
    <row r="3195" spans="16:16" x14ac:dyDescent="0.35">
      <c r="P3195" s="8"/>
    </row>
    <row r="3196" spans="16:16" x14ac:dyDescent="0.35">
      <c r="P3196" s="8"/>
    </row>
    <row r="3197" spans="16:16" x14ac:dyDescent="0.35">
      <c r="P3197" s="8"/>
    </row>
    <row r="3198" spans="16:16" x14ac:dyDescent="0.35">
      <c r="P3198" s="8"/>
    </row>
    <row r="3199" spans="16:16" x14ac:dyDescent="0.35">
      <c r="P3199" s="8"/>
    </row>
    <row r="3200" spans="16:16" x14ac:dyDescent="0.35">
      <c r="P3200" s="8"/>
    </row>
    <row r="3201" spans="16:16" x14ac:dyDescent="0.35">
      <c r="P3201" s="8"/>
    </row>
    <row r="3202" spans="16:16" x14ac:dyDescent="0.35">
      <c r="P3202" s="8"/>
    </row>
    <row r="3203" spans="16:16" x14ac:dyDescent="0.35">
      <c r="P3203" s="8"/>
    </row>
    <row r="3204" spans="16:16" x14ac:dyDescent="0.35">
      <c r="P3204" s="8"/>
    </row>
    <row r="3205" spans="16:16" x14ac:dyDescent="0.35">
      <c r="P3205" s="8"/>
    </row>
    <row r="3206" spans="16:16" x14ac:dyDescent="0.35">
      <c r="P3206" s="8"/>
    </row>
    <row r="3207" spans="16:16" x14ac:dyDescent="0.35">
      <c r="P3207" s="8"/>
    </row>
    <row r="3208" spans="16:16" x14ac:dyDescent="0.35">
      <c r="P3208" s="8"/>
    </row>
    <row r="3209" spans="16:16" x14ac:dyDescent="0.35">
      <c r="P3209" s="8"/>
    </row>
    <row r="3210" spans="16:16" x14ac:dyDescent="0.35">
      <c r="P3210" s="8"/>
    </row>
    <row r="3211" spans="16:16" x14ac:dyDescent="0.35">
      <c r="P3211" s="8"/>
    </row>
    <row r="3212" spans="16:16" x14ac:dyDescent="0.35">
      <c r="P3212" s="8"/>
    </row>
    <row r="3213" spans="16:16" x14ac:dyDescent="0.35">
      <c r="P3213" s="8"/>
    </row>
    <row r="3214" spans="16:16" x14ac:dyDescent="0.35">
      <c r="P3214" s="8"/>
    </row>
    <row r="3215" spans="16:16" x14ac:dyDescent="0.35">
      <c r="P3215" s="8"/>
    </row>
    <row r="3216" spans="16:16" x14ac:dyDescent="0.35">
      <c r="P3216" s="8"/>
    </row>
    <row r="3217" spans="16:16" x14ac:dyDescent="0.35">
      <c r="P3217" s="8"/>
    </row>
    <row r="3218" spans="16:16" x14ac:dyDescent="0.35">
      <c r="P3218" s="8"/>
    </row>
    <row r="3219" spans="16:16" x14ac:dyDescent="0.35">
      <c r="P3219" s="8"/>
    </row>
    <row r="3220" spans="16:16" x14ac:dyDescent="0.35">
      <c r="P3220" s="8"/>
    </row>
    <row r="3221" spans="16:16" x14ac:dyDescent="0.35">
      <c r="P3221" s="8"/>
    </row>
    <row r="3222" spans="16:16" x14ac:dyDescent="0.35">
      <c r="P3222" s="8"/>
    </row>
    <row r="3223" spans="16:16" x14ac:dyDescent="0.35">
      <c r="P3223" s="8"/>
    </row>
    <row r="3224" spans="16:16" x14ac:dyDescent="0.35">
      <c r="P3224" s="8"/>
    </row>
    <row r="3225" spans="16:16" x14ac:dyDescent="0.35">
      <c r="P3225" s="8"/>
    </row>
    <row r="3226" spans="16:16" x14ac:dyDescent="0.35">
      <c r="P3226" s="8"/>
    </row>
    <row r="3227" spans="16:16" x14ac:dyDescent="0.35">
      <c r="P3227" s="8"/>
    </row>
    <row r="3228" spans="16:16" x14ac:dyDescent="0.35">
      <c r="P3228" s="8"/>
    </row>
    <row r="3229" spans="16:16" x14ac:dyDescent="0.35">
      <c r="P3229" s="8"/>
    </row>
    <row r="3230" spans="16:16" x14ac:dyDescent="0.35">
      <c r="P3230" s="8"/>
    </row>
    <row r="3231" spans="16:16" x14ac:dyDescent="0.35">
      <c r="P3231" s="8"/>
    </row>
    <row r="3232" spans="16:16" x14ac:dyDescent="0.35">
      <c r="P3232" s="8"/>
    </row>
    <row r="3233" spans="16:16" x14ac:dyDescent="0.35">
      <c r="P3233" s="8"/>
    </row>
    <row r="3234" spans="16:16" x14ac:dyDescent="0.35">
      <c r="P3234" s="8"/>
    </row>
    <row r="3235" spans="16:16" x14ac:dyDescent="0.35">
      <c r="P3235" s="8"/>
    </row>
    <row r="3236" spans="16:16" x14ac:dyDescent="0.35">
      <c r="P3236" s="8"/>
    </row>
    <row r="3237" spans="16:16" x14ac:dyDescent="0.35">
      <c r="P3237" s="8"/>
    </row>
    <row r="3238" spans="16:16" x14ac:dyDescent="0.35">
      <c r="P3238" s="8"/>
    </row>
    <row r="3239" spans="16:16" x14ac:dyDescent="0.35">
      <c r="P3239" s="8"/>
    </row>
    <row r="3240" spans="16:16" x14ac:dyDescent="0.35">
      <c r="P3240" s="8"/>
    </row>
    <row r="3241" spans="16:16" x14ac:dyDescent="0.35">
      <c r="P3241" s="8"/>
    </row>
    <row r="3242" spans="16:16" x14ac:dyDescent="0.35">
      <c r="P3242" s="8"/>
    </row>
    <row r="3243" spans="16:16" x14ac:dyDescent="0.35">
      <c r="P3243" s="8"/>
    </row>
    <row r="3244" spans="16:16" x14ac:dyDescent="0.35">
      <c r="P3244" s="8"/>
    </row>
    <row r="3245" spans="16:16" x14ac:dyDescent="0.35">
      <c r="P3245" s="8"/>
    </row>
    <row r="3246" spans="16:16" x14ac:dyDescent="0.35">
      <c r="P3246" s="8"/>
    </row>
    <row r="3247" spans="16:16" x14ac:dyDescent="0.35">
      <c r="P3247" s="8"/>
    </row>
    <row r="3248" spans="16:16" x14ac:dyDescent="0.35">
      <c r="P3248" s="8"/>
    </row>
    <row r="3249" spans="16:16" x14ac:dyDescent="0.35">
      <c r="P3249" s="8"/>
    </row>
    <row r="3250" spans="16:16" x14ac:dyDescent="0.35">
      <c r="P3250" s="8"/>
    </row>
    <row r="3251" spans="16:16" x14ac:dyDescent="0.35">
      <c r="P3251" s="8"/>
    </row>
    <row r="3252" spans="16:16" x14ac:dyDescent="0.35">
      <c r="P3252" s="8"/>
    </row>
    <row r="3253" spans="16:16" x14ac:dyDescent="0.35">
      <c r="P3253" s="8"/>
    </row>
    <row r="3254" spans="16:16" x14ac:dyDescent="0.35">
      <c r="P3254" s="8"/>
    </row>
    <row r="3255" spans="16:16" x14ac:dyDescent="0.35">
      <c r="P3255" s="8"/>
    </row>
    <row r="3256" spans="16:16" x14ac:dyDescent="0.35">
      <c r="P3256" s="8"/>
    </row>
    <row r="3257" spans="16:16" x14ac:dyDescent="0.35">
      <c r="P3257" s="8"/>
    </row>
    <row r="3258" spans="16:16" x14ac:dyDescent="0.35">
      <c r="P3258" s="8"/>
    </row>
    <row r="3259" spans="16:16" x14ac:dyDescent="0.35">
      <c r="P3259" s="8"/>
    </row>
    <row r="3260" spans="16:16" x14ac:dyDescent="0.35">
      <c r="P3260" s="8"/>
    </row>
    <row r="3261" spans="16:16" x14ac:dyDescent="0.35">
      <c r="P3261" s="8"/>
    </row>
    <row r="3262" spans="16:16" x14ac:dyDescent="0.35">
      <c r="P3262" s="8"/>
    </row>
    <row r="3263" spans="16:16" x14ac:dyDescent="0.35">
      <c r="P3263" s="8"/>
    </row>
    <row r="3264" spans="16:16" x14ac:dyDescent="0.35">
      <c r="P3264" s="8"/>
    </row>
    <row r="3265" spans="16:16" x14ac:dyDescent="0.35">
      <c r="P3265" s="8"/>
    </row>
    <row r="3266" spans="16:16" x14ac:dyDescent="0.35">
      <c r="P3266" s="8"/>
    </row>
    <row r="3267" spans="16:16" x14ac:dyDescent="0.35">
      <c r="P3267" s="8"/>
    </row>
    <row r="3268" spans="16:16" x14ac:dyDescent="0.35">
      <c r="P3268" s="8"/>
    </row>
    <row r="3269" spans="16:16" x14ac:dyDescent="0.35">
      <c r="P3269" s="8"/>
    </row>
    <row r="3270" spans="16:16" x14ac:dyDescent="0.35">
      <c r="P3270" s="8"/>
    </row>
    <row r="3271" spans="16:16" x14ac:dyDescent="0.35">
      <c r="P3271" s="8"/>
    </row>
    <row r="3272" spans="16:16" x14ac:dyDescent="0.35">
      <c r="P3272" s="8"/>
    </row>
    <row r="3273" spans="16:16" x14ac:dyDescent="0.35">
      <c r="P3273" s="8"/>
    </row>
    <row r="3274" spans="16:16" x14ac:dyDescent="0.35">
      <c r="P3274" s="8"/>
    </row>
    <row r="3275" spans="16:16" x14ac:dyDescent="0.35">
      <c r="P3275" s="8"/>
    </row>
    <row r="3276" spans="16:16" x14ac:dyDescent="0.35">
      <c r="P3276" s="8"/>
    </row>
    <row r="3277" spans="16:16" x14ac:dyDescent="0.35">
      <c r="P3277" s="8"/>
    </row>
    <row r="3278" spans="16:16" x14ac:dyDescent="0.35">
      <c r="P3278" s="8"/>
    </row>
    <row r="3279" spans="16:16" x14ac:dyDescent="0.35">
      <c r="P3279" s="8"/>
    </row>
    <row r="3280" spans="16:16" x14ac:dyDescent="0.35">
      <c r="P3280" s="8"/>
    </row>
    <row r="3281" spans="16:16" x14ac:dyDescent="0.35">
      <c r="P3281" s="8"/>
    </row>
    <row r="3282" spans="16:16" x14ac:dyDescent="0.35">
      <c r="P3282" s="8"/>
    </row>
    <row r="3283" spans="16:16" x14ac:dyDescent="0.35">
      <c r="P3283" s="8"/>
    </row>
    <row r="3284" spans="16:16" x14ac:dyDescent="0.35">
      <c r="P3284" s="8"/>
    </row>
    <row r="3285" spans="16:16" x14ac:dyDescent="0.35">
      <c r="P3285" s="8"/>
    </row>
    <row r="3286" spans="16:16" x14ac:dyDescent="0.35">
      <c r="P3286" s="8"/>
    </row>
    <row r="3287" spans="16:16" x14ac:dyDescent="0.35">
      <c r="P3287" s="8"/>
    </row>
    <row r="3288" spans="16:16" x14ac:dyDescent="0.35">
      <c r="P3288" s="8"/>
    </row>
    <row r="3289" spans="16:16" x14ac:dyDescent="0.35">
      <c r="P3289" s="8"/>
    </row>
    <row r="3290" spans="16:16" x14ac:dyDescent="0.35">
      <c r="P3290" s="8"/>
    </row>
    <row r="3291" spans="16:16" x14ac:dyDescent="0.35">
      <c r="P3291" s="8"/>
    </row>
    <row r="3292" spans="16:16" x14ac:dyDescent="0.35">
      <c r="P3292" s="8"/>
    </row>
    <row r="3293" spans="16:16" x14ac:dyDescent="0.35">
      <c r="P3293" s="8"/>
    </row>
    <row r="3294" spans="16:16" x14ac:dyDescent="0.35">
      <c r="P3294" s="8"/>
    </row>
    <row r="3295" spans="16:16" x14ac:dyDescent="0.35">
      <c r="P3295" s="8"/>
    </row>
    <row r="3296" spans="16:16" x14ac:dyDescent="0.35">
      <c r="P3296" s="8"/>
    </row>
    <row r="3297" spans="16:16" x14ac:dyDescent="0.35">
      <c r="P3297" s="8"/>
    </row>
    <row r="3298" spans="16:16" x14ac:dyDescent="0.35">
      <c r="P3298" s="8"/>
    </row>
    <row r="3299" spans="16:16" x14ac:dyDescent="0.35">
      <c r="P3299" s="8"/>
    </row>
    <row r="3300" spans="16:16" x14ac:dyDescent="0.35">
      <c r="P3300" s="8"/>
    </row>
    <row r="3301" spans="16:16" x14ac:dyDescent="0.35">
      <c r="P3301" s="8"/>
    </row>
    <row r="3302" spans="16:16" x14ac:dyDescent="0.35">
      <c r="P3302" s="8"/>
    </row>
    <row r="3303" spans="16:16" x14ac:dyDescent="0.35">
      <c r="P3303" s="8"/>
    </row>
    <row r="3304" spans="16:16" x14ac:dyDescent="0.35">
      <c r="P3304" s="8"/>
    </row>
    <row r="3305" spans="16:16" x14ac:dyDescent="0.35">
      <c r="P3305" s="8"/>
    </row>
    <row r="3306" spans="16:16" x14ac:dyDescent="0.35">
      <c r="P3306" s="8"/>
    </row>
    <row r="3307" spans="16:16" x14ac:dyDescent="0.35">
      <c r="P3307" s="8"/>
    </row>
    <row r="3308" spans="16:16" x14ac:dyDescent="0.35">
      <c r="P3308" s="8"/>
    </row>
    <row r="3309" spans="16:16" x14ac:dyDescent="0.35">
      <c r="P3309" s="8"/>
    </row>
    <row r="3310" spans="16:16" x14ac:dyDescent="0.35">
      <c r="P3310" s="8"/>
    </row>
    <row r="3311" spans="16:16" x14ac:dyDescent="0.35">
      <c r="P3311" s="8"/>
    </row>
    <row r="3312" spans="16:16" x14ac:dyDescent="0.35">
      <c r="P3312" s="8"/>
    </row>
    <row r="3313" spans="16:16" x14ac:dyDescent="0.35">
      <c r="P3313" s="8"/>
    </row>
    <row r="3314" spans="16:16" x14ac:dyDescent="0.35">
      <c r="P3314" s="8"/>
    </row>
    <row r="3315" spans="16:16" x14ac:dyDescent="0.35">
      <c r="P3315" s="8"/>
    </row>
    <row r="3316" spans="16:16" x14ac:dyDescent="0.35">
      <c r="P3316" s="8"/>
    </row>
    <row r="3317" spans="16:16" x14ac:dyDescent="0.35">
      <c r="P3317" s="8"/>
    </row>
    <row r="3318" spans="16:16" x14ac:dyDescent="0.35">
      <c r="P3318" s="8"/>
    </row>
    <row r="3319" spans="16:16" x14ac:dyDescent="0.35">
      <c r="P3319" s="8"/>
    </row>
    <row r="3320" spans="16:16" x14ac:dyDescent="0.35">
      <c r="P3320" s="8"/>
    </row>
    <row r="3321" spans="16:16" x14ac:dyDescent="0.35">
      <c r="P3321" s="8"/>
    </row>
    <row r="3322" spans="16:16" x14ac:dyDescent="0.35">
      <c r="P3322" s="8"/>
    </row>
    <row r="3323" spans="16:16" x14ac:dyDescent="0.35">
      <c r="P3323" s="8"/>
    </row>
    <row r="3324" spans="16:16" x14ac:dyDescent="0.35">
      <c r="P3324" s="8"/>
    </row>
    <row r="3325" spans="16:16" x14ac:dyDescent="0.35">
      <c r="P3325" s="8"/>
    </row>
    <row r="3326" spans="16:16" x14ac:dyDescent="0.35">
      <c r="P3326" s="8"/>
    </row>
    <row r="3327" spans="16:16" x14ac:dyDescent="0.35">
      <c r="P3327" s="8"/>
    </row>
    <row r="3328" spans="16:16" x14ac:dyDescent="0.35">
      <c r="P3328" s="8"/>
    </row>
    <row r="3329" spans="16:16" x14ac:dyDescent="0.35">
      <c r="P3329" s="8"/>
    </row>
    <row r="3330" spans="16:16" x14ac:dyDescent="0.35">
      <c r="P3330" s="8"/>
    </row>
    <row r="3331" spans="16:16" x14ac:dyDescent="0.35">
      <c r="P3331" s="8"/>
    </row>
    <row r="3332" spans="16:16" x14ac:dyDescent="0.35">
      <c r="P3332" s="8"/>
    </row>
    <row r="3333" spans="16:16" x14ac:dyDescent="0.35">
      <c r="P3333" s="8"/>
    </row>
    <row r="3334" spans="16:16" x14ac:dyDescent="0.35">
      <c r="P3334" s="8"/>
    </row>
    <row r="3335" spans="16:16" x14ac:dyDescent="0.35">
      <c r="P3335" s="8"/>
    </row>
    <row r="3336" spans="16:16" x14ac:dyDescent="0.35">
      <c r="P3336" s="8"/>
    </row>
    <row r="3337" spans="16:16" x14ac:dyDescent="0.35">
      <c r="P3337" s="8"/>
    </row>
    <row r="3338" spans="16:16" x14ac:dyDescent="0.35">
      <c r="P3338" s="8"/>
    </row>
    <row r="3339" spans="16:16" x14ac:dyDescent="0.35">
      <c r="P3339" s="8"/>
    </row>
    <row r="3340" spans="16:16" x14ac:dyDescent="0.35">
      <c r="P3340" s="8"/>
    </row>
    <row r="3341" spans="16:16" x14ac:dyDescent="0.35">
      <c r="P3341" s="8"/>
    </row>
    <row r="3342" spans="16:16" x14ac:dyDescent="0.35">
      <c r="P3342" s="8"/>
    </row>
    <row r="3343" spans="16:16" x14ac:dyDescent="0.35">
      <c r="P3343" s="8"/>
    </row>
    <row r="3344" spans="16:16" x14ac:dyDescent="0.35">
      <c r="P3344" s="8"/>
    </row>
    <row r="3345" spans="16:16" x14ac:dyDescent="0.35">
      <c r="P3345" s="8"/>
    </row>
    <row r="3346" spans="16:16" x14ac:dyDescent="0.35">
      <c r="P3346" s="8"/>
    </row>
    <row r="3347" spans="16:16" x14ac:dyDescent="0.35">
      <c r="P3347" s="8"/>
    </row>
    <row r="3348" spans="16:16" x14ac:dyDescent="0.35">
      <c r="P3348" s="8"/>
    </row>
    <row r="3349" spans="16:16" x14ac:dyDescent="0.35">
      <c r="P3349" s="8"/>
    </row>
    <row r="3350" spans="16:16" x14ac:dyDescent="0.35">
      <c r="P3350" s="8"/>
    </row>
    <row r="3351" spans="16:16" x14ac:dyDescent="0.35">
      <c r="P3351" s="8"/>
    </row>
    <row r="3352" spans="16:16" x14ac:dyDescent="0.35">
      <c r="P3352" s="8"/>
    </row>
    <row r="3353" spans="16:16" x14ac:dyDescent="0.35">
      <c r="P3353" s="8"/>
    </row>
    <row r="3354" spans="16:16" x14ac:dyDescent="0.35">
      <c r="P3354" s="8"/>
    </row>
    <row r="3355" spans="16:16" x14ac:dyDescent="0.35">
      <c r="P3355" s="8"/>
    </row>
    <row r="3356" spans="16:16" x14ac:dyDescent="0.35">
      <c r="P3356" s="8"/>
    </row>
    <row r="3357" spans="16:16" x14ac:dyDescent="0.35">
      <c r="P3357" s="8"/>
    </row>
    <row r="3358" spans="16:16" x14ac:dyDescent="0.35">
      <c r="P3358" s="8"/>
    </row>
    <row r="3359" spans="16:16" x14ac:dyDescent="0.35">
      <c r="P3359" s="8"/>
    </row>
    <row r="3360" spans="16:16" x14ac:dyDescent="0.35">
      <c r="P3360" s="8"/>
    </row>
    <row r="3361" spans="16:16" x14ac:dyDescent="0.35">
      <c r="P3361" s="8"/>
    </row>
    <row r="3362" spans="16:16" x14ac:dyDescent="0.35">
      <c r="P3362" s="8"/>
    </row>
    <row r="3363" spans="16:16" x14ac:dyDescent="0.35">
      <c r="P3363" s="8"/>
    </row>
    <row r="3364" spans="16:16" x14ac:dyDescent="0.35">
      <c r="P3364" s="8"/>
    </row>
    <row r="3365" spans="16:16" x14ac:dyDescent="0.35">
      <c r="P3365" s="8"/>
    </row>
    <row r="3366" spans="16:16" x14ac:dyDescent="0.35">
      <c r="P3366" s="8"/>
    </row>
    <row r="3367" spans="16:16" x14ac:dyDescent="0.35">
      <c r="P3367" s="8"/>
    </row>
    <row r="3368" spans="16:16" x14ac:dyDescent="0.35">
      <c r="P3368" s="8"/>
    </row>
    <row r="3369" spans="16:16" x14ac:dyDescent="0.35">
      <c r="P3369" s="8"/>
    </row>
    <row r="3370" spans="16:16" x14ac:dyDescent="0.35">
      <c r="P3370" s="8"/>
    </row>
    <row r="3371" spans="16:16" x14ac:dyDescent="0.35">
      <c r="P3371" s="8"/>
    </row>
    <row r="3372" spans="16:16" x14ac:dyDescent="0.35">
      <c r="P3372" s="8"/>
    </row>
    <row r="3373" spans="16:16" x14ac:dyDescent="0.35">
      <c r="P3373" s="8"/>
    </row>
    <row r="3374" spans="16:16" x14ac:dyDescent="0.35">
      <c r="P3374" s="8"/>
    </row>
    <row r="3375" spans="16:16" x14ac:dyDescent="0.35">
      <c r="P3375" s="8"/>
    </row>
    <row r="3376" spans="16:16" x14ac:dyDescent="0.35">
      <c r="P3376" s="8"/>
    </row>
    <row r="3377" spans="16:16" x14ac:dyDescent="0.35">
      <c r="P3377" s="8"/>
    </row>
    <row r="3378" spans="16:16" x14ac:dyDescent="0.35">
      <c r="P3378" s="8"/>
    </row>
    <row r="3379" spans="16:16" x14ac:dyDescent="0.35">
      <c r="P3379" s="8"/>
    </row>
    <row r="3380" spans="16:16" x14ac:dyDescent="0.35">
      <c r="P3380" s="8"/>
    </row>
    <row r="3381" spans="16:16" x14ac:dyDescent="0.35">
      <c r="P3381" s="8"/>
    </row>
    <row r="3382" spans="16:16" x14ac:dyDescent="0.35">
      <c r="P3382" s="8"/>
    </row>
    <row r="3383" spans="16:16" x14ac:dyDescent="0.35">
      <c r="P3383" s="8"/>
    </row>
    <row r="3384" spans="16:16" x14ac:dyDescent="0.35">
      <c r="P3384" s="8"/>
    </row>
    <row r="3385" spans="16:16" x14ac:dyDescent="0.35">
      <c r="P3385" s="8"/>
    </row>
    <row r="3386" spans="16:16" x14ac:dyDescent="0.35">
      <c r="P3386" s="8"/>
    </row>
    <row r="3387" spans="16:16" x14ac:dyDescent="0.35">
      <c r="P3387" s="8"/>
    </row>
    <row r="3388" spans="16:16" x14ac:dyDescent="0.35">
      <c r="P3388" s="8"/>
    </row>
    <row r="3389" spans="16:16" x14ac:dyDescent="0.35">
      <c r="P3389" s="8"/>
    </row>
    <row r="3390" spans="16:16" x14ac:dyDescent="0.35">
      <c r="P3390" s="8"/>
    </row>
    <row r="3391" spans="16:16" x14ac:dyDescent="0.35">
      <c r="P3391" s="8"/>
    </row>
    <row r="3392" spans="16:16" x14ac:dyDescent="0.35">
      <c r="P3392" s="8"/>
    </row>
    <row r="3393" spans="16:16" x14ac:dyDescent="0.35">
      <c r="P3393" s="8"/>
    </row>
    <row r="3394" spans="16:16" x14ac:dyDescent="0.35">
      <c r="P3394" s="8"/>
    </row>
    <row r="3395" spans="16:16" x14ac:dyDescent="0.35">
      <c r="P3395" s="8"/>
    </row>
    <row r="3396" spans="16:16" x14ac:dyDescent="0.35">
      <c r="P3396" s="8"/>
    </row>
    <row r="3397" spans="16:16" x14ac:dyDescent="0.35">
      <c r="P3397" s="8"/>
    </row>
    <row r="3398" spans="16:16" x14ac:dyDescent="0.35">
      <c r="P3398" s="8"/>
    </row>
    <row r="3399" spans="16:16" x14ac:dyDescent="0.35">
      <c r="P3399" s="8"/>
    </row>
    <row r="3400" spans="16:16" x14ac:dyDescent="0.35">
      <c r="P3400" s="8"/>
    </row>
    <row r="3401" spans="16:16" x14ac:dyDescent="0.35">
      <c r="P3401" s="8"/>
    </row>
    <row r="3402" spans="16:16" x14ac:dyDescent="0.35">
      <c r="P3402" s="8"/>
    </row>
    <row r="3403" spans="16:16" x14ac:dyDescent="0.35">
      <c r="P3403" s="8"/>
    </row>
    <row r="3404" spans="16:16" x14ac:dyDescent="0.35">
      <c r="P3404" s="8"/>
    </row>
    <row r="3405" spans="16:16" x14ac:dyDescent="0.35">
      <c r="P3405" s="8"/>
    </row>
    <row r="3406" spans="16:16" x14ac:dyDescent="0.35">
      <c r="P3406" s="8"/>
    </row>
    <row r="3407" spans="16:16" x14ac:dyDescent="0.35">
      <c r="P3407" s="8"/>
    </row>
    <row r="3408" spans="16:16" x14ac:dyDescent="0.35">
      <c r="P3408" s="8"/>
    </row>
    <row r="3409" spans="16:16" x14ac:dyDescent="0.35">
      <c r="P3409" s="8"/>
    </row>
    <row r="3410" spans="16:16" x14ac:dyDescent="0.35">
      <c r="P3410" s="8"/>
    </row>
    <row r="3411" spans="16:16" x14ac:dyDescent="0.35">
      <c r="P3411" s="8"/>
    </row>
    <row r="3412" spans="16:16" x14ac:dyDescent="0.35">
      <c r="P3412" s="8"/>
    </row>
    <row r="3413" spans="16:16" x14ac:dyDescent="0.35">
      <c r="P3413" s="8"/>
    </row>
    <row r="3414" spans="16:16" x14ac:dyDescent="0.35">
      <c r="P3414" s="8"/>
    </row>
    <row r="3415" spans="16:16" x14ac:dyDescent="0.35">
      <c r="P3415" s="8"/>
    </row>
    <row r="3416" spans="16:16" x14ac:dyDescent="0.35">
      <c r="P3416" s="8"/>
    </row>
    <row r="3417" spans="16:16" x14ac:dyDescent="0.35">
      <c r="P3417" s="8"/>
    </row>
    <row r="3418" spans="16:16" x14ac:dyDescent="0.35">
      <c r="P3418" s="8"/>
    </row>
    <row r="3419" spans="16:16" x14ac:dyDescent="0.35">
      <c r="P3419" s="8"/>
    </row>
    <row r="3420" spans="16:16" x14ac:dyDescent="0.35">
      <c r="P3420" s="8"/>
    </row>
    <row r="3421" spans="16:16" x14ac:dyDescent="0.35">
      <c r="P3421" s="8"/>
    </row>
    <row r="3422" spans="16:16" x14ac:dyDescent="0.35">
      <c r="P3422" s="8"/>
    </row>
    <row r="3423" spans="16:16" x14ac:dyDescent="0.35">
      <c r="P3423" s="8"/>
    </row>
    <row r="3424" spans="16:16" x14ac:dyDescent="0.35">
      <c r="P3424" s="8"/>
    </row>
    <row r="3425" spans="16:16" x14ac:dyDescent="0.35">
      <c r="P3425" s="8"/>
    </row>
    <row r="3426" spans="16:16" x14ac:dyDescent="0.35">
      <c r="P3426" s="8"/>
    </row>
    <row r="3427" spans="16:16" x14ac:dyDescent="0.35">
      <c r="P3427" s="8"/>
    </row>
    <row r="3428" spans="16:16" x14ac:dyDescent="0.35">
      <c r="P3428" s="8"/>
    </row>
    <row r="3429" spans="16:16" x14ac:dyDescent="0.35">
      <c r="P3429" s="8"/>
    </row>
    <row r="3430" spans="16:16" x14ac:dyDescent="0.35">
      <c r="P3430" s="8"/>
    </row>
    <row r="3431" spans="16:16" x14ac:dyDescent="0.35">
      <c r="P3431" s="8"/>
    </row>
    <row r="3432" spans="16:16" x14ac:dyDescent="0.35">
      <c r="P3432" s="8"/>
    </row>
    <row r="3433" spans="16:16" x14ac:dyDescent="0.35">
      <c r="P3433" s="8"/>
    </row>
    <row r="3434" spans="16:16" x14ac:dyDescent="0.35">
      <c r="P3434" s="8"/>
    </row>
    <row r="3435" spans="16:16" x14ac:dyDescent="0.35">
      <c r="P3435" s="8"/>
    </row>
    <row r="3436" spans="16:16" x14ac:dyDescent="0.35">
      <c r="P3436" s="8"/>
    </row>
    <row r="3437" spans="16:16" x14ac:dyDescent="0.35">
      <c r="P3437" s="8"/>
    </row>
    <row r="3438" spans="16:16" x14ac:dyDescent="0.35">
      <c r="P3438" s="8"/>
    </row>
    <row r="3439" spans="16:16" x14ac:dyDescent="0.35">
      <c r="P3439" s="8"/>
    </row>
    <row r="3440" spans="16:16" x14ac:dyDescent="0.35">
      <c r="P3440" s="8"/>
    </row>
    <row r="3441" spans="16:16" x14ac:dyDescent="0.35">
      <c r="P3441" s="8"/>
    </row>
    <row r="3442" spans="16:16" x14ac:dyDescent="0.35">
      <c r="P3442" s="8"/>
    </row>
    <row r="3443" spans="16:16" x14ac:dyDescent="0.35">
      <c r="P3443" s="8"/>
    </row>
    <row r="3444" spans="16:16" x14ac:dyDescent="0.35">
      <c r="P3444" s="8"/>
    </row>
    <row r="3445" spans="16:16" x14ac:dyDescent="0.35">
      <c r="P3445" s="8"/>
    </row>
    <row r="3446" spans="16:16" x14ac:dyDescent="0.35">
      <c r="P3446" s="8"/>
    </row>
    <row r="3447" spans="16:16" x14ac:dyDescent="0.35">
      <c r="P3447" s="8"/>
    </row>
    <row r="3448" spans="16:16" x14ac:dyDescent="0.35">
      <c r="P3448" s="8"/>
    </row>
    <row r="3449" spans="16:16" x14ac:dyDescent="0.35">
      <c r="P3449" s="8"/>
    </row>
    <row r="3450" spans="16:16" x14ac:dyDescent="0.35">
      <c r="P3450" s="8"/>
    </row>
    <row r="3451" spans="16:16" x14ac:dyDescent="0.35">
      <c r="P3451" s="8"/>
    </row>
    <row r="3452" spans="16:16" x14ac:dyDescent="0.35">
      <c r="P3452" s="8"/>
    </row>
    <row r="3453" spans="16:16" x14ac:dyDescent="0.35">
      <c r="P3453" s="8"/>
    </row>
    <row r="3454" spans="16:16" x14ac:dyDescent="0.35">
      <c r="P3454" s="8"/>
    </row>
    <row r="3455" spans="16:16" x14ac:dyDescent="0.35">
      <c r="P3455" s="8"/>
    </row>
    <row r="3456" spans="16:16" x14ac:dyDescent="0.35">
      <c r="P3456" s="8"/>
    </row>
    <row r="3457" spans="16:16" x14ac:dyDescent="0.35">
      <c r="P3457" s="8"/>
    </row>
    <row r="3458" spans="16:16" x14ac:dyDescent="0.35">
      <c r="P3458" s="8"/>
    </row>
    <row r="3459" spans="16:16" x14ac:dyDescent="0.35">
      <c r="P3459" s="8"/>
    </row>
    <row r="3460" spans="16:16" x14ac:dyDescent="0.35">
      <c r="P3460" s="8"/>
    </row>
    <row r="3461" spans="16:16" x14ac:dyDescent="0.35">
      <c r="P3461" s="8"/>
    </row>
    <row r="3462" spans="16:16" x14ac:dyDescent="0.35">
      <c r="P3462" s="8"/>
    </row>
    <row r="3463" spans="16:16" x14ac:dyDescent="0.35">
      <c r="P3463" s="8"/>
    </row>
    <row r="3464" spans="16:16" x14ac:dyDescent="0.35">
      <c r="P3464" s="8"/>
    </row>
    <row r="3465" spans="16:16" x14ac:dyDescent="0.35">
      <c r="P3465" s="8"/>
    </row>
    <row r="3466" spans="16:16" x14ac:dyDescent="0.35">
      <c r="P3466" s="8"/>
    </row>
    <row r="3467" spans="16:16" x14ac:dyDescent="0.35">
      <c r="P3467" s="8"/>
    </row>
    <row r="3468" spans="16:16" x14ac:dyDescent="0.35">
      <c r="P3468" s="8"/>
    </row>
    <row r="3469" spans="16:16" x14ac:dyDescent="0.35">
      <c r="P3469" s="8"/>
    </row>
    <row r="3470" spans="16:16" x14ac:dyDescent="0.35">
      <c r="P3470" s="8"/>
    </row>
    <row r="3471" spans="16:16" x14ac:dyDescent="0.35">
      <c r="P3471" s="8"/>
    </row>
    <row r="3472" spans="16:16" x14ac:dyDescent="0.35">
      <c r="P3472" s="8"/>
    </row>
    <row r="3473" spans="16:16" x14ac:dyDescent="0.35">
      <c r="P3473" s="8"/>
    </row>
    <row r="3474" spans="16:16" x14ac:dyDescent="0.35">
      <c r="P3474" s="8"/>
    </row>
    <row r="3475" spans="16:16" x14ac:dyDescent="0.35">
      <c r="P3475" s="8"/>
    </row>
    <row r="3476" spans="16:16" x14ac:dyDescent="0.35">
      <c r="P3476" s="8"/>
    </row>
    <row r="3477" spans="16:16" x14ac:dyDescent="0.35">
      <c r="P3477" s="8"/>
    </row>
    <row r="3478" spans="16:16" x14ac:dyDescent="0.35">
      <c r="P3478" s="8"/>
    </row>
    <row r="3479" spans="16:16" x14ac:dyDescent="0.35">
      <c r="P3479" s="8"/>
    </row>
    <row r="3480" spans="16:16" x14ac:dyDescent="0.35">
      <c r="P3480" s="8"/>
    </row>
    <row r="3481" spans="16:16" x14ac:dyDescent="0.35">
      <c r="P3481" s="8"/>
    </row>
    <row r="3482" spans="16:16" x14ac:dyDescent="0.35">
      <c r="P3482" s="8"/>
    </row>
    <row r="3483" spans="16:16" x14ac:dyDescent="0.35">
      <c r="P3483" s="8"/>
    </row>
    <row r="3484" spans="16:16" x14ac:dyDescent="0.35">
      <c r="P3484" s="8"/>
    </row>
    <row r="3485" spans="16:16" x14ac:dyDescent="0.35">
      <c r="P3485" s="8"/>
    </row>
    <row r="3486" spans="16:16" x14ac:dyDescent="0.35">
      <c r="P3486" s="8"/>
    </row>
    <row r="3487" spans="16:16" x14ac:dyDescent="0.35">
      <c r="P3487" s="8"/>
    </row>
    <row r="3488" spans="16:16" x14ac:dyDescent="0.35">
      <c r="P3488" s="8"/>
    </row>
    <row r="3489" spans="16:16" x14ac:dyDescent="0.35">
      <c r="P3489" s="8"/>
    </row>
    <row r="3490" spans="16:16" x14ac:dyDescent="0.35">
      <c r="P3490" s="8"/>
    </row>
    <row r="3491" spans="16:16" x14ac:dyDescent="0.35">
      <c r="P3491" s="8"/>
    </row>
    <row r="3492" spans="16:16" x14ac:dyDescent="0.35">
      <c r="P3492" s="8"/>
    </row>
    <row r="3493" spans="16:16" x14ac:dyDescent="0.35">
      <c r="P3493" s="8"/>
    </row>
    <row r="3494" spans="16:16" x14ac:dyDescent="0.35">
      <c r="P3494" s="8"/>
    </row>
    <row r="3495" spans="16:16" x14ac:dyDescent="0.35">
      <c r="P3495" s="8"/>
    </row>
    <row r="3496" spans="16:16" x14ac:dyDescent="0.35">
      <c r="P3496" s="8"/>
    </row>
    <row r="3497" spans="16:16" x14ac:dyDescent="0.35">
      <c r="P3497" s="8"/>
    </row>
    <row r="3498" spans="16:16" x14ac:dyDescent="0.35">
      <c r="P3498" s="8"/>
    </row>
    <row r="3499" spans="16:16" x14ac:dyDescent="0.35">
      <c r="P3499" s="8"/>
    </row>
    <row r="3500" spans="16:16" x14ac:dyDescent="0.35">
      <c r="P3500" s="8"/>
    </row>
    <row r="3501" spans="16:16" x14ac:dyDescent="0.35">
      <c r="P3501" s="8"/>
    </row>
    <row r="3502" spans="16:16" x14ac:dyDescent="0.35">
      <c r="P3502" s="8"/>
    </row>
    <row r="3503" spans="16:16" x14ac:dyDescent="0.35">
      <c r="P3503" s="8"/>
    </row>
    <row r="3504" spans="16:16" x14ac:dyDescent="0.35">
      <c r="P3504" s="8"/>
    </row>
    <row r="3505" spans="16:16" x14ac:dyDescent="0.35">
      <c r="P3505" s="8"/>
    </row>
    <row r="3506" spans="16:16" x14ac:dyDescent="0.35">
      <c r="P3506" s="8"/>
    </row>
    <row r="3507" spans="16:16" x14ac:dyDescent="0.35">
      <c r="P3507" s="8"/>
    </row>
    <row r="3508" spans="16:16" x14ac:dyDescent="0.35">
      <c r="P3508" s="8"/>
    </row>
    <row r="3509" spans="16:16" x14ac:dyDescent="0.35">
      <c r="P3509" s="8"/>
    </row>
    <row r="3510" spans="16:16" x14ac:dyDescent="0.35">
      <c r="P3510" s="8"/>
    </row>
    <row r="3511" spans="16:16" x14ac:dyDescent="0.35">
      <c r="P3511" s="8"/>
    </row>
    <row r="3512" spans="16:16" x14ac:dyDescent="0.35">
      <c r="P3512" s="8"/>
    </row>
    <row r="3513" spans="16:16" x14ac:dyDescent="0.35">
      <c r="P3513" s="8"/>
    </row>
    <row r="3514" spans="16:16" x14ac:dyDescent="0.35">
      <c r="P3514" s="8"/>
    </row>
    <row r="3515" spans="16:16" x14ac:dyDescent="0.35">
      <c r="P3515" s="8"/>
    </row>
    <row r="3516" spans="16:16" x14ac:dyDescent="0.35">
      <c r="P3516" s="8"/>
    </row>
    <row r="3517" spans="16:16" x14ac:dyDescent="0.35">
      <c r="P3517" s="8"/>
    </row>
    <row r="3518" spans="16:16" x14ac:dyDescent="0.35">
      <c r="P3518" s="8"/>
    </row>
    <row r="3519" spans="16:16" x14ac:dyDescent="0.35">
      <c r="P3519" s="8"/>
    </row>
    <row r="3520" spans="16:16" x14ac:dyDescent="0.35">
      <c r="P3520" s="8"/>
    </row>
    <row r="3521" spans="16:16" x14ac:dyDescent="0.35">
      <c r="P3521" s="8"/>
    </row>
    <row r="3522" spans="16:16" x14ac:dyDescent="0.35">
      <c r="P3522" s="8"/>
    </row>
    <row r="3523" spans="16:16" x14ac:dyDescent="0.35">
      <c r="P3523" s="8"/>
    </row>
    <row r="3524" spans="16:16" x14ac:dyDescent="0.35">
      <c r="P3524" s="8"/>
    </row>
    <row r="3525" spans="16:16" x14ac:dyDescent="0.35">
      <c r="P3525" s="8"/>
    </row>
    <row r="3526" spans="16:16" x14ac:dyDescent="0.35">
      <c r="P3526" s="8"/>
    </row>
    <row r="3527" spans="16:16" x14ac:dyDescent="0.35">
      <c r="P3527" s="8"/>
    </row>
    <row r="3528" spans="16:16" x14ac:dyDescent="0.35">
      <c r="P3528" s="8"/>
    </row>
    <row r="3529" spans="16:16" x14ac:dyDescent="0.35">
      <c r="P3529" s="8"/>
    </row>
    <row r="3530" spans="16:16" x14ac:dyDescent="0.35">
      <c r="P3530" s="8"/>
    </row>
    <row r="3531" spans="16:16" x14ac:dyDescent="0.35">
      <c r="P3531" s="8"/>
    </row>
    <row r="3532" spans="16:16" x14ac:dyDescent="0.35">
      <c r="P3532" s="8"/>
    </row>
    <row r="3533" spans="16:16" x14ac:dyDescent="0.35">
      <c r="P3533" s="8"/>
    </row>
    <row r="3534" spans="16:16" x14ac:dyDescent="0.35">
      <c r="P3534" s="8"/>
    </row>
    <row r="3535" spans="16:16" x14ac:dyDescent="0.35">
      <c r="P3535" s="8"/>
    </row>
    <row r="3536" spans="16:16" x14ac:dyDescent="0.35">
      <c r="P3536" s="8"/>
    </row>
    <row r="3537" spans="16:16" x14ac:dyDescent="0.35">
      <c r="P3537" s="8"/>
    </row>
    <row r="3538" spans="16:16" x14ac:dyDescent="0.35">
      <c r="P3538" s="8"/>
    </row>
    <row r="3539" spans="16:16" x14ac:dyDescent="0.35">
      <c r="P3539" s="8"/>
    </row>
    <row r="3540" spans="16:16" x14ac:dyDescent="0.35">
      <c r="P3540" s="8"/>
    </row>
    <row r="3541" spans="16:16" x14ac:dyDescent="0.35">
      <c r="P3541" s="8"/>
    </row>
    <row r="3542" spans="16:16" x14ac:dyDescent="0.35">
      <c r="P3542" s="8"/>
    </row>
    <row r="3543" spans="16:16" x14ac:dyDescent="0.35">
      <c r="P3543" s="8"/>
    </row>
    <row r="3544" spans="16:16" x14ac:dyDescent="0.35">
      <c r="P3544" s="8"/>
    </row>
    <row r="3545" spans="16:16" x14ac:dyDescent="0.35">
      <c r="P3545" s="8"/>
    </row>
    <row r="3546" spans="16:16" x14ac:dyDescent="0.35">
      <c r="P3546" s="8"/>
    </row>
    <row r="3547" spans="16:16" x14ac:dyDescent="0.35">
      <c r="P3547" s="8"/>
    </row>
    <row r="3548" spans="16:16" x14ac:dyDescent="0.35">
      <c r="P3548" s="8"/>
    </row>
    <row r="3549" spans="16:16" x14ac:dyDescent="0.35">
      <c r="P3549" s="8"/>
    </row>
    <row r="3550" spans="16:16" x14ac:dyDescent="0.35">
      <c r="P3550" s="8"/>
    </row>
    <row r="3551" spans="16:16" x14ac:dyDescent="0.35">
      <c r="P3551" s="8"/>
    </row>
    <row r="3552" spans="16:16" x14ac:dyDescent="0.35">
      <c r="P3552" s="8"/>
    </row>
    <row r="3553" spans="16:16" x14ac:dyDescent="0.35">
      <c r="P3553" s="8"/>
    </row>
    <row r="3554" spans="16:16" x14ac:dyDescent="0.35">
      <c r="P3554" s="8"/>
    </row>
    <row r="3555" spans="16:16" x14ac:dyDescent="0.35">
      <c r="P3555" s="8"/>
    </row>
    <row r="3556" spans="16:16" x14ac:dyDescent="0.35">
      <c r="P3556" s="8"/>
    </row>
    <row r="3557" spans="16:16" x14ac:dyDescent="0.35">
      <c r="P3557" s="8"/>
    </row>
    <row r="3558" spans="16:16" x14ac:dyDescent="0.35">
      <c r="P3558" s="8"/>
    </row>
    <row r="3559" spans="16:16" x14ac:dyDescent="0.35">
      <c r="P3559" s="8"/>
    </row>
    <row r="3560" spans="16:16" x14ac:dyDescent="0.35">
      <c r="P3560" s="8"/>
    </row>
    <row r="3561" spans="16:16" x14ac:dyDescent="0.35">
      <c r="P3561" s="8"/>
    </row>
    <row r="3562" spans="16:16" x14ac:dyDescent="0.35">
      <c r="P3562" s="8"/>
    </row>
    <row r="3563" spans="16:16" x14ac:dyDescent="0.35">
      <c r="P3563" s="8"/>
    </row>
    <row r="3564" spans="16:16" x14ac:dyDescent="0.35">
      <c r="P3564" s="8"/>
    </row>
    <row r="3565" spans="16:16" x14ac:dyDescent="0.35">
      <c r="P3565" s="8"/>
    </row>
    <row r="3566" spans="16:16" x14ac:dyDescent="0.35">
      <c r="P3566" s="8"/>
    </row>
    <row r="3567" spans="16:16" x14ac:dyDescent="0.35">
      <c r="P3567" s="8"/>
    </row>
    <row r="3568" spans="16:16" x14ac:dyDescent="0.35">
      <c r="P3568" s="8"/>
    </row>
    <row r="3569" spans="16:16" x14ac:dyDescent="0.35">
      <c r="P3569" s="8"/>
    </row>
    <row r="3570" spans="16:16" x14ac:dyDescent="0.35">
      <c r="P3570" s="8"/>
    </row>
    <row r="3571" spans="16:16" x14ac:dyDescent="0.35">
      <c r="P3571" s="8"/>
    </row>
    <row r="3572" spans="16:16" x14ac:dyDescent="0.35">
      <c r="P3572" s="8"/>
    </row>
    <row r="3573" spans="16:16" x14ac:dyDescent="0.35">
      <c r="P3573" s="8"/>
    </row>
    <row r="3574" spans="16:16" x14ac:dyDescent="0.35">
      <c r="P3574" s="8"/>
    </row>
    <row r="3575" spans="16:16" x14ac:dyDescent="0.35">
      <c r="P3575" s="8"/>
    </row>
    <row r="3576" spans="16:16" x14ac:dyDescent="0.35">
      <c r="P3576" s="8"/>
    </row>
    <row r="3577" spans="16:16" x14ac:dyDescent="0.35">
      <c r="P3577" s="8"/>
    </row>
    <row r="3578" spans="16:16" x14ac:dyDescent="0.35">
      <c r="P3578" s="8"/>
    </row>
    <row r="3579" spans="16:16" x14ac:dyDescent="0.35">
      <c r="P3579" s="8"/>
    </row>
    <row r="3580" spans="16:16" x14ac:dyDescent="0.35">
      <c r="P3580" s="8"/>
    </row>
    <row r="3581" spans="16:16" x14ac:dyDescent="0.35">
      <c r="P3581" s="8"/>
    </row>
    <row r="3582" spans="16:16" x14ac:dyDescent="0.35">
      <c r="P3582" s="8"/>
    </row>
    <row r="3583" spans="16:16" x14ac:dyDescent="0.35">
      <c r="P3583" s="8"/>
    </row>
    <row r="3584" spans="16:16" x14ac:dyDescent="0.35">
      <c r="P3584" s="8"/>
    </row>
    <row r="3585" spans="16:16" x14ac:dyDescent="0.35">
      <c r="P3585" s="8"/>
    </row>
    <row r="3586" spans="16:16" x14ac:dyDescent="0.35">
      <c r="P3586" s="8"/>
    </row>
    <row r="3587" spans="16:16" x14ac:dyDescent="0.35">
      <c r="P3587" s="8"/>
    </row>
    <row r="3588" spans="16:16" x14ac:dyDescent="0.35">
      <c r="P3588" s="8"/>
    </row>
    <row r="3589" spans="16:16" x14ac:dyDescent="0.35">
      <c r="P3589" s="8"/>
    </row>
    <row r="3590" spans="16:16" x14ac:dyDescent="0.35">
      <c r="P3590" s="8"/>
    </row>
    <row r="3591" spans="16:16" x14ac:dyDescent="0.35">
      <c r="P3591" s="8"/>
    </row>
    <row r="3592" spans="16:16" x14ac:dyDescent="0.35">
      <c r="P3592" s="8"/>
    </row>
    <row r="3593" spans="16:16" x14ac:dyDescent="0.35">
      <c r="P3593" s="8"/>
    </row>
    <row r="3594" spans="16:16" x14ac:dyDescent="0.35">
      <c r="P3594" s="8"/>
    </row>
    <row r="3595" spans="16:16" x14ac:dyDescent="0.35">
      <c r="P3595" s="8"/>
    </row>
    <row r="3596" spans="16:16" x14ac:dyDescent="0.35">
      <c r="P3596" s="8"/>
    </row>
    <row r="3597" spans="16:16" x14ac:dyDescent="0.35">
      <c r="P3597" s="8"/>
    </row>
    <row r="3598" spans="16:16" x14ac:dyDescent="0.35">
      <c r="P3598" s="8"/>
    </row>
    <row r="3599" spans="16:16" x14ac:dyDescent="0.35">
      <c r="P3599" s="8"/>
    </row>
    <row r="3600" spans="16:16" x14ac:dyDescent="0.35">
      <c r="P3600" s="8"/>
    </row>
    <row r="3601" spans="16:16" x14ac:dyDescent="0.35">
      <c r="P3601" s="8"/>
    </row>
    <row r="3602" spans="16:16" x14ac:dyDescent="0.35">
      <c r="P3602" s="8"/>
    </row>
    <row r="3603" spans="16:16" x14ac:dyDescent="0.35">
      <c r="P3603" s="8"/>
    </row>
    <row r="3604" spans="16:16" x14ac:dyDescent="0.35">
      <c r="P3604" s="8"/>
    </row>
    <row r="3605" spans="16:16" x14ac:dyDescent="0.35">
      <c r="P3605" s="8"/>
    </row>
    <row r="3606" spans="16:16" x14ac:dyDescent="0.35">
      <c r="P3606" s="8"/>
    </row>
    <row r="3607" spans="16:16" x14ac:dyDescent="0.35">
      <c r="P3607" s="8"/>
    </row>
    <row r="3608" spans="16:16" x14ac:dyDescent="0.35">
      <c r="P3608" s="8"/>
    </row>
    <row r="3609" spans="16:16" x14ac:dyDescent="0.35">
      <c r="P3609" s="8"/>
    </row>
    <row r="3610" spans="16:16" x14ac:dyDescent="0.35">
      <c r="P3610" s="8"/>
    </row>
    <row r="3611" spans="16:16" x14ac:dyDescent="0.35">
      <c r="P3611" s="8"/>
    </row>
    <row r="3612" spans="16:16" x14ac:dyDescent="0.35">
      <c r="P3612" s="8"/>
    </row>
    <row r="3613" spans="16:16" x14ac:dyDescent="0.35">
      <c r="P3613" s="8"/>
    </row>
    <row r="3614" spans="16:16" x14ac:dyDescent="0.35">
      <c r="P3614" s="8"/>
    </row>
    <row r="3615" spans="16:16" x14ac:dyDescent="0.35">
      <c r="P3615" s="8"/>
    </row>
    <row r="3616" spans="16:16" x14ac:dyDescent="0.35">
      <c r="P3616" s="8"/>
    </row>
    <row r="3617" spans="16:16" x14ac:dyDescent="0.35">
      <c r="P3617" s="8"/>
    </row>
    <row r="3618" spans="16:16" x14ac:dyDescent="0.35">
      <c r="P3618" s="8"/>
    </row>
    <row r="3619" spans="16:16" x14ac:dyDescent="0.35">
      <c r="P3619" s="8"/>
    </row>
    <row r="3620" spans="16:16" x14ac:dyDescent="0.35">
      <c r="P3620" s="8"/>
    </row>
    <row r="3621" spans="16:16" x14ac:dyDescent="0.35">
      <c r="P3621" s="8"/>
    </row>
    <row r="3622" spans="16:16" x14ac:dyDescent="0.35">
      <c r="P3622" s="8"/>
    </row>
    <row r="3623" spans="16:16" x14ac:dyDescent="0.35">
      <c r="P3623" s="8"/>
    </row>
    <row r="3624" spans="16:16" x14ac:dyDescent="0.35">
      <c r="P3624" s="8"/>
    </row>
    <row r="3625" spans="16:16" x14ac:dyDescent="0.35">
      <c r="P3625" s="8"/>
    </row>
    <row r="3626" spans="16:16" x14ac:dyDescent="0.35">
      <c r="P3626" s="8"/>
    </row>
    <row r="3627" spans="16:16" x14ac:dyDescent="0.35">
      <c r="P3627" s="8"/>
    </row>
    <row r="3628" spans="16:16" x14ac:dyDescent="0.35">
      <c r="P3628" s="8"/>
    </row>
    <row r="3629" spans="16:16" x14ac:dyDescent="0.35">
      <c r="P3629" s="8"/>
    </row>
    <row r="3630" spans="16:16" x14ac:dyDescent="0.35">
      <c r="P3630" s="8"/>
    </row>
    <row r="3631" spans="16:16" x14ac:dyDescent="0.35">
      <c r="P3631" s="8"/>
    </row>
    <row r="3632" spans="16:16" x14ac:dyDescent="0.35">
      <c r="P3632" s="8"/>
    </row>
    <row r="3633" spans="16:16" x14ac:dyDescent="0.35">
      <c r="P3633" s="8"/>
    </row>
    <row r="3634" spans="16:16" x14ac:dyDescent="0.35">
      <c r="P3634" s="8"/>
    </row>
    <row r="3635" spans="16:16" x14ac:dyDescent="0.35">
      <c r="P3635" s="8"/>
    </row>
    <row r="3636" spans="16:16" x14ac:dyDescent="0.35">
      <c r="P3636" s="8"/>
    </row>
    <row r="3637" spans="16:16" x14ac:dyDescent="0.35">
      <c r="P3637" s="8"/>
    </row>
    <row r="3638" spans="16:16" x14ac:dyDescent="0.35">
      <c r="P3638" s="8"/>
    </row>
    <row r="3639" spans="16:16" x14ac:dyDescent="0.35">
      <c r="P3639" s="8"/>
    </row>
    <row r="3640" spans="16:16" x14ac:dyDescent="0.35">
      <c r="P3640" s="8"/>
    </row>
    <row r="3641" spans="16:16" x14ac:dyDescent="0.35">
      <c r="P3641" s="8"/>
    </row>
    <row r="3642" spans="16:16" x14ac:dyDescent="0.35">
      <c r="P3642" s="8"/>
    </row>
    <row r="3643" spans="16:16" x14ac:dyDescent="0.35">
      <c r="P3643" s="8"/>
    </row>
    <row r="3644" spans="16:16" x14ac:dyDescent="0.35">
      <c r="P3644" s="8"/>
    </row>
    <row r="3645" spans="16:16" x14ac:dyDescent="0.35">
      <c r="P3645" s="8"/>
    </row>
    <row r="3646" spans="16:16" x14ac:dyDescent="0.35">
      <c r="P3646" s="8"/>
    </row>
    <row r="3647" spans="16:16" x14ac:dyDescent="0.35">
      <c r="P3647" s="8"/>
    </row>
    <row r="3648" spans="16:16" x14ac:dyDescent="0.35">
      <c r="P3648" s="8"/>
    </row>
    <row r="3649" spans="16:16" x14ac:dyDescent="0.35">
      <c r="P3649" s="8"/>
    </row>
    <row r="3650" spans="16:16" x14ac:dyDescent="0.35">
      <c r="P3650" s="8"/>
    </row>
    <row r="3651" spans="16:16" x14ac:dyDescent="0.35">
      <c r="P3651" s="8"/>
    </row>
    <row r="3652" spans="16:16" x14ac:dyDescent="0.35">
      <c r="P3652" s="8"/>
    </row>
    <row r="3653" spans="16:16" x14ac:dyDescent="0.35">
      <c r="P3653" s="8"/>
    </row>
    <row r="3654" spans="16:16" x14ac:dyDescent="0.35">
      <c r="P3654" s="8"/>
    </row>
    <row r="3655" spans="16:16" x14ac:dyDescent="0.35">
      <c r="P3655" s="8"/>
    </row>
    <row r="3656" spans="16:16" x14ac:dyDescent="0.35">
      <c r="P3656" s="8"/>
    </row>
    <row r="3657" spans="16:16" x14ac:dyDescent="0.35">
      <c r="P3657" s="8"/>
    </row>
    <row r="3658" spans="16:16" x14ac:dyDescent="0.35">
      <c r="P3658" s="8"/>
    </row>
    <row r="3659" spans="16:16" x14ac:dyDescent="0.35">
      <c r="P3659" s="8"/>
    </row>
    <row r="3660" spans="16:16" x14ac:dyDescent="0.35">
      <c r="P3660" s="8"/>
    </row>
    <row r="3661" spans="16:16" x14ac:dyDescent="0.35">
      <c r="P3661" s="8"/>
    </row>
    <row r="3662" spans="16:16" x14ac:dyDescent="0.35">
      <c r="P3662" s="8"/>
    </row>
    <row r="3663" spans="16:16" x14ac:dyDescent="0.35">
      <c r="P3663" s="8"/>
    </row>
    <row r="3664" spans="16:16" x14ac:dyDescent="0.35">
      <c r="P3664" s="8"/>
    </row>
    <row r="3665" spans="16:16" x14ac:dyDescent="0.35">
      <c r="P3665" s="8"/>
    </row>
    <row r="3666" spans="16:16" x14ac:dyDescent="0.35">
      <c r="P3666" s="8"/>
    </row>
    <row r="3667" spans="16:16" x14ac:dyDescent="0.35">
      <c r="P3667" s="8"/>
    </row>
    <row r="3668" spans="16:16" x14ac:dyDescent="0.35">
      <c r="P3668" s="8"/>
    </row>
    <row r="3669" spans="16:16" x14ac:dyDescent="0.35">
      <c r="P3669" s="8"/>
    </row>
    <row r="3670" spans="16:16" x14ac:dyDescent="0.35">
      <c r="P3670" s="8"/>
    </row>
    <row r="3671" spans="16:16" x14ac:dyDescent="0.35">
      <c r="P3671" s="8"/>
    </row>
    <row r="3672" spans="16:16" x14ac:dyDescent="0.35">
      <c r="P3672" s="8"/>
    </row>
    <row r="3673" spans="16:16" x14ac:dyDescent="0.35">
      <c r="P3673" s="8"/>
    </row>
    <row r="3674" spans="16:16" x14ac:dyDescent="0.35">
      <c r="P3674" s="8"/>
    </row>
    <row r="3675" spans="16:16" x14ac:dyDescent="0.35">
      <c r="P3675" s="8"/>
    </row>
    <row r="3676" spans="16:16" x14ac:dyDescent="0.35">
      <c r="P3676" s="8"/>
    </row>
    <row r="3677" spans="16:16" x14ac:dyDescent="0.35">
      <c r="P3677" s="8"/>
    </row>
    <row r="3678" spans="16:16" x14ac:dyDescent="0.35">
      <c r="P3678" s="8"/>
    </row>
    <row r="3679" spans="16:16" x14ac:dyDescent="0.35">
      <c r="P3679" s="8"/>
    </row>
    <row r="3680" spans="16:16" x14ac:dyDescent="0.35">
      <c r="P3680" s="8"/>
    </row>
    <row r="3681" spans="16:16" x14ac:dyDescent="0.35">
      <c r="P3681" s="8"/>
    </row>
    <row r="3682" spans="16:16" x14ac:dyDescent="0.35">
      <c r="P3682" s="8"/>
    </row>
    <row r="3683" spans="16:16" x14ac:dyDescent="0.35">
      <c r="P3683" s="8"/>
    </row>
    <row r="3684" spans="16:16" x14ac:dyDescent="0.35">
      <c r="P3684" s="8"/>
    </row>
    <row r="3685" spans="16:16" x14ac:dyDescent="0.35">
      <c r="P3685" s="8"/>
    </row>
    <row r="3686" spans="16:16" x14ac:dyDescent="0.35">
      <c r="P3686" s="8"/>
    </row>
    <row r="3687" spans="16:16" x14ac:dyDescent="0.35">
      <c r="P3687" s="8"/>
    </row>
    <row r="3688" spans="16:16" x14ac:dyDescent="0.35">
      <c r="P3688" s="8"/>
    </row>
    <row r="3689" spans="16:16" x14ac:dyDescent="0.35">
      <c r="P3689" s="8"/>
    </row>
    <row r="3690" spans="16:16" x14ac:dyDescent="0.35">
      <c r="P3690" s="8"/>
    </row>
    <row r="3691" spans="16:16" x14ac:dyDescent="0.35">
      <c r="P3691" s="8"/>
    </row>
    <row r="3692" spans="16:16" x14ac:dyDescent="0.35">
      <c r="P3692" s="8"/>
    </row>
    <row r="3693" spans="16:16" x14ac:dyDescent="0.35">
      <c r="P3693" s="8"/>
    </row>
    <row r="3694" spans="16:16" x14ac:dyDescent="0.35">
      <c r="P3694" s="8"/>
    </row>
    <row r="3695" spans="16:16" x14ac:dyDescent="0.35">
      <c r="P3695" s="8"/>
    </row>
    <row r="3696" spans="16:16" x14ac:dyDescent="0.35">
      <c r="P3696" s="8"/>
    </row>
    <row r="3697" spans="16:16" x14ac:dyDescent="0.35">
      <c r="P3697" s="8"/>
    </row>
    <row r="3698" spans="16:16" x14ac:dyDescent="0.35">
      <c r="P3698" s="8"/>
    </row>
    <row r="3699" spans="16:16" x14ac:dyDescent="0.35">
      <c r="P3699" s="8"/>
    </row>
    <row r="3700" spans="16:16" x14ac:dyDescent="0.35">
      <c r="P3700" s="8"/>
    </row>
    <row r="3701" spans="16:16" x14ac:dyDescent="0.35">
      <c r="P3701" s="8"/>
    </row>
    <row r="3702" spans="16:16" x14ac:dyDescent="0.35">
      <c r="P3702" s="8"/>
    </row>
    <row r="3703" spans="16:16" x14ac:dyDescent="0.35">
      <c r="P3703" s="8"/>
    </row>
    <row r="3704" spans="16:16" x14ac:dyDescent="0.35">
      <c r="P3704" s="8"/>
    </row>
    <row r="3705" spans="16:16" x14ac:dyDescent="0.35">
      <c r="P3705" s="8"/>
    </row>
    <row r="3706" spans="16:16" x14ac:dyDescent="0.35">
      <c r="P3706" s="8"/>
    </row>
    <row r="3707" spans="16:16" x14ac:dyDescent="0.35">
      <c r="P3707" s="8"/>
    </row>
    <row r="3708" spans="16:16" x14ac:dyDescent="0.35">
      <c r="P3708" s="8"/>
    </row>
    <row r="3709" spans="16:16" x14ac:dyDescent="0.35">
      <c r="P3709" s="8"/>
    </row>
    <row r="3710" spans="16:16" x14ac:dyDescent="0.35">
      <c r="P3710" s="8"/>
    </row>
    <row r="3711" spans="16:16" x14ac:dyDescent="0.35">
      <c r="P3711" s="8"/>
    </row>
    <row r="3712" spans="16:16" x14ac:dyDescent="0.35">
      <c r="P3712" s="8"/>
    </row>
    <row r="3713" spans="16:16" x14ac:dyDescent="0.35">
      <c r="P3713" s="8"/>
    </row>
    <row r="3714" spans="16:16" x14ac:dyDescent="0.35">
      <c r="P3714" s="8"/>
    </row>
    <row r="3715" spans="16:16" x14ac:dyDescent="0.35">
      <c r="P3715" s="8"/>
    </row>
    <row r="3716" spans="16:16" x14ac:dyDescent="0.35">
      <c r="P3716" s="8"/>
    </row>
    <row r="3717" spans="16:16" x14ac:dyDescent="0.35">
      <c r="P3717" s="8"/>
    </row>
    <row r="3718" spans="16:16" x14ac:dyDescent="0.35">
      <c r="P3718" s="8"/>
    </row>
    <row r="3719" spans="16:16" x14ac:dyDescent="0.35">
      <c r="P3719" s="8"/>
    </row>
    <row r="3720" spans="16:16" x14ac:dyDescent="0.35">
      <c r="P3720" s="8"/>
    </row>
    <row r="3721" spans="16:16" x14ac:dyDescent="0.35">
      <c r="P3721" s="8"/>
    </row>
    <row r="3722" spans="16:16" x14ac:dyDescent="0.35">
      <c r="P3722" s="8"/>
    </row>
    <row r="3723" spans="16:16" x14ac:dyDescent="0.35">
      <c r="P3723" s="8"/>
    </row>
    <row r="3724" spans="16:16" x14ac:dyDescent="0.35">
      <c r="P3724" s="8"/>
    </row>
    <row r="3725" spans="16:16" x14ac:dyDescent="0.35">
      <c r="P3725" s="8"/>
    </row>
    <row r="3726" spans="16:16" x14ac:dyDescent="0.35">
      <c r="P3726" s="8"/>
    </row>
    <row r="3727" spans="16:16" x14ac:dyDescent="0.35">
      <c r="P3727" s="8"/>
    </row>
    <row r="3728" spans="16:16" x14ac:dyDescent="0.35">
      <c r="P3728" s="8"/>
    </row>
    <row r="3729" spans="16:16" x14ac:dyDescent="0.35">
      <c r="P3729" s="8"/>
    </row>
    <row r="3730" spans="16:16" x14ac:dyDescent="0.35">
      <c r="P3730" s="8"/>
    </row>
    <row r="3731" spans="16:16" x14ac:dyDescent="0.35">
      <c r="P3731" s="8"/>
    </row>
    <row r="3732" spans="16:16" x14ac:dyDescent="0.35">
      <c r="P3732" s="8"/>
    </row>
    <row r="3733" spans="16:16" x14ac:dyDescent="0.35">
      <c r="P3733" s="8"/>
    </row>
    <row r="3734" spans="16:16" x14ac:dyDescent="0.35">
      <c r="P3734" s="8"/>
    </row>
    <row r="3735" spans="16:16" x14ac:dyDescent="0.35">
      <c r="P3735" s="8"/>
    </row>
    <row r="3736" spans="16:16" x14ac:dyDescent="0.35">
      <c r="P3736" s="8"/>
    </row>
    <row r="3737" spans="16:16" x14ac:dyDescent="0.35">
      <c r="P3737" s="8"/>
    </row>
    <row r="3738" spans="16:16" x14ac:dyDescent="0.35">
      <c r="P3738" s="8"/>
    </row>
    <row r="3739" spans="16:16" x14ac:dyDescent="0.35">
      <c r="P3739" s="8"/>
    </row>
    <row r="3740" spans="16:16" x14ac:dyDescent="0.35">
      <c r="P3740" s="8"/>
    </row>
    <row r="3741" spans="16:16" x14ac:dyDescent="0.35">
      <c r="P3741" s="8"/>
    </row>
    <row r="3742" spans="16:16" x14ac:dyDescent="0.35">
      <c r="P3742" s="8"/>
    </row>
    <row r="3743" spans="16:16" x14ac:dyDescent="0.35">
      <c r="P3743" s="8"/>
    </row>
    <row r="3744" spans="16:16" x14ac:dyDescent="0.35">
      <c r="P3744" s="8"/>
    </row>
    <row r="3745" spans="16:16" x14ac:dyDescent="0.35">
      <c r="P3745" s="8"/>
    </row>
    <row r="3746" spans="16:16" x14ac:dyDescent="0.35">
      <c r="P3746" s="8"/>
    </row>
    <row r="3747" spans="16:16" x14ac:dyDescent="0.35">
      <c r="P3747" s="8"/>
    </row>
    <row r="3748" spans="16:16" x14ac:dyDescent="0.35">
      <c r="P3748" s="8"/>
    </row>
    <row r="3749" spans="16:16" x14ac:dyDescent="0.35">
      <c r="P3749" s="8"/>
    </row>
    <row r="3750" spans="16:16" x14ac:dyDescent="0.35">
      <c r="P3750" s="8"/>
    </row>
    <row r="3751" spans="16:16" x14ac:dyDescent="0.35">
      <c r="P3751" s="8"/>
    </row>
    <row r="3752" spans="16:16" x14ac:dyDescent="0.35">
      <c r="P3752" s="8"/>
    </row>
    <row r="3753" spans="16:16" x14ac:dyDescent="0.35">
      <c r="P3753" s="8"/>
    </row>
    <row r="3754" spans="16:16" x14ac:dyDescent="0.35">
      <c r="P3754" s="8"/>
    </row>
    <row r="3755" spans="16:16" x14ac:dyDescent="0.35">
      <c r="P3755" s="8"/>
    </row>
    <row r="3756" spans="16:16" x14ac:dyDescent="0.35">
      <c r="P3756" s="8"/>
    </row>
    <row r="3757" spans="16:16" x14ac:dyDescent="0.35">
      <c r="P3757" s="8"/>
    </row>
    <row r="3758" spans="16:16" x14ac:dyDescent="0.35">
      <c r="P3758" s="8"/>
    </row>
    <row r="3759" spans="16:16" x14ac:dyDescent="0.35">
      <c r="P3759" s="8"/>
    </row>
    <row r="3760" spans="16:16" x14ac:dyDescent="0.35">
      <c r="P3760" s="8"/>
    </row>
    <row r="3761" spans="16:16" x14ac:dyDescent="0.35">
      <c r="P3761" s="8"/>
    </row>
    <row r="3762" spans="16:16" x14ac:dyDescent="0.35">
      <c r="P3762" s="8"/>
    </row>
    <row r="3763" spans="16:16" x14ac:dyDescent="0.35">
      <c r="P3763" s="8"/>
    </row>
    <row r="3764" spans="16:16" x14ac:dyDescent="0.35">
      <c r="P3764" s="8"/>
    </row>
    <row r="3765" spans="16:16" x14ac:dyDescent="0.35">
      <c r="P3765" s="8"/>
    </row>
    <row r="3766" spans="16:16" x14ac:dyDescent="0.35">
      <c r="P3766" s="8"/>
    </row>
    <row r="3767" spans="16:16" x14ac:dyDescent="0.35">
      <c r="P3767" s="8"/>
    </row>
    <row r="3768" spans="16:16" x14ac:dyDescent="0.35">
      <c r="P3768" s="8"/>
    </row>
    <row r="3769" spans="16:16" x14ac:dyDescent="0.35">
      <c r="P3769" s="8"/>
    </row>
    <row r="3770" spans="16:16" x14ac:dyDescent="0.35">
      <c r="P3770" s="8"/>
    </row>
    <row r="3771" spans="16:16" x14ac:dyDescent="0.35">
      <c r="P3771" s="8"/>
    </row>
    <row r="3772" spans="16:16" x14ac:dyDescent="0.35">
      <c r="P3772" s="8"/>
    </row>
    <row r="3773" spans="16:16" x14ac:dyDescent="0.35">
      <c r="P3773" s="8"/>
    </row>
    <row r="3774" spans="16:16" x14ac:dyDescent="0.35">
      <c r="P3774" s="8"/>
    </row>
    <row r="3775" spans="16:16" x14ac:dyDescent="0.35">
      <c r="P3775" s="8"/>
    </row>
    <row r="3776" spans="16:16" x14ac:dyDescent="0.35">
      <c r="P3776" s="8"/>
    </row>
    <row r="3777" spans="16:16" x14ac:dyDescent="0.35">
      <c r="P3777" s="8"/>
    </row>
    <row r="3778" spans="16:16" x14ac:dyDescent="0.35">
      <c r="P3778" s="8"/>
    </row>
    <row r="3779" spans="16:16" x14ac:dyDescent="0.35">
      <c r="P3779" s="8"/>
    </row>
    <row r="3780" spans="16:16" x14ac:dyDescent="0.35">
      <c r="P3780" s="8"/>
    </row>
    <row r="3781" spans="16:16" x14ac:dyDescent="0.35">
      <c r="P3781" s="8"/>
    </row>
    <row r="3782" spans="16:16" x14ac:dyDescent="0.35">
      <c r="P3782" s="8"/>
    </row>
    <row r="3783" spans="16:16" x14ac:dyDescent="0.35">
      <c r="P3783" s="8"/>
    </row>
    <row r="3784" spans="16:16" x14ac:dyDescent="0.35">
      <c r="P3784" s="8"/>
    </row>
    <row r="3785" spans="16:16" x14ac:dyDescent="0.35">
      <c r="P3785" s="8"/>
    </row>
    <row r="3786" spans="16:16" x14ac:dyDescent="0.35">
      <c r="P3786" s="8"/>
    </row>
    <row r="3787" spans="16:16" x14ac:dyDescent="0.35">
      <c r="P3787" s="8"/>
    </row>
    <row r="3788" spans="16:16" x14ac:dyDescent="0.35">
      <c r="P3788" s="8"/>
    </row>
    <row r="3789" spans="16:16" x14ac:dyDescent="0.35">
      <c r="P3789" s="8"/>
    </row>
    <row r="3790" spans="16:16" x14ac:dyDescent="0.35">
      <c r="P3790" s="8"/>
    </row>
    <row r="3791" spans="16:16" x14ac:dyDescent="0.35">
      <c r="P3791" s="8"/>
    </row>
    <row r="3792" spans="16:16" x14ac:dyDescent="0.35">
      <c r="P3792" s="8"/>
    </row>
    <row r="3793" spans="16:16" x14ac:dyDescent="0.35">
      <c r="P3793" s="8"/>
    </row>
    <row r="3794" spans="16:16" x14ac:dyDescent="0.35">
      <c r="P3794" s="8"/>
    </row>
    <row r="3795" spans="16:16" x14ac:dyDescent="0.35">
      <c r="P3795" s="8"/>
    </row>
    <row r="3796" spans="16:16" x14ac:dyDescent="0.35">
      <c r="P3796" s="8"/>
    </row>
    <row r="3797" spans="16:16" x14ac:dyDescent="0.35">
      <c r="P3797" s="8"/>
    </row>
    <row r="3798" spans="16:16" x14ac:dyDescent="0.35">
      <c r="P3798" s="8"/>
    </row>
    <row r="3799" spans="16:16" x14ac:dyDescent="0.35">
      <c r="P3799" s="8"/>
    </row>
    <row r="3800" spans="16:16" x14ac:dyDescent="0.35">
      <c r="P3800" s="8"/>
    </row>
    <row r="3801" spans="16:16" x14ac:dyDescent="0.35">
      <c r="P3801" s="8"/>
    </row>
    <row r="3802" spans="16:16" x14ac:dyDescent="0.35">
      <c r="P3802" s="8"/>
    </row>
    <row r="3803" spans="16:16" x14ac:dyDescent="0.35">
      <c r="P3803" s="8"/>
    </row>
    <row r="3804" spans="16:16" x14ac:dyDescent="0.35">
      <c r="P3804" s="8"/>
    </row>
    <row r="3805" spans="16:16" x14ac:dyDescent="0.35">
      <c r="P3805" s="8"/>
    </row>
    <row r="3806" spans="16:16" x14ac:dyDescent="0.35">
      <c r="P3806" s="8"/>
    </row>
    <row r="3807" spans="16:16" x14ac:dyDescent="0.35">
      <c r="P3807" s="8"/>
    </row>
    <row r="3808" spans="16:16" x14ac:dyDescent="0.35">
      <c r="P3808" s="8"/>
    </row>
    <row r="3809" spans="16:16" x14ac:dyDescent="0.35">
      <c r="P3809" s="8"/>
    </row>
    <row r="3810" spans="16:16" x14ac:dyDescent="0.35">
      <c r="P3810" s="8"/>
    </row>
    <row r="3811" spans="16:16" x14ac:dyDescent="0.35">
      <c r="P3811" s="8"/>
    </row>
    <row r="3812" spans="16:16" x14ac:dyDescent="0.35">
      <c r="P3812" s="8"/>
    </row>
    <row r="3813" spans="16:16" x14ac:dyDescent="0.35">
      <c r="P3813" s="8"/>
    </row>
    <row r="3814" spans="16:16" x14ac:dyDescent="0.35">
      <c r="P3814" s="8"/>
    </row>
    <row r="3815" spans="16:16" x14ac:dyDescent="0.35">
      <c r="P3815" s="8"/>
    </row>
    <row r="3816" spans="16:16" x14ac:dyDescent="0.35">
      <c r="P3816" s="8"/>
    </row>
    <row r="3817" spans="16:16" x14ac:dyDescent="0.35">
      <c r="P3817" s="8"/>
    </row>
    <row r="3818" spans="16:16" x14ac:dyDescent="0.35">
      <c r="P3818" s="8"/>
    </row>
    <row r="3819" spans="16:16" x14ac:dyDescent="0.35">
      <c r="P3819" s="8"/>
    </row>
    <row r="3820" spans="16:16" x14ac:dyDescent="0.35">
      <c r="P3820" s="8"/>
    </row>
    <row r="3821" spans="16:16" x14ac:dyDescent="0.35">
      <c r="P3821" s="8"/>
    </row>
    <row r="3822" spans="16:16" x14ac:dyDescent="0.35">
      <c r="P3822" s="8"/>
    </row>
    <row r="3823" spans="16:16" x14ac:dyDescent="0.35">
      <c r="P3823" s="8"/>
    </row>
    <row r="3824" spans="16:16" x14ac:dyDescent="0.35">
      <c r="P3824" s="8"/>
    </row>
    <row r="3825" spans="16:16" x14ac:dyDescent="0.35">
      <c r="P3825" s="8"/>
    </row>
    <row r="3826" spans="16:16" x14ac:dyDescent="0.35">
      <c r="P3826" s="8"/>
    </row>
    <row r="3827" spans="16:16" x14ac:dyDescent="0.35">
      <c r="P3827" s="8"/>
    </row>
    <row r="3828" spans="16:16" x14ac:dyDescent="0.35">
      <c r="P3828" s="8"/>
    </row>
    <row r="3829" spans="16:16" x14ac:dyDescent="0.35">
      <c r="P3829" s="8"/>
    </row>
    <row r="3830" spans="16:16" x14ac:dyDescent="0.35">
      <c r="P3830" s="8"/>
    </row>
    <row r="3831" spans="16:16" x14ac:dyDescent="0.35">
      <c r="P3831" s="8"/>
    </row>
    <row r="3832" spans="16:16" x14ac:dyDescent="0.35">
      <c r="P3832" s="8"/>
    </row>
    <row r="3833" spans="16:16" x14ac:dyDescent="0.35">
      <c r="P3833" s="8"/>
    </row>
    <row r="3834" spans="16:16" x14ac:dyDescent="0.35">
      <c r="P3834" s="8"/>
    </row>
    <row r="3835" spans="16:16" x14ac:dyDescent="0.35">
      <c r="P3835" s="8"/>
    </row>
    <row r="3836" spans="16:16" x14ac:dyDescent="0.35">
      <c r="P3836" s="8"/>
    </row>
    <row r="3837" spans="16:16" x14ac:dyDescent="0.35">
      <c r="P3837" s="8"/>
    </row>
    <row r="3838" spans="16:16" x14ac:dyDescent="0.35">
      <c r="P3838" s="8"/>
    </row>
    <row r="3839" spans="16:16" x14ac:dyDescent="0.35">
      <c r="P3839" s="8"/>
    </row>
    <row r="3840" spans="16:16" x14ac:dyDescent="0.35">
      <c r="P3840" s="8"/>
    </row>
    <row r="3841" spans="16:16" x14ac:dyDescent="0.35">
      <c r="P3841" s="8"/>
    </row>
    <row r="3842" spans="16:16" x14ac:dyDescent="0.35">
      <c r="P3842" s="8"/>
    </row>
    <row r="3843" spans="16:16" x14ac:dyDescent="0.35">
      <c r="P3843" s="8"/>
    </row>
    <row r="3844" spans="16:16" x14ac:dyDescent="0.35">
      <c r="P3844" s="8"/>
    </row>
    <row r="3845" spans="16:16" x14ac:dyDescent="0.35">
      <c r="P3845" s="8"/>
    </row>
    <row r="3846" spans="16:16" x14ac:dyDescent="0.35">
      <c r="P3846" s="8"/>
    </row>
    <row r="3847" spans="16:16" x14ac:dyDescent="0.35">
      <c r="P3847" s="8"/>
    </row>
    <row r="3848" spans="16:16" x14ac:dyDescent="0.35">
      <c r="P3848" s="8"/>
    </row>
    <row r="3849" spans="16:16" x14ac:dyDescent="0.35">
      <c r="P3849" s="8"/>
    </row>
    <row r="3850" spans="16:16" x14ac:dyDescent="0.35">
      <c r="P3850" s="8"/>
    </row>
    <row r="3851" spans="16:16" x14ac:dyDescent="0.35">
      <c r="P3851" s="8"/>
    </row>
    <row r="3852" spans="16:16" x14ac:dyDescent="0.35">
      <c r="P3852" s="8"/>
    </row>
    <row r="3853" spans="16:16" x14ac:dyDescent="0.35">
      <c r="P3853" s="8"/>
    </row>
    <row r="3854" spans="16:16" x14ac:dyDescent="0.35">
      <c r="P3854" s="8"/>
    </row>
    <row r="3855" spans="16:16" x14ac:dyDescent="0.35">
      <c r="P3855" s="8"/>
    </row>
    <row r="3856" spans="16:16" x14ac:dyDescent="0.35">
      <c r="P3856" s="8"/>
    </row>
    <row r="3857" spans="16:16" x14ac:dyDescent="0.35">
      <c r="P3857" s="8"/>
    </row>
    <row r="3858" spans="16:16" x14ac:dyDescent="0.35">
      <c r="P3858" s="8"/>
    </row>
    <row r="3859" spans="16:16" x14ac:dyDescent="0.35">
      <c r="P3859" s="8"/>
    </row>
    <row r="3860" spans="16:16" x14ac:dyDescent="0.35">
      <c r="P3860" s="8"/>
    </row>
    <row r="3861" spans="16:16" x14ac:dyDescent="0.35">
      <c r="P3861" s="8"/>
    </row>
    <row r="3862" spans="16:16" x14ac:dyDescent="0.35">
      <c r="P3862" s="8"/>
    </row>
    <row r="3863" spans="16:16" x14ac:dyDescent="0.35">
      <c r="P3863" s="8"/>
    </row>
    <row r="3864" spans="16:16" x14ac:dyDescent="0.35">
      <c r="P3864" s="8"/>
    </row>
    <row r="3865" spans="16:16" x14ac:dyDescent="0.35">
      <c r="P3865" s="8"/>
    </row>
    <row r="3866" spans="16:16" x14ac:dyDescent="0.35">
      <c r="P3866" s="8"/>
    </row>
    <row r="3867" spans="16:16" x14ac:dyDescent="0.35">
      <c r="P3867" s="8"/>
    </row>
    <row r="3868" spans="16:16" x14ac:dyDescent="0.35">
      <c r="P3868" s="8"/>
    </row>
    <row r="3869" spans="16:16" x14ac:dyDescent="0.35">
      <c r="P3869" s="8"/>
    </row>
    <row r="3870" spans="16:16" x14ac:dyDescent="0.35">
      <c r="P3870" s="8"/>
    </row>
    <row r="3871" spans="16:16" x14ac:dyDescent="0.35">
      <c r="P3871" s="8"/>
    </row>
    <row r="3872" spans="16:16" x14ac:dyDescent="0.35">
      <c r="P3872" s="8"/>
    </row>
    <row r="3873" spans="16:16" x14ac:dyDescent="0.35">
      <c r="P3873" s="8"/>
    </row>
    <row r="3874" spans="16:16" x14ac:dyDescent="0.35">
      <c r="P3874" s="8"/>
    </row>
    <row r="3875" spans="16:16" x14ac:dyDescent="0.35">
      <c r="P3875" s="8"/>
    </row>
    <row r="3876" spans="16:16" x14ac:dyDescent="0.35">
      <c r="P3876" s="8"/>
    </row>
    <row r="3877" spans="16:16" x14ac:dyDescent="0.35">
      <c r="P3877" s="8"/>
    </row>
    <row r="3878" spans="16:16" x14ac:dyDescent="0.35">
      <c r="P3878" s="8"/>
    </row>
    <row r="3879" spans="16:16" x14ac:dyDescent="0.35">
      <c r="P3879" s="8"/>
    </row>
    <row r="3880" spans="16:16" x14ac:dyDescent="0.35">
      <c r="P3880" s="8"/>
    </row>
    <row r="3881" spans="16:16" x14ac:dyDescent="0.35">
      <c r="P3881" s="8"/>
    </row>
    <row r="3882" spans="16:16" x14ac:dyDescent="0.35">
      <c r="P3882" s="8"/>
    </row>
    <row r="3883" spans="16:16" x14ac:dyDescent="0.35">
      <c r="P3883" s="8"/>
    </row>
    <row r="3884" spans="16:16" x14ac:dyDescent="0.35">
      <c r="P3884" s="8"/>
    </row>
    <row r="3885" spans="16:16" x14ac:dyDescent="0.35">
      <c r="P3885" s="8"/>
    </row>
    <row r="3886" spans="16:16" x14ac:dyDescent="0.35">
      <c r="P3886" s="8"/>
    </row>
    <row r="3887" spans="16:16" x14ac:dyDescent="0.35">
      <c r="P3887" s="8"/>
    </row>
    <row r="3888" spans="16:16" x14ac:dyDescent="0.35">
      <c r="P3888" s="8"/>
    </row>
    <row r="3889" spans="16:16" x14ac:dyDescent="0.35">
      <c r="P3889" s="8"/>
    </row>
    <row r="3890" spans="16:16" x14ac:dyDescent="0.35">
      <c r="P3890" s="8"/>
    </row>
    <row r="3891" spans="16:16" x14ac:dyDescent="0.35">
      <c r="P3891" s="8"/>
    </row>
    <row r="3892" spans="16:16" x14ac:dyDescent="0.35">
      <c r="P3892" s="8"/>
    </row>
    <row r="3893" spans="16:16" x14ac:dyDescent="0.35">
      <c r="P3893" s="8"/>
    </row>
    <row r="3894" spans="16:16" x14ac:dyDescent="0.35">
      <c r="P3894" s="8"/>
    </row>
    <row r="3895" spans="16:16" x14ac:dyDescent="0.35">
      <c r="P3895" s="8"/>
    </row>
    <row r="3896" spans="16:16" x14ac:dyDescent="0.35">
      <c r="P3896" s="8"/>
    </row>
    <row r="3897" spans="16:16" x14ac:dyDescent="0.35">
      <c r="P3897" s="8"/>
    </row>
    <row r="3898" spans="16:16" x14ac:dyDescent="0.35">
      <c r="P3898" s="8"/>
    </row>
    <row r="3899" spans="16:16" x14ac:dyDescent="0.35">
      <c r="P3899" s="8"/>
    </row>
    <row r="3900" spans="16:16" x14ac:dyDescent="0.35">
      <c r="P3900" s="8"/>
    </row>
    <row r="3901" spans="16:16" x14ac:dyDescent="0.35">
      <c r="P3901" s="8"/>
    </row>
    <row r="3902" spans="16:16" x14ac:dyDescent="0.35">
      <c r="P3902" s="8"/>
    </row>
    <row r="3903" spans="16:16" x14ac:dyDescent="0.35">
      <c r="P3903" s="8"/>
    </row>
    <row r="3904" spans="16:16" x14ac:dyDescent="0.35">
      <c r="P3904" s="8"/>
    </row>
    <row r="3905" spans="16:16" x14ac:dyDescent="0.35">
      <c r="P3905" s="8"/>
    </row>
    <row r="3906" spans="16:16" x14ac:dyDescent="0.35">
      <c r="P3906" s="8"/>
    </row>
    <row r="3907" spans="16:16" x14ac:dyDescent="0.35">
      <c r="P3907" s="8"/>
    </row>
    <row r="3908" spans="16:16" x14ac:dyDescent="0.35">
      <c r="P3908" s="8"/>
    </row>
    <row r="3909" spans="16:16" x14ac:dyDescent="0.35">
      <c r="P3909" s="8"/>
    </row>
    <row r="3910" spans="16:16" x14ac:dyDescent="0.35">
      <c r="P3910" s="8"/>
    </row>
    <row r="3911" spans="16:16" x14ac:dyDescent="0.35">
      <c r="P3911" s="8"/>
    </row>
    <row r="3912" spans="16:16" x14ac:dyDescent="0.35">
      <c r="P3912" s="8"/>
    </row>
    <row r="3913" spans="16:16" x14ac:dyDescent="0.35">
      <c r="P3913" s="8"/>
    </row>
    <row r="3914" spans="16:16" x14ac:dyDescent="0.35">
      <c r="P3914" s="8"/>
    </row>
    <row r="3915" spans="16:16" x14ac:dyDescent="0.35">
      <c r="P3915" s="8"/>
    </row>
    <row r="3916" spans="16:16" x14ac:dyDescent="0.35">
      <c r="P3916" s="8"/>
    </row>
    <row r="3917" spans="16:16" x14ac:dyDescent="0.35">
      <c r="P3917" s="8"/>
    </row>
    <row r="3918" spans="16:16" x14ac:dyDescent="0.35">
      <c r="P3918" s="8"/>
    </row>
    <row r="3919" spans="16:16" x14ac:dyDescent="0.35">
      <c r="P3919" s="8"/>
    </row>
    <row r="3920" spans="16:16" x14ac:dyDescent="0.35">
      <c r="P3920" s="8"/>
    </row>
    <row r="3921" spans="16:16" x14ac:dyDescent="0.35">
      <c r="P3921" s="8"/>
    </row>
    <row r="3922" spans="16:16" x14ac:dyDescent="0.35">
      <c r="P3922" s="8"/>
    </row>
    <row r="3923" spans="16:16" x14ac:dyDescent="0.35">
      <c r="P3923" s="8"/>
    </row>
    <row r="3924" spans="16:16" x14ac:dyDescent="0.35">
      <c r="P3924" s="8"/>
    </row>
    <row r="3925" spans="16:16" x14ac:dyDescent="0.35">
      <c r="P3925" s="8"/>
    </row>
    <row r="3926" spans="16:16" x14ac:dyDescent="0.35">
      <c r="P3926" s="8"/>
    </row>
    <row r="3927" spans="16:16" x14ac:dyDescent="0.35">
      <c r="P3927" s="8"/>
    </row>
    <row r="3928" spans="16:16" x14ac:dyDescent="0.35">
      <c r="P3928" s="8"/>
    </row>
    <row r="3929" spans="16:16" x14ac:dyDescent="0.35">
      <c r="P3929" s="8"/>
    </row>
    <row r="3930" spans="16:16" x14ac:dyDescent="0.35">
      <c r="P3930" s="8"/>
    </row>
    <row r="3931" spans="16:16" x14ac:dyDescent="0.35">
      <c r="P3931" s="8"/>
    </row>
    <row r="3932" spans="16:16" x14ac:dyDescent="0.35">
      <c r="P3932" s="8"/>
    </row>
    <row r="3933" spans="16:16" x14ac:dyDescent="0.35">
      <c r="P3933" s="8"/>
    </row>
    <row r="3934" spans="16:16" x14ac:dyDescent="0.35">
      <c r="P3934" s="8"/>
    </row>
    <row r="3935" spans="16:16" x14ac:dyDescent="0.35">
      <c r="P3935" s="8"/>
    </row>
    <row r="3936" spans="16:16" x14ac:dyDescent="0.35">
      <c r="P3936" s="8"/>
    </row>
    <row r="3937" spans="16:16" x14ac:dyDescent="0.35">
      <c r="P3937" s="8"/>
    </row>
    <row r="3938" spans="16:16" x14ac:dyDescent="0.35">
      <c r="P3938" s="8"/>
    </row>
    <row r="3939" spans="16:16" x14ac:dyDescent="0.35">
      <c r="P3939" s="8"/>
    </row>
    <row r="3940" spans="16:16" x14ac:dyDescent="0.35">
      <c r="P3940" s="8"/>
    </row>
    <row r="3941" spans="16:16" x14ac:dyDescent="0.35">
      <c r="P3941" s="8"/>
    </row>
    <row r="3942" spans="16:16" x14ac:dyDescent="0.35">
      <c r="P3942" s="8"/>
    </row>
    <row r="3943" spans="16:16" x14ac:dyDescent="0.35">
      <c r="P3943" s="8"/>
    </row>
    <row r="3944" spans="16:16" x14ac:dyDescent="0.35">
      <c r="P3944" s="8"/>
    </row>
    <row r="3945" spans="16:16" x14ac:dyDescent="0.35">
      <c r="P3945" s="8"/>
    </row>
    <row r="3946" spans="16:16" x14ac:dyDescent="0.35">
      <c r="P3946" s="8"/>
    </row>
    <row r="3947" spans="16:16" x14ac:dyDescent="0.35">
      <c r="P3947" s="8"/>
    </row>
    <row r="3948" spans="16:16" x14ac:dyDescent="0.35">
      <c r="P3948" s="8"/>
    </row>
    <row r="3949" spans="16:16" x14ac:dyDescent="0.35">
      <c r="P3949" s="8"/>
    </row>
    <row r="3950" spans="16:16" x14ac:dyDescent="0.35">
      <c r="P3950" s="8"/>
    </row>
    <row r="3951" spans="16:16" x14ac:dyDescent="0.35">
      <c r="P3951" s="8"/>
    </row>
    <row r="3952" spans="16:16" x14ac:dyDescent="0.35">
      <c r="P3952" s="8"/>
    </row>
    <row r="3953" spans="16:16" x14ac:dyDescent="0.35">
      <c r="P3953" s="8"/>
    </row>
    <row r="3954" spans="16:16" x14ac:dyDescent="0.35">
      <c r="P3954" s="8"/>
    </row>
    <row r="3955" spans="16:16" x14ac:dyDescent="0.35">
      <c r="P3955" s="8"/>
    </row>
    <row r="3956" spans="16:16" x14ac:dyDescent="0.35">
      <c r="P3956" s="8"/>
    </row>
    <row r="3957" spans="16:16" x14ac:dyDescent="0.35">
      <c r="P3957" s="8"/>
    </row>
    <row r="3958" spans="16:16" x14ac:dyDescent="0.35">
      <c r="P3958" s="8"/>
    </row>
    <row r="3959" spans="16:16" x14ac:dyDescent="0.35">
      <c r="P3959" s="8"/>
    </row>
    <row r="3960" spans="16:16" x14ac:dyDescent="0.35">
      <c r="P3960" s="8"/>
    </row>
    <row r="3961" spans="16:16" x14ac:dyDescent="0.35">
      <c r="P3961" s="8"/>
    </row>
    <row r="3962" spans="16:16" x14ac:dyDescent="0.35">
      <c r="P3962" s="8"/>
    </row>
    <row r="3963" spans="16:16" x14ac:dyDescent="0.35">
      <c r="P3963" s="8"/>
    </row>
    <row r="3964" spans="16:16" x14ac:dyDescent="0.35">
      <c r="P3964" s="8"/>
    </row>
    <row r="3965" spans="16:16" x14ac:dyDescent="0.35">
      <c r="P3965" s="8"/>
    </row>
    <row r="3966" spans="16:16" x14ac:dyDescent="0.35">
      <c r="P3966" s="8"/>
    </row>
    <row r="3967" spans="16:16" x14ac:dyDescent="0.35">
      <c r="P3967" s="8"/>
    </row>
    <row r="3968" spans="16:16" x14ac:dyDescent="0.35">
      <c r="P3968" s="8"/>
    </row>
    <row r="3969" spans="16:16" x14ac:dyDescent="0.35">
      <c r="P3969" s="8"/>
    </row>
    <row r="3970" spans="16:16" x14ac:dyDescent="0.35">
      <c r="P3970" s="8"/>
    </row>
    <row r="3971" spans="16:16" x14ac:dyDescent="0.35">
      <c r="P3971" s="8"/>
    </row>
    <row r="3972" spans="16:16" x14ac:dyDescent="0.35">
      <c r="P3972" s="8"/>
    </row>
    <row r="3973" spans="16:16" x14ac:dyDescent="0.35">
      <c r="P3973" s="8"/>
    </row>
    <row r="3974" spans="16:16" x14ac:dyDescent="0.35">
      <c r="P3974" s="8"/>
    </row>
    <row r="3975" spans="16:16" x14ac:dyDescent="0.35">
      <c r="P3975" s="8"/>
    </row>
    <row r="3976" spans="16:16" x14ac:dyDescent="0.35">
      <c r="P3976" s="8"/>
    </row>
    <row r="3977" spans="16:16" x14ac:dyDescent="0.35">
      <c r="P3977" s="8"/>
    </row>
    <row r="3978" spans="16:16" x14ac:dyDescent="0.35">
      <c r="P3978" s="8"/>
    </row>
    <row r="3979" spans="16:16" x14ac:dyDescent="0.35">
      <c r="P3979" s="8"/>
    </row>
    <row r="3980" spans="16:16" x14ac:dyDescent="0.35">
      <c r="P3980" s="8"/>
    </row>
    <row r="3981" spans="16:16" x14ac:dyDescent="0.35">
      <c r="P3981" s="8"/>
    </row>
    <row r="3982" spans="16:16" x14ac:dyDescent="0.35">
      <c r="P3982" s="8"/>
    </row>
    <row r="3983" spans="16:16" x14ac:dyDescent="0.35">
      <c r="P3983" s="8"/>
    </row>
    <row r="3984" spans="16:16" x14ac:dyDescent="0.35">
      <c r="P3984" s="8"/>
    </row>
    <row r="3985" spans="16:16" x14ac:dyDescent="0.35">
      <c r="P3985" s="8"/>
    </row>
    <row r="3986" spans="16:16" x14ac:dyDescent="0.35">
      <c r="P3986" s="8"/>
    </row>
    <row r="3987" spans="16:16" x14ac:dyDescent="0.35">
      <c r="P3987" s="8"/>
    </row>
    <row r="3988" spans="16:16" x14ac:dyDescent="0.35">
      <c r="P3988" s="8"/>
    </row>
    <row r="3989" spans="16:16" x14ac:dyDescent="0.35">
      <c r="P3989" s="8"/>
    </row>
    <row r="3990" spans="16:16" x14ac:dyDescent="0.35">
      <c r="P3990" s="8"/>
    </row>
    <row r="3991" spans="16:16" x14ac:dyDescent="0.35">
      <c r="P3991" s="8"/>
    </row>
    <row r="3992" spans="16:16" x14ac:dyDescent="0.35">
      <c r="P3992" s="8"/>
    </row>
    <row r="3993" spans="16:16" x14ac:dyDescent="0.35">
      <c r="P3993" s="8"/>
    </row>
    <row r="3994" spans="16:16" x14ac:dyDescent="0.35">
      <c r="P3994" s="8"/>
    </row>
    <row r="3995" spans="16:16" x14ac:dyDescent="0.35">
      <c r="P3995" s="8"/>
    </row>
    <row r="3996" spans="16:16" x14ac:dyDescent="0.35">
      <c r="P3996" s="8"/>
    </row>
    <row r="3997" spans="16:16" x14ac:dyDescent="0.35">
      <c r="P3997" s="8"/>
    </row>
    <row r="3998" spans="16:16" x14ac:dyDescent="0.35">
      <c r="P3998" s="8"/>
    </row>
    <row r="3999" spans="16:16" x14ac:dyDescent="0.35">
      <c r="P3999" s="8"/>
    </row>
    <row r="4000" spans="16:16" x14ac:dyDescent="0.35">
      <c r="P4000" s="8"/>
    </row>
    <row r="4001" spans="16:16" x14ac:dyDescent="0.35">
      <c r="P4001" s="8"/>
    </row>
    <row r="4002" spans="16:16" x14ac:dyDescent="0.35">
      <c r="P4002" s="8"/>
    </row>
    <row r="4003" spans="16:16" x14ac:dyDescent="0.35">
      <c r="P4003" s="8"/>
    </row>
    <row r="4004" spans="16:16" x14ac:dyDescent="0.35">
      <c r="P4004" s="8"/>
    </row>
    <row r="4005" spans="16:16" x14ac:dyDescent="0.35">
      <c r="P4005" s="8"/>
    </row>
    <row r="4006" spans="16:16" x14ac:dyDescent="0.35">
      <c r="P4006" s="8"/>
    </row>
    <row r="4007" spans="16:16" x14ac:dyDescent="0.35">
      <c r="P4007" s="8"/>
    </row>
    <row r="4008" spans="16:16" x14ac:dyDescent="0.35">
      <c r="P4008" s="8"/>
    </row>
    <row r="4009" spans="16:16" x14ac:dyDescent="0.35">
      <c r="P4009" s="8"/>
    </row>
    <row r="4010" spans="16:16" x14ac:dyDescent="0.35">
      <c r="P4010" s="8"/>
    </row>
    <row r="4011" spans="16:16" x14ac:dyDescent="0.35">
      <c r="P4011" s="8"/>
    </row>
    <row r="4012" spans="16:16" x14ac:dyDescent="0.35">
      <c r="P4012" s="8"/>
    </row>
    <row r="4013" spans="16:16" x14ac:dyDescent="0.35">
      <c r="P4013" s="8"/>
    </row>
    <row r="4014" spans="16:16" x14ac:dyDescent="0.35">
      <c r="P4014" s="8"/>
    </row>
    <row r="4015" spans="16:16" x14ac:dyDescent="0.35">
      <c r="P4015" s="8"/>
    </row>
    <row r="4016" spans="16:16" x14ac:dyDescent="0.35">
      <c r="P4016" s="8"/>
    </row>
    <row r="4017" spans="16:16" x14ac:dyDescent="0.35">
      <c r="P4017" s="8"/>
    </row>
    <row r="4018" spans="16:16" x14ac:dyDescent="0.35">
      <c r="P4018" s="8"/>
    </row>
    <row r="4019" spans="16:16" x14ac:dyDescent="0.35">
      <c r="P4019" s="8"/>
    </row>
    <row r="4020" spans="16:16" x14ac:dyDescent="0.35">
      <c r="P4020" s="8"/>
    </row>
    <row r="4021" spans="16:16" x14ac:dyDescent="0.35">
      <c r="P4021" s="8"/>
    </row>
    <row r="4022" spans="16:16" x14ac:dyDescent="0.35">
      <c r="P4022" s="8"/>
    </row>
    <row r="4023" spans="16:16" x14ac:dyDescent="0.35">
      <c r="P4023" s="8"/>
    </row>
    <row r="4024" spans="16:16" x14ac:dyDescent="0.35">
      <c r="P4024" s="8"/>
    </row>
    <row r="4025" spans="16:16" x14ac:dyDescent="0.35">
      <c r="P4025" s="8"/>
    </row>
    <row r="4026" spans="16:16" x14ac:dyDescent="0.35">
      <c r="P4026" s="8"/>
    </row>
    <row r="4027" spans="16:16" x14ac:dyDescent="0.35">
      <c r="P4027" s="8"/>
    </row>
    <row r="4028" spans="16:16" x14ac:dyDescent="0.35">
      <c r="P4028" s="8"/>
    </row>
    <row r="4029" spans="16:16" x14ac:dyDescent="0.35">
      <c r="P4029" s="8"/>
    </row>
    <row r="4030" spans="16:16" x14ac:dyDescent="0.35">
      <c r="P4030" s="8"/>
    </row>
    <row r="4031" spans="16:16" x14ac:dyDescent="0.35">
      <c r="P4031" s="8"/>
    </row>
    <row r="4032" spans="16:16" x14ac:dyDescent="0.35">
      <c r="P4032" s="8"/>
    </row>
    <row r="4033" spans="16:16" x14ac:dyDescent="0.35">
      <c r="P4033" s="8"/>
    </row>
    <row r="4034" spans="16:16" x14ac:dyDescent="0.35">
      <c r="P4034" s="8"/>
    </row>
    <row r="4035" spans="16:16" x14ac:dyDescent="0.35">
      <c r="P4035" s="8"/>
    </row>
    <row r="4036" spans="16:16" x14ac:dyDescent="0.35">
      <c r="P4036" s="8"/>
    </row>
    <row r="4037" spans="16:16" x14ac:dyDescent="0.35">
      <c r="P4037" s="8"/>
    </row>
    <row r="4038" spans="16:16" x14ac:dyDescent="0.35">
      <c r="P4038" s="8"/>
    </row>
    <row r="4039" spans="16:16" x14ac:dyDescent="0.35">
      <c r="P4039" s="8"/>
    </row>
    <row r="4040" spans="16:16" x14ac:dyDescent="0.35">
      <c r="P4040" s="8"/>
    </row>
    <row r="4041" spans="16:16" x14ac:dyDescent="0.35">
      <c r="P4041" s="8"/>
    </row>
    <row r="4042" spans="16:16" x14ac:dyDescent="0.35">
      <c r="P4042" s="8"/>
    </row>
    <row r="4043" spans="16:16" x14ac:dyDescent="0.35">
      <c r="P4043" s="8"/>
    </row>
    <row r="4044" spans="16:16" x14ac:dyDescent="0.35">
      <c r="P4044" s="8"/>
    </row>
    <row r="4045" spans="16:16" x14ac:dyDescent="0.35">
      <c r="P4045" s="8"/>
    </row>
    <row r="4046" spans="16:16" x14ac:dyDescent="0.35">
      <c r="P4046" s="8"/>
    </row>
    <row r="4047" spans="16:16" x14ac:dyDescent="0.35">
      <c r="P4047" s="8"/>
    </row>
    <row r="4048" spans="16:16" x14ac:dyDescent="0.35">
      <c r="P4048" s="8"/>
    </row>
    <row r="4049" spans="16:16" x14ac:dyDescent="0.35">
      <c r="P4049" s="8"/>
    </row>
    <row r="4050" spans="16:16" x14ac:dyDescent="0.35">
      <c r="P4050" s="8"/>
    </row>
    <row r="4051" spans="16:16" x14ac:dyDescent="0.35">
      <c r="P4051" s="8"/>
    </row>
    <row r="4052" spans="16:16" x14ac:dyDescent="0.35">
      <c r="P4052" s="8"/>
    </row>
    <row r="4053" spans="16:16" x14ac:dyDescent="0.35">
      <c r="P4053" s="8"/>
    </row>
    <row r="4054" spans="16:16" x14ac:dyDescent="0.35">
      <c r="P4054" s="8"/>
    </row>
    <row r="4055" spans="16:16" x14ac:dyDescent="0.35">
      <c r="P4055" s="8"/>
    </row>
    <row r="4056" spans="16:16" x14ac:dyDescent="0.35">
      <c r="P4056" s="8"/>
    </row>
    <row r="4057" spans="16:16" x14ac:dyDescent="0.35">
      <c r="P4057" s="8"/>
    </row>
    <row r="4058" spans="16:16" x14ac:dyDescent="0.35">
      <c r="P4058" s="8"/>
    </row>
    <row r="4059" spans="16:16" x14ac:dyDescent="0.35">
      <c r="P4059" s="8"/>
    </row>
    <row r="4060" spans="16:16" x14ac:dyDescent="0.35">
      <c r="P4060" s="8"/>
    </row>
    <row r="4061" spans="16:16" x14ac:dyDescent="0.35">
      <c r="P4061" s="8"/>
    </row>
    <row r="4062" spans="16:16" x14ac:dyDescent="0.35">
      <c r="P4062" s="8"/>
    </row>
    <row r="4063" spans="16:16" x14ac:dyDescent="0.35">
      <c r="P4063" s="8"/>
    </row>
    <row r="4064" spans="16:16" x14ac:dyDescent="0.35">
      <c r="P4064" s="8"/>
    </row>
    <row r="4065" spans="16:16" x14ac:dyDescent="0.35">
      <c r="P4065" s="8"/>
    </row>
    <row r="4066" spans="16:16" x14ac:dyDescent="0.35">
      <c r="P4066" s="8"/>
    </row>
    <row r="4067" spans="16:16" x14ac:dyDescent="0.35">
      <c r="P4067" s="8"/>
    </row>
    <row r="4068" spans="16:16" x14ac:dyDescent="0.35">
      <c r="P4068" s="8"/>
    </row>
    <row r="4069" spans="16:16" x14ac:dyDescent="0.35">
      <c r="P4069" s="8"/>
    </row>
    <row r="4070" spans="16:16" x14ac:dyDescent="0.35">
      <c r="P4070" s="8"/>
    </row>
    <row r="4071" spans="16:16" x14ac:dyDescent="0.35">
      <c r="P4071" s="8"/>
    </row>
    <row r="4072" spans="16:16" x14ac:dyDescent="0.35">
      <c r="P4072" s="8"/>
    </row>
    <row r="4073" spans="16:16" x14ac:dyDescent="0.35">
      <c r="P4073" s="8"/>
    </row>
    <row r="4074" spans="16:16" x14ac:dyDescent="0.35">
      <c r="P4074" s="8"/>
    </row>
    <row r="4075" spans="16:16" x14ac:dyDescent="0.35">
      <c r="P4075" s="8"/>
    </row>
    <row r="4076" spans="16:16" x14ac:dyDescent="0.35">
      <c r="P4076" s="8"/>
    </row>
    <row r="4077" spans="16:16" x14ac:dyDescent="0.35">
      <c r="P4077" s="8"/>
    </row>
    <row r="4078" spans="16:16" x14ac:dyDescent="0.35">
      <c r="P4078" s="8"/>
    </row>
    <row r="4079" spans="16:16" x14ac:dyDescent="0.35">
      <c r="P4079" s="8"/>
    </row>
    <row r="4080" spans="16:16" x14ac:dyDescent="0.35">
      <c r="P4080" s="8"/>
    </row>
    <row r="4081" spans="16:16" x14ac:dyDescent="0.35">
      <c r="P4081" s="8"/>
    </row>
    <row r="4082" spans="16:16" x14ac:dyDescent="0.35">
      <c r="P4082" s="8"/>
    </row>
    <row r="4083" spans="16:16" x14ac:dyDescent="0.35">
      <c r="P4083" s="8"/>
    </row>
    <row r="4084" spans="16:16" x14ac:dyDescent="0.35">
      <c r="P4084" s="8"/>
    </row>
    <row r="4085" spans="16:16" x14ac:dyDescent="0.35">
      <c r="P4085" s="8"/>
    </row>
    <row r="4086" spans="16:16" x14ac:dyDescent="0.35">
      <c r="P4086" s="8"/>
    </row>
    <row r="4087" spans="16:16" x14ac:dyDescent="0.35">
      <c r="P4087" s="8"/>
    </row>
    <row r="4088" spans="16:16" x14ac:dyDescent="0.35">
      <c r="P4088" s="8"/>
    </row>
    <row r="4089" spans="16:16" x14ac:dyDescent="0.35">
      <c r="P4089" s="8"/>
    </row>
    <row r="4090" spans="16:16" x14ac:dyDescent="0.35">
      <c r="P4090" s="8"/>
    </row>
    <row r="4091" spans="16:16" x14ac:dyDescent="0.35">
      <c r="P4091" s="8"/>
    </row>
    <row r="4092" spans="16:16" x14ac:dyDescent="0.35">
      <c r="P4092" s="8"/>
    </row>
    <row r="4093" spans="16:16" x14ac:dyDescent="0.35">
      <c r="P4093" s="8"/>
    </row>
    <row r="4094" spans="16:16" x14ac:dyDescent="0.35">
      <c r="P4094" s="8"/>
    </row>
    <row r="4095" spans="16:16" x14ac:dyDescent="0.35">
      <c r="P4095" s="8"/>
    </row>
    <row r="4096" spans="16:16" x14ac:dyDescent="0.35">
      <c r="P4096" s="8"/>
    </row>
    <row r="4097" spans="16:16" x14ac:dyDescent="0.35">
      <c r="P4097" s="8"/>
    </row>
    <row r="4098" spans="16:16" x14ac:dyDescent="0.35">
      <c r="P4098" s="8"/>
    </row>
    <row r="4099" spans="16:16" x14ac:dyDescent="0.35">
      <c r="P4099" s="8"/>
    </row>
    <row r="4100" spans="16:16" x14ac:dyDescent="0.35">
      <c r="P4100" s="8"/>
    </row>
    <row r="4101" spans="16:16" x14ac:dyDescent="0.35">
      <c r="P4101" s="8"/>
    </row>
    <row r="4102" spans="16:16" x14ac:dyDescent="0.35">
      <c r="P4102" s="8"/>
    </row>
    <row r="4103" spans="16:16" x14ac:dyDescent="0.35">
      <c r="P4103" s="8"/>
    </row>
    <row r="4104" spans="16:16" x14ac:dyDescent="0.35">
      <c r="P4104" s="8"/>
    </row>
    <row r="4105" spans="16:16" x14ac:dyDescent="0.35">
      <c r="P4105" s="8"/>
    </row>
    <row r="4106" spans="16:16" x14ac:dyDescent="0.35">
      <c r="P4106" s="8"/>
    </row>
    <row r="4107" spans="16:16" x14ac:dyDescent="0.35">
      <c r="P4107" s="8"/>
    </row>
    <row r="4108" spans="16:16" x14ac:dyDescent="0.35">
      <c r="P4108" s="8"/>
    </row>
    <row r="4109" spans="16:16" x14ac:dyDescent="0.35">
      <c r="P4109" s="8"/>
    </row>
    <row r="4110" spans="16:16" x14ac:dyDescent="0.35">
      <c r="P4110" s="8"/>
    </row>
    <row r="4111" spans="16:16" x14ac:dyDescent="0.35">
      <c r="P4111" s="8"/>
    </row>
    <row r="4112" spans="16:16" x14ac:dyDescent="0.35">
      <c r="P4112" s="8"/>
    </row>
    <row r="4113" spans="16:16" x14ac:dyDescent="0.35">
      <c r="P4113" s="8"/>
    </row>
    <row r="4114" spans="16:16" x14ac:dyDescent="0.35">
      <c r="P4114" s="8"/>
    </row>
    <row r="4115" spans="16:16" x14ac:dyDescent="0.35">
      <c r="P4115" s="8"/>
    </row>
    <row r="4116" spans="16:16" x14ac:dyDescent="0.35">
      <c r="P4116" s="8"/>
    </row>
    <row r="4117" spans="16:16" x14ac:dyDescent="0.35">
      <c r="P4117" s="8"/>
    </row>
    <row r="4118" spans="16:16" x14ac:dyDescent="0.35">
      <c r="P4118" s="8"/>
    </row>
    <row r="4119" spans="16:16" x14ac:dyDescent="0.35">
      <c r="P4119" s="8"/>
    </row>
    <row r="4120" spans="16:16" x14ac:dyDescent="0.35">
      <c r="P4120" s="8"/>
    </row>
    <row r="4121" spans="16:16" x14ac:dyDescent="0.35">
      <c r="P4121" s="8"/>
    </row>
    <row r="4122" spans="16:16" x14ac:dyDescent="0.35">
      <c r="P4122" s="8"/>
    </row>
    <row r="4123" spans="16:16" x14ac:dyDescent="0.35">
      <c r="P4123" s="8"/>
    </row>
    <row r="4124" spans="16:16" x14ac:dyDescent="0.35">
      <c r="P4124" s="8"/>
    </row>
    <row r="4125" spans="16:16" x14ac:dyDescent="0.35">
      <c r="P4125" s="8"/>
    </row>
    <row r="4126" spans="16:16" x14ac:dyDescent="0.35">
      <c r="P4126" s="8"/>
    </row>
    <row r="4127" spans="16:16" x14ac:dyDescent="0.35">
      <c r="P4127" s="8"/>
    </row>
    <row r="4128" spans="16:16" x14ac:dyDescent="0.35">
      <c r="P4128" s="8"/>
    </row>
    <row r="4129" spans="16:16" x14ac:dyDescent="0.35">
      <c r="P4129" s="8"/>
    </row>
    <row r="4130" spans="16:16" x14ac:dyDescent="0.35">
      <c r="P4130" s="8"/>
    </row>
    <row r="4131" spans="16:16" x14ac:dyDescent="0.35">
      <c r="P4131" s="8"/>
    </row>
    <row r="4132" spans="16:16" x14ac:dyDescent="0.35">
      <c r="P4132" s="8"/>
    </row>
    <row r="4133" spans="16:16" x14ac:dyDescent="0.35">
      <c r="P4133" s="8"/>
    </row>
    <row r="4134" spans="16:16" x14ac:dyDescent="0.35">
      <c r="P4134" s="8"/>
    </row>
    <row r="4135" spans="16:16" x14ac:dyDescent="0.35">
      <c r="P4135" s="8"/>
    </row>
    <row r="4136" spans="16:16" x14ac:dyDescent="0.35">
      <c r="P4136" s="8"/>
    </row>
    <row r="4137" spans="16:16" x14ac:dyDescent="0.35">
      <c r="P4137" s="8"/>
    </row>
    <row r="4138" spans="16:16" x14ac:dyDescent="0.35">
      <c r="P4138" s="8"/>
    </row>
    <row r="4139" spans="16:16" x14ac:dyDescent="0.35">
      <c r="P4139" s="8"/>
    </row>
    <row r="4140" spans="16:16" x14ac:dyDescent="0.35">
      <c r="P4140" s="8"/>
    </row>
    <row r="4141" spans="16:16" x14ac:dyDescent="0.35">
      <c r="P4141" s="8"/>
    </row>
    <row r="4142" spans="16:16" x14ac:dyDescent="0.35">
      <c r="P4142" s="8"/>
    </row>
    <row r="4143" spans="16:16" x14ac:dyDescent="0.35">
      <c r="P4143" s="8"/>
    </row>
    <row r="4144" spans="16:16" x14ac:dyDescent="0.35">
      <c r="P4144" s="8"/>
    </row>
    <row r="4145" spans="16:16" x14ac:dyDescent="0.35">
      <c r="P4145" s="8"/>
    </row>
    <row r="4146" spans="16:16" x14ac:dyDescent="0.35">
      <c r="P4146" s="8"/>
    </row>
    <row r="4147" spans="16:16" x14ac:dyDescent="0.35">
      <c r="P4147" s="8"/>
    </row>
    <row r="4148" spans="16:16" x14ac:dyDescent="0.35">
      <c r="P4148" s="8"/>
    </row>
    <row r="4149" spans="16:16" x14ac:dyDescent="0.35">
      <c r="P4149" s="8"/>
    </row>
    <row r="4150" spans="16:16" x14ac:dyDescent="0.35">
      <c r="P4150" s="8"/>
    </row>
    <row r="4151" spans="16:16" x14ac:dyDescent="0.35">
      <c r="P4151" s="8"/>
    </row>
    <row r="4152" spans="16:16" x14ac:dyDescent="0.35">
      <c r="P4152" s="8"/>
    </row>
    <row r="4153" spans="16:16" x14ac:dyDescent="0.35">
      <c r="P4153" s="8"/>
    </row>
    <row r="4154" spans="16:16" x14ac:dyDescent="0.35">
      <c r="P4154" s="8"/>
    </row>
    <row r="4155" spans="16:16" x14ac:dyDescent="0.35">
      <c r="P4155" s="8"/>
    </row>
    <row r="4156" spans="16:16" x14ac:dyDescent="0.35">
      <c r="P4156" s="8"/>
    </row>
    <row r="4157" spans="16:16" x14ac:dyDescent="0.35">
      <c r="P4157" s="8"/>
    </row>
    <row r="4158" spans="16:16" x14ac:dyDescent="0.35">
      <c r="P4158" s="8"/>
    </row>
    <row r="4159" spans="16:16" x14ac:dyDescent="0.35">
      <c r="P4159" s="8"/>
    </row>
    <row r="4160" spans="16:16" x14ac:dyDescent="0.35">
      <c r="P4160" s="8"/>
    </row>
    <row r="4161" spans="16:16" x14ac:dyDescent="0.35">
      <c r="P4161" s="8"/>
    </row>
    <row r="4162" spans="16:16" x14ac:dyDescent="0.35">
      <c r="P4162" s="8"/>
    </row>
    <row r="4163" spans="16:16" x14ac:dyDescent="0.35">
      <c r="P4163" s="8"/>
    </row>
    <row r="4164" spans="16:16" x14ac:dyDescent="0.35">
      <c r="P4164" s="8"/>
    </row>
    <row r="4165" spans="16:16" x14ac:dyDescent="0.35">
      <c r="P4165" s="8"/>
    </row>
    <row r="4166" spans="16:16" x14ac:dyDescent="0.35">
      <c r="P4166" s="8"/>
    </row>
    <row r="4167" spans="16:16" x14ac:dyDescent="0.35">
      <c r="P4167" s="8"/>
    </row>
    <row r="4168" spans="16:16" x14ac:dyDescent="0.35">
      <c r="P4168" s="8"/>
    </row>
    <row r="4169" spans="16:16" x14ac:dyDescent="0.35">
      <c r="P4169" s="8"/>
    </row>
    <row r="4170" spans="16:16" x14ac:dyDescent="0.35">
      <c r="P4170" s="8"/>
    </row>
    <row r="4171" spans="16:16" x14ac:dyDescent="0.35">
      <c r="P4171" s="8"/>
    </row>
    <row r="4172" spans="16:16" x14ac:dyDescent="0.35">
      <c r="P4172" s="8"/>
    </row>
    <row r="4173" spans="16:16" x14ac:dyDescent="0.35">
      <c r="P4173" s="8"/>
    </row>
    <row r="4174" spans="16:16" x14ac:dyDescent="0.35">
      <c r="P4174" s="8"/>
    </row>
    <row r="4175" spans="16:16" x14ac:dyDescent="0.35">
      <c r="P4175" s="8"/>
    </row>
    <row r="4176" spans="16:16" x14ac:dyDescent="0.35">
      <c r="P4176" s="8"/>
    </row>
    <row r="4177" spans="16:16" x14ac:dyDescent="0.35">
      <c r="P4177" s="8"/>
    </row>
    <row r="4178" spans="16:16" x14ac:dyDescent="0.35">
      <c r="P4178" s="8"/>
    </row>
    <row r="4179" spans="16:16" x14ac:dyDescent="0.35">
      <c r="P4179" s="8"/>
    </row>
    <row r="4180" spans="16:16" x14ac:dyDescent="0.35">
      <c r="P4180" s="8"/>
    </row>
    <row r="4181" spans="16:16" x14ac:dyDescent="0.35">
      <c r="P4181" s="8"/>
    </row>
    <row r="4182" spans="16:16" x14ac:dyDescent="0.35">
      <c r="P4182" s="8"/>
    </row>
    <row r="4183" spans="16:16" x14ac:dyDescent="0.35">
      <c r="P4183" s="8"/>
    </row>
    <row r="4184" spans="16:16" x14ac:dyDescent="0.35">
      <c r="P4184" s="8"/>
    </row>
    <row r="4185" spans="16:16" x14ac:dyDescent="0.35">
      <c r="P4185" s="8"/>
    </row>
    <row r="4186" spans="16:16" x14ac:dyDescent="0.35">
      <c r="P4186" s="8"/>
    </row>
    <row r="4187" spans="16:16" x14ac:dyDescent="0.35">
      <c r="P4187" s="8"/>
    </row>
    <row r="4188" spans="16:16" x14ac:dyDescent="0.35">
      <c r="P4188" s="8"/>
    </row>
    <row r="4189" spans="16:16" x14ac:dyDescent="0.35">
      <c r="P4189" s="8"/>
    </row>
    <row r="4190" spans="16:16" x14ac:dyDescent="0.35">
      <c r="P4190" s="8"/>
    </row>
    <row r="4191" spans="16:16" x14ac:dyDescent="0.35">
      <c r="P4191" s="8"/>
    </row>
    <row r="4192" spans="16:16" x14ac:dyDescent="0.35">
      <c r="P4192" s="8"/>
    </row>
    <row r="4193" spans="16:16" x14ac:dyDescent="0.35">
      <c r="P4193" s="8"/>
    </row>
    <row r="4194" spans="16:16" x14ac:dyDescent="0.35">
      <c r="P4194" s="8"/>
    </row>
    <row r="4195" spans="16:16" x14ac:dyDescent="0.35">
      <c r="P4195" s="8"/>
    </row>
    <row r="4196" spans="16:16" x14ac:dyDescent="0.35">
      <c r="P4196" s="8"/>
    </row>
    <row r="4197" spans="16:16" x14ac:dyDescent="0.35">
      <c r="P4197" s="8"/>
    </row>
    <row r="4198" spans="16:16" x14ac:dyDescent="0.35">
      <c r="P4198" s="8"/>
    </row>
    <row r="4199" spans="16:16" x14ac:dyDescent="0.35">
      <c r="P4199" s="8"/>
    </row>
    <row r="4200" spans="16:16" x14ac:dyDescent="0.35">
      <c r="P4200" s="8"/>
    </row>
    <row r="4201" spans="16:16" x14ac:dyDescent="0.35">
      <c r="P4201" s="8"/>
    </row>
    <row r="4202" spans="16:16" x14ac:dyDescent="0.35">
      <c r="P4202" s="8"/>
    </row>
    <row r="4203" spans="16:16" x14ac:dyDescent="0.35">
      <c r="P4203" s="8"/>
    </row>
    <row r="4204" spans="16:16" x14ac:dyDescent="0.35">
      <c r="P4204" s="8"/>
    </row>
    <row r="4205" spans="16:16" x14ac:dyDescent="0.35">
      <c r="P4205" s="8"/>
    </row>
    <row r="4206" spans="16:16" x14ac:dyDescent="0.35">
      <c r="P4206" s="8"/>
    </row>
    <row r="4207" spans="16:16" x14ac:dyDescent="0.35">
      <c r="P4207" s="8"/>
    </row>
    <row r="4208" spans="16:16" x14ac:dyDescent="0.35">
      <c r="P4208" s="8"/>
    </row>
    <row r="4209" spans="16:16" x14ac:dyDescent="0.35">
      <c r="P4209" s="8"/>
    </row>
    <row r="4210" spans="16:16" x14ac:dyDescent="0.35">
      <c r="P4210" s="8"/>
    </row>
    <row r="4211" spans="16:16" x14ac:dyDescent="0.35">
      <c r="P4211" s="8"/>
    </row>
    <row r="4212" spans="16:16" x14ac:dyDescent="0.35">
      <c r="P4212" s="8"/>
    </row>
    <row r="4213" spans="16:16" x14ac:dyDescent="0.35">
      <c r="P4213" s="8"/>
    </row>
    <row r="4214" spans="16:16" x14ac:dyDescent="0.35">
      <c r="P4214" s="8"/>
    </row>
    <row r="4215" spans="16:16" x14ac:dyDescent="0.35">
      <c r="P4215" s="8"/>
    </row>
    <row r="4216" spans="16:16" x14ac:dyDescent="0.35">
      <c r="P4216" s="8"/>
    </row>
    <row r="4217" spans="16:16" x14ac:dyDescent="0.35">
      <c r="P4217" s="8"/>
    </row>
    <row r="4218" spans="16:16" x14ac:dyDescent="0.35">
      <c r="P4218" s="8"/>
    </row>
    <row r="4219" spans="16:16" x14ac:dyDescent="0.35">
      <c r="P4219" s="8"/>
    </row>
    <row r="4220" spans="16:16" x14ac:dyDescent="0.35">
      <c r="P4220" s="8"/>
    </row>
    <row r="4221" spans="16:16" x14ac:dyDescent="0.35">
      <c r="P4221" s="8"/>
    </row>
    <row r="4222" spans="16:16" x14ac:dyDescent="0.35">
      <c r="P4222" s="8"/>
    </row>
    <row r="4223" spans="16:16" x14ac:dyDescent="0.35">
      <c r="P4223" s="8"/>
    </row>
    <row r="4224" spans="16:16" x14ac:dyDescent="0.35">
      <c r="P4224" s="8"/>
    </row>
    <row r="4225" spans="16:16" x14ac:dyDescent="0.35">
      <c r="P4225" s="8"/>
    </row>
    <row r="4226" spans="16:16" x14ac:dyDescent="0.35">
      <c r="P4226" s="8"/>
    </row>
    <row r="4227" spans="16:16" x14ac:dyDescent="0.35">
      <c r="P4227" s="8"/>
    </row>
    <row r="4228" spans="16:16" x14ac:dyDescent="0.35">
      <c r="P4228" s="8"/>
    </row>
    <row r="4229" spans="16:16" x14ac:dyDescent="0.35">
      <c r="P4229" s="8"/>
    </row>
    <row r="4230" spans="16:16" x14ac:dyDescent="0.35">
      <c r="P4230" s="8"/>
    </row>
    <row r="4231" spans="16:16" x14ac:dyDescent="0.35">
      <c r="P4231" s="8"/>
    </row>
    <row r="4232" spans="16:16" x14ac:dyDescent="0.35">
      <c r="P4232" s="8"/>
    </row>
    <row r="4233" spans="16:16" x14ac:dyDescent="0.35">
      <c r="P4233" s="8"/>
    </row>
    <row r="4234" spans="16:16" x14ac:dyDescent="0.35">
      <c r="P4234" s="8"/>
    </row>
    <row r="4235" spans="16:16" x14ac:dyDescent="0.35">
      <c r="P4235" s="8"/>
    </row>
    <row r="4236" spans="16:16" x14ac:dyDescent="0.35">
      <c r="P4236" s="8"/>
    </row>
    <row r="4237" spans="16:16" x14ac:dyDescent="0.35">
      <c r="P4237" s="8"/>
    </row>
    <row r="4238" spans="16:16" x14ac:dyDescent="0.35">
      <c r="P4238" s="8"/>
    </row>
    <row r="4239" spans="16:16" x14ac:dyDescent="0.35">
      <c r="P4239" s="8"/>
    </row>
    <row r="4240" spans="16:16" x14ac:dyDescent="0.35">
      <c r="P4240" s="8"/>
    </row>
    <row r="4241" spans="16:16" x14ac:dyDescent="0.35">
      <c r="P4241" s="8"/>
    </row>
    <row r="4242" spans="16:16" x14ac:dyDescent="0.35">
      <c r="P4242" s="8"/>
    </row>
    <row r="4243" spans="16:16" x14ac:dyDescent="0.35">
      <c r="P4243" s="8"/>
    </row>
    <row r="4244" spans="16:16" x14ac:dyDescent="0.35">
      <c r="P4244" s="8"/>
    </row>
    <row r="4245" spans="16:16" x14ac:dyDescent="0.35">
      <c r="P4245" s="8"/>
    </row>
    <row r="4246" spans="16:16" x14ac:dyDescent="0.35">
      <c r="P4246" s="8"/>
    </row>
    <row r="4247" spans="16:16" x14ac:dyDescent="0.35">
      <c r="P4247" s="8"/>
    </row>
    <row r="4248" spans="16:16" x14ac:dyDescent="0.35">
      <c r="P4248" s="8"/>
    </row>
    <row r="4249" spans="16:16" x14ac:dyDescent="0.35">
      <c r="P4249" s="8"/>
    </row>
    <row r="4250" spans="16:16" x14ac:dyDescent="0.35">
      <c r="P4250" s="8"/>
    </row>
    <row r="4251" spans="16:16" x14ac:dyDescent="0.35">
      <c r="P4251" s="8"/>
    </row>
    <row r="4252" spans="16:16" x14ac:dyDescent="0.35">
      <c r="P4252" s="8"/>
    </row>
    <row r="4253" spans="16:16" x14ac:dyDescent="0.35">
      <c r="P4253" s="8"/>
    </row>
    <row r="4254" spans="16:16" x14ac:dyDescent="0.35">
      <c r="P4254" s="8"/>
    </row>
    <row r="4255" spans="16:16" x14ac:dyDescent="0.35">
      <c r="P4255" s="8"/>
    </row>
    <row r="4256" spans="16:16" x14ac:dyDescent="0.35">
      <c r="P4256" s="8"/>
    </row>
    <row r="4257" spans="16:16" x14ac:dyDescent="0.35">
      <c r="P4257" s="8"/>
    </row>
    <row r="4258" spans="16:16" x14ac:dyDescent="0.35">
      <c r="P4258" s="8"/>
    </row>
    <row r="4259" spans="16:16" x14ac:dyDescent="0.35">
      <c r="P4259" s="8"/>
    </row>
    <row r="4260" spans="16:16" x14ac:dyDescent="0.35">
      <c r="P4260" s="8"/>
    </row>
    <row r="4261" spans="16:16" x14ac:dyDescent="0.35">
      <c r="P4261" s="8"/>
    </row>
    <row r="4262" spans="16:16" x14ac:dyDescent="0.35">
      <c r="P4262" s="8"/>
    </row>
    <row r="4263" spans="16:16" x14ac:dyDescent="0.35">
      <c r="P4263" s="8"/>
    </row>
    <row r="4264" spans="16:16" x14ac:dyDescent="0.35">
      <c r="P4264" s="8"/>
    </row>
    <row r="4265" spans="16:16" x14ac:dyDescent="0.35">
      <c r="P4265" s="8"/>
    </row>
    <row r="4266" spans="16:16" x14ac:dyDescent="0.35">
      <c r="P4266" s="8"/>
    </row>
    <row r="4267" spans="16:16" x14ac:dyDescent="0.35">
      <c r="P4267" s="8"/>
    </row>
    <row r="4268" spans="16:16" x14ac:dyDescent="0.35">
      <c r="P4268" s="8"/>
    </row>
    <row r="4269" spans="16:16" x14ac:dyDescent="0.35">
      <c r="P4269" s="8"/>
    </row>
    <row r="4270" spans="16:16" x14ac:dyDescent="0.35">
      <c r="P4270" s="8"/>
    </row>
    <row r="4271" spans="16:16" x14ac:dyDescent="0.35">
      <c r="P4271" s="8"/>
    </row>
    <row r="4272" spans="16:16" x14ac:dyDescent="0.35">
      <c r="P4272" s="8"/>
    </row>
    <row r="4273" spans="16:16" x14ac:dyDescent="0.35">
      <c r="P4273" s="8"/>
    </row>
    <row r="4274" spans="16:16" x14ac:dyDescent="0.35">
      <c r="P4274" s="8"/>
    </row>
    <row r="4275" spans="16:16" x14ac:dyDescent="0.35">
      <c r="P4275" s="8"/>
    </row>
    <row r="4276" spans="16:16" x14ac:dyDescent="0.35">
      <c r="P4276" s="8"/>
    </row>
    <row r="4277" spans="16:16" x14ac:dyDescent="0.35">
      <c r="P4277" s="8"/>
    </row>
    <row r="4278" spans="16:16" x14ac:dyDescent="0.35">
      <c r="P4278" s="8"/>
    </row>
    <row r="4279" spans="16:16" x14ac:dyDescent="0.35">
      <c r="P4279" s="8"/>
    </row>
    <row r="4280" spans="16:16" x14ac:dyDescent="0.35">
      <c r="P4280" s="8"/>
    </row>
    <row r="4281" spans="16:16" x14ac:dyDescent="0.35">
      <c r="P4281" s="8"/>
    </row>
    <row r="4282" spans="16:16" x14ac:dyDescent="0.35">
      <c r="P4282" s="8"/>
    </row>
    <row r="4283" spans="16:16" x14ac:dyDescent="0.35">
      <c r="P4283" s="8"/>
    </row>
    <row r="4284" spans="16:16" x14ac:dyDescent="0.35">
      <c r="P4284" s="8"/>
    </row>
    <row r="4285" spans="16:16" x14ac:dyDescent="0.35">
      <c r="P4285" s="8"/>
    </row>
    <row r="4286" spans="16:16" x14ac:dyDescent="0.35">
      <c r="P4286" s="8"/>
    </row>
    <row r="4287" spans="16:16" x14ac:dyDescent="0.35">
      <c r="P4287" s="8"/>
    </row>
    <row r="4288" spans="16:16" x14ac:dyDescent="0.35">
      <c r="P4288" s="8"/>
    </row>
    <row r="4289" spans="16:16" x14ac:dyDescent="0.35">
      <c r="P4289" s="8"/>
    </row>
    <row r="4290" spans="16:16" x14ac:dyDescent="0.35">
      <c r="P4290" s="8"/>
    </row>
    <row r="4291" spans="16:16" x14ac:dyDescent="0.35">
      <c r="P4291" s="8"/>
    </row>
    <row r="4292" spans="16:16" x14ac:dyDescent="0.35">
      <c r="P4292" s="8"/>
    </row>
    <row r="4293" spans="16:16" x14ac:dyDescent="0.35">
      <c r="P4293" s="8"/>
    </row>
    <row r="4294" spans="16:16" x14ac:dyDescent="0.35">
      <c r="P4294" s="8"/>
    </row>
    <row r="4295" spans="16:16" x14ac:dyDescent="0.35">
      <c r="P4295" s="8"/>
    </row>
    <row r="4296" spans="16:16" x14ac:dyDescent="0.35">
      <c r="P4296" s="8"/>
    </row>
    <row r="4297" spans="16:16" x14ac:dyDescent="0.35">
      <c r="P4297" s="8"/>
    </row>
    <row r="4298" spans="16:16" x14ac:dyDescent="0.35">
      <c r="P4298" s="8"/>
    </row>
    <row r="4299" spans="16:16" x14ac:dyDescent="0.35">
      <c r="P4299" s="8"/>
    </row>
    <row r="4300" spans="16:16" x14ac:dyDescent="0.35">
      <c r="P4300" s="8"/>
    </row>
    <row r="4301" spans="16:16" x14ac:dyDescent="0.35">
      <c r="P4301" s="8"/>
    </row>
    <row r="4302" spans="16:16" x14ac:dyDescent="0.35">
      <c r="P4302" s="8"/>
    </row>
    <row r="4303" spans="16:16" x14ac:dyDescent="0.35">
      <c r="P4303" s="8"/>
    </row>
    <row r="4304" spans="16:16" x14ac:dyDescent="0.35">
      <c r="P4304" s="8"/>
    </row>
    <row r="4305" spans="16:16" x14ac:dyDescent="0.35">
      <c r="P4305" s="8"/>
    </row>
    <row r="4306" spans="16:16" x14ac:dyDescent="0.35">
      <c r="P4306" s="8"/>
    </row>
    <row r="4307" spans="16:16" x14ac:dyDescent="0.35">
      <c r="P4307" s="8"/>
    </row>
    <row r="4308" spans="16:16" x14ac:dyDescent="0.35">
      <c r="P4308" s="8"/>
    </row>
    <row r="4309" spans="16:16" x14ac:dyDescent="0.35">
      <c r="P4309" s="8"/>
    </row>
    <row r="4310" spans="16:16" x14ac:dyDescent="0.35">
      <c r="P4310" s="8"/>
    </row>
    <row r="4311" spans="16:16" x14ac:dyDescent="0.35">
      <c r="P4311" s="8"/>
    </row>
    <row r="4312" spans="16:16" x14ac:dyDescent="0.35">
      <c r="P4312" s="8"/>
    </row>
    <row r="4313" spans="16:16" x14ac:dyDescent="0.35">
      <c r="P4313" s="8"/>
    </row>
    <row r="4314" spans="16:16" x14ac:dyDescent="0.35">
      <c r="P4314" s="8"/>
    </row>
    <row r="4315" spans="16:16" x14ac:dyDescent="0.35">
      <c r="P4315" s="8"/>
    </row>
    <row r="4316" spans="16:16" x14ac:dyDescent="0.35">
      <c r="P4316" s="8"/>
    </row>
    <row r="4317" spans="16:16" x14ac:dyDescent="0.35">
      <c r="P4317" s="8"/>
    </row>
    <row r="4318" spans="16:16" x14ac:dyDescent="0.35">
      <c r="P4318" s="8"/>
    </row>
    <row r="4319" spans="16:16" x14ac:dyDescent="0.35">
      <c r="P4319" s="8"/>
    </row>
    <row r="4320" spans="16:16" x14ac:dyDescent="0.35">
      <c r="P4320" s="8"/>
    </row>
    <row r="4321" spans="16:16" x14ac:dyDescent="0.35">
      <c r="P4321" s="8"/>
    </row>
    <row r="4322" spans="16:16" x14ac:dyDescent="0.35">
      <c r="P4322" s="8"/>
    </row>
    <row r="4323" spans="16:16" x14ac:dyDescent="0.35">
      <c r="P4323" s="8"/>
    </row>
    <row r="4324" spans="16:16" x14ac:dyDescent="0.35">
      <c r="P4324" s="8"/>
    </row>
    <row r="4325" spans="16:16" x14ac:dyDescent="0.35">
      <c r="P4325" s="8"/>
    </row>
    <row r="4326" spans="16:16" x14ac:dyDescent="0.35">
      <c r="P4326" s="8"/>
    </row>
    <row r="4327" spans="16:16" x14ac:dyDescent="0.35">
      <c r="P4327" s="8"/>
    </row>
    <row r="4328" spans="16:16" x14ac:dyDescent="0.35">
      <c r="P4328" s="8"/>
    </row>
    <row r="4329" spans="16:16" x14ac:dyDescent="0.35">
      <c r="P4329" s="8"/>
    </row>
    <row r="4330" spans="16:16" x14ac:dyDescent="0.35">
      <c r="P4330" s="8"/>
    </row>
    <row r="4331" spans="16:16" x14ac:dyDescent="0.35">
      <c r="P4331" s="8"/>
    </row>
    <row r="4332" spans="16:16" x14ac:dyDescent="0.35">
      <c r="P4332" s="8"/>
    </row>
    <row r="4333" spans="16:16" x14ac:dyDescent="0.35">
      <c r="P4333" s="8"/>
    </row>
    <row r="4334" spans="16:16" x14ac:dyDescent="0.35">
      <c r="P4334" s="8"/>
    </row>
    <row r="4335" spans="16:16" x14ac:dyDescent="0.35">
      <c r="P4335" s="8"/>
    </row>
    <row r="4336" spans="16:16" x14ac:dyDescent="0.35">
      <c r="P4336" s="8"/>
    </row>
    <row r="4337" spans="16:16" x14ac:dyDescent="0.35">
      <c r="P4337" s="8"/>
    </row>
    <row r="4338" spans="16:16" x14ac:dyDescent="0.35">
      <c r="P4338" s="8"/>
    </row>
    <row r="4339" spans="16:16" x14ac:dyDescent="0.35">
      <c r="P4339" s="8"/>
    </row>
    <row r="4340" spans="16:16" x14ac:dyDescent="0.35">
      <c r="P4340" s="8"/>
    </row>
    <row r="4341" spans="16:16" x14ac:dyDescent="0.35">
      <c r="P4341" s="8"/>
    </row>
    <row r="4342" spans="16:16" x14ac:dyDescent="0.35">
      <c r="P4342" s="8"/>
    </row>
    <row r="4343" spans="16:16" x14ac:dyDescent="0.35">
      <c r="P4343" s="8"/>
    </row>
    <row r="4344" spans="16:16" x14ac:dyDescent="0.35">
      <c r="P4344" s="8"/>
    </row>
    <row r="4345" spans="16:16" x14ac:dyDescent="0.35">
      <c r="P4345" s="8"/>
    </row>
    <row r="4346" spans="16:16" x14ac:dyDescent="0.35">
      <c r="P4346" s="8"/>
    </row>
    <row r="4347" spans="16:16" x14ac:dyDescent="0.35">
      <c r="P4347" s="8"/>
    </row>
    <row r="4348" spans="16:16" x14ac:dyDescent="0.35">
      <c r="P4348" s="8"/>
    </row>
    <row r="4349" spans="16:16" x14ac:dyDescent="0.35">
      <c r="P4349" s="8"/>
    </row>
    <row r="4350" spans="16:16" x14ac:dyDescent="0.35">
      <c r="P4350" s="8"/>
    </row>
    <row r="4351" spans="16:16" x14ac:dyDescent="0.35">
      <c r="P4351" s="8"/>
    </row>
    <row r="4352" spans="16:16" x14ac:dyDescent="0.35">
      <c r="P4352" s="8"/>
    </row>
    <row r="4353" spans="16:16" x14ac:dyDescent="0.35">
      <c r="P4353" s="8"/>
    </row>
    <row r="4354" spans="16:16" x14ac:dyDescent="0.35">
      <c r="P4354" s="8"/>
    </row>
    <row r="4355" spans="16:16" x14ac:dyDescent="0.35">
      <c r="P4355" s="8"/>
    </row>
    <row r="4356" spans="16:16" x14ac:dyDescent="0.35">
      <c r="P4356" s="8"/>
    </row>
    <row r="4357" spans="16:16" x14ac:dyDescent="0.35">
      <c r="P4357" s="8"/>
    </row>
    <row r="4358" spans="16:16" x14ac:dyDescent="0.35">
      <c r="P4358" s="8"/>
    </row>
    <row r="4359" spans="16:16" x14ac:dyDescent="0.35">
      <c r="P4359" s="8"/>
    </row>
    <row r="4360" spans="16:16" x14ac:dyDescent="0.35">
      <c r="P4360" s="8"/>
    </row>
    <row r="4361" spans="16:16" x14ac:dyDescent="0.35">
      <c r="P4361" s="8"/>
    </row>
    <row r="4362" spans="16:16" x14ac:dyDescent="0.35">
      <c r="P4362" s="8"/>
    </row>
    <row r="4363" spans="16:16" x14ac:dyDescent="0.35">
      <c r="P4363" s="8"/>
    </row>
    <row r="4364" spans="16:16" x14ac:dyDescent="0.35">
      <c r="P4364" s="8"/>
    </row>
    <row r="4365" spans="16:16" x14ac:dyDescent="0.35">
      <c r="P4365" s="8"/>
    </row>
    <row r="4366" spans="16:16" x14ac:dyDescent="0.35">
      <c r="P4366" s="8"/>
    </row>
    <row r="4367" spans="16:16" x14ac:dyDescent="0.35">
      <c r="P4367" s="8"/>
    </row>
    <row r="4368" spans="16:16" x14ac:dyDescent="0.35">
      <c r="P4368" s="8"/>
    </row>
    <row r="4369" spans="16:16" x14ac:dyDescent="0.35">
      <c r="P4369" s="8"/>
    </row>
    <row r="4370" spans="16:16" x14ac:dyDescent="0.35">
      <c r="P4370" s="8"/>
    </row>
    <row r="4371" spans="16:16" x14ac:dyDescent="0.35">
      <c r="P4371" s="8"/>
    </row>
    <row r="4372" spans="16:16" x14ac:dyDescent="0.35">
      <c r="P4372" s="8"/>
    </row>
    <row r="4373" spans="16:16" x14ac:dyDescent="0.35">
      <c r="P4373" s="8"/>
    </row>
    <row r="4374" spans="16:16" x14ac:dyDescent="0.35">
      <c r="P4374" s="8"/>
    </row>
    <row r="4375" spans="16:16" x14ac:dyDescent="0.35">
      <c r="P4375" s="8"/>
    </row>
    <row r="4376" spans="16:16" x14ac:dyDescent="0.35">
      <c r="P4376" s="8"/>
    </row>
    <row r="4377" spans="16:16" x14ac:dyDescent="0.35">
      <c r="P4377" s="8"/>
    </row>
    <row r="4378" spans="16:16" x14ac:dyDescent="0.35">
      <c r="P4378" s="8"/>
    </row>
    <row r="4379" spans="16:16" x14ac:dyDescent="0.35">
      <c r="P4379" s="8"/>
    </row>
    <row r="4380" spans="16:16" x14ac:dyDescent="0.35">
      <c r="P4380" s="8"/>
    </row>
    <row r="4381" spans="16:16" x14ac:dyDescent="0.35">
      <c r="P4381" s="8"/>
    </row>
    <row r="4382" spans="16:16" x14ac:dyDescent="0.35">
      <c r="P4382" s="8"/>
    </row>
    <row r="4383" spans="16:16" x14ac:dyDescent="0.35">
      <c r="P4383" s="8"/>
    </row>
    <row r="4384" spans="16:16" x14ac:dyDescent="0.35">
      <c r="P4384" s="8"/>
    </row>
    <row r="4385" spans="16:16" x14ac:dyDescent="0.35">
      <c r="P4385" s="8"/>
    </row>
    <row r="4386" spans="16:16" x14ac:dyDescent="0.35">
      <c r="P4386" s="8"/>
    </row>
    <row r="4387" spans="16:16" x14ac:dyDescent="0.35">
      <c r="P4387" s="8"/>
    </row>
    <row r="4388" spans="16:16" x14ac:dyDescent="0.35">
      <c r="P4388" s="8"/>
    </row>
    <row r="4389" spans="16:16" x14ac:dyDescent="0.35">
      <c r="P4389" s="8"/>
    </row>
    <row r="4390" spans="16:16" x14ac:dyDescent="0.35">
      <c r="P4390" s="8"/>
    </row>
    <row r="4391" spans="16:16" x14ac:dyDescent="0.35">
      <c r="P4391" s="8"/>
    </row>
    <row r="4392" spans="16:16" x14ac:dyDescent="0.35">
      <c r="P4392" s="8"/>
    </row>
    <row r="4393" spans="16:16" x14ac:dyDescent="0.35">
      <c r="P4393" s="8"/>
    </row>
    <row r="4394" spans="16:16" x14ac:dyDescent="0.35">
      <c r="P4394" s="8"/>
    </row>
    <row r="4395" spans="16:16" x14ac:dyDescent="0.35">
      <c r="P4395" s="8"/>
    </row>
    <row r="4396" spans="16:16" x14ac:dyDescent="0.35">
      <c r="P4396" s="8"/>
    </row>
    <row r="4397" spans="16:16" x14ac:dyDescent="0.35">
      <c r="P4397" s="8"/>
    </row>
    <row r="4398" spans="16:16" x14ac:dyDescent="0.35">
      <c r="P4398" s="8"/>
    </row>
    <row r="4399" spans="16:16" x14ac:dyDescent="0.35">
      <c r="P4399" s="8"/>
    </row>
    <row r="4400" spans="16:16" x14ac:dyDescent="0.35">
      <c r="P4400" s="8"/>
    </row>
    <row r="4401" spans="16:16" x14ac:dyDescent="0.35">
      <c r="P4401" s="8"/>
    </row>
    <row r="4402" spans="16:16" x14ac:dyDescent="0.35">
      <c r="P4402" s="8"/>
    </row>
    <row r="4403" spans="16:16" x14ac:dyDescent="0.35">
      <c r="P4403" s="8"/>
    </row>
    <row r="4404" spans="16:16" x14ac:dyDescent="0.35">
      <c r="P4404" s="8"/>
    </row>
    <row r="4405" spans="16:16" x14ac:dyDescent="0.35">
      <c r="P4405" s="8"/>
    </row>
    <row r="4406" spans="16:16" x14ac:dyDescent="0.35">
      <c r="P4406" s="8"/>
    </row>
    <row r="4407" spans="16:16" x14ac:dyDescent="0.35">
      <c r="P4407" s="8"/>
    </row>
    <row r="4408" spans="16:16" x14ac:dyDescent="0.35">
      <c r="P4408" s="8"/>
    </row>
    <row r="4409" spans="16:16" x14ac:dyDescent="0.35">
      <c r="P4409" s="8"/>
    </row>
    <row r="4410" spans="16:16" x14ac:dyDescent="0.35">
      <c r="P4410" s="8"/>
    </row>
    <row r="4411" spans="16:16" x14ac:dyDescent="0.35">
      <c r="P4411" s="8"/>
    </row>
    <row r="4412" spans="16:16" x14ac:dyDescent="0.35">
      <c r="P4412" s="8"/>
    </row>
    <row r="4413" spans="16:16" x14ac:dyDescent="0.35">
      <c r="P4413" s="8"/>
    </row>
    <row r="4414" spans="16:16" x14ac:dyDescent="0.35">
      <c r="P4414" s="8"/>
    </row>
    <row r="4415" spans="16:16" x14ac:dyDescent="0.35">
      <c r="P4415" s="8"/>
    </row>
    <row r="4416" spans="16:16" x14ac:dyDescent="0.35">
      <c r="P4416" s="8"/>
    </row>
    <row r="4417" spans="16:16" x14ac:dyDescent="0.35">
      <c r="P4417" s="8"/>
    </row>
    <row r="4418" spans="16:16" x14ac:dyDescent="0.35">
      <c r="P4418" s="8"/>
    </row>
    <row r="4419" spans="16:16" x14ac:dyDescent="0.35">
      <c r="P4419" s="8"/>
    </row>
    <row r="4420" spans="16:16" x14ac:dyDescent="0.35">
      <c r="P4420" s="8"/>
    </row>
    <row r="4421" spans="16:16" x14ac:dyDescent="0.35">
      <c r="P4421" s="8"/>
    </row>
    <row r="4422" spans="16:16" x14ac:dyDescent="0.35">
      <c r="P4422" s="8"/>
    </row>
    <row r="4423" spans="16:16" x14ac:dyDescent="0.35">
      <c r="P4423" s="8"/>
    </row>
    <row r="4424" spans="16:16" x14ac:dyDescent="0.35">
      <c r="P4424" s="8"/>
    </row>
    <row r="4425" spans="16:16" x14ac:dyDescent="0.35">
      <c r="P4425" s="8"/>
    </row>
    <row r="4426" spans="16:16" x14ac:dyDescent="0.35">
      <c r="P4426" s="8"/>
    </row>
    <row r="4427" spans="16:16" x14ac:dyDescent="0.35">
      <c r="P4427" s="8"/>
    </row>
    <row r="4428" spans="16:16" x14ac:dyDescent="0.35">
      <c r="P4428" s="8"/>
    </row>
    <row r="4429" spans="16:16" x14ac:dyDescent="0.35">
      <c r="P4429" s="8"/>
    </row>
    <row r="4430" spans="16:16" x14ac:dyDescent="0.35">
      <c r="P4430" s="8"/>
    </row>
    <row r="4431" spans="16:16" x14ac:dyDescent="0.35">
      <c r="P4431" s="8"/>
    </row>
    <row r="4432" spans="16:16" x14ac:dyDescent="0.35">
      <c r="P4432" s="8"/>
    </row>
    <row r="4433" spans="16:16" x14ac:dyDescent="0.35">
      <c r="P4433" s="8"/>
    </row>
    <row r="4434" spans="16:16" x14ac:dyDescent="0.35">
      <c r="P4434" s="8"/>
    </row>
    <row r="4435" spans="16:16" x14ac:dyDescent="0.35">
      <c r="P4435" s="8"/>
    </row>
    <row r="4436" spans="16:16" x14ac:dyDescent="0.35">
      <c r="P4436" s="8"/>
    </row>
    <row r="4437" spans="16:16" x14ac:dyDescent="0.35">
      <c r="P4437" s="8"/>
    </row>
    <row r="4438" spans="16:16" x14ac:dyDescent="0.35">
      <c r="P4438" s="8"/>
    </row>
    <row r="4439" spans="16:16" x14ac:dyDescent="0.35">
      <c r="P4439" s="8"/>
    </row>
    <row r="4440" spans="16:16" x14ac:dyDescent="0.35">
      <c r="P4440" s="8"/>
    </row>
    <row r="4441" spans="16:16" x14ac:dyDescent="0.35">
      <c r="P4441" s="8"/>
    </row>
    <row r="4442" spans="16:16" x14ac:dyDescent="0.35">
      <c r="P4442" s="8"/>
    </row>
    <row r="4443" spans="16:16" x14ac:dyDescent="0.35">
      <c r="P4443" s="8"/>
    </row>
    <row r="4444" spans="16:16" x14ac:dyDescent="0.35">
      <c r="P4444" s="8"/>
    </row>
    <row r="4445" spans="16:16" x14ac:dyDescent="0.35">
      <c r="P4445" s="8"/>
    </row>
    <row r="4446" spans="16:16" x14ac:dyDescent="0.35">
      <c r="P4446" s="8"/>
    </row>
    <row r="4447" spans="16:16" x14ac:dyDescent="0.35">
      <c r="P4447" s="8"/>
    </row>
    <row r="4448" spans="16:16" x14ac:dyDescent="0.35">
      <c r="P4448" s="8"/>
    </row>
    <row r="4449" spans="16:16" x14ac:dyDescent="0.35">
      <c r="P4449" s="8"/>
    </row>
    <row r="4450" spans="16:16" x14ac:dyDescent="0.35">
      <c r="P4450" s="8"/>
    </row>
    <row r="4451" spans="16:16" x14ac:dyDescent="0.35">
      <c r="P4451" s="8"/>
    </row>
    <row r="4452" spans="16:16" x14ac:dyDescent="0.35">
      <c r="P4452" s="8"/>
    </row>
    <row r="4453" spans="16:16" x14ac:dyDescent="0.35">
      <c r="P4453" s="8"/>
    </row>
    <row r="4454" spans="16:16" x14ac:dyDescent="0.35">
      <c r="P4454" s="8"/>
    </row>
    <row r="4455" spans="16:16" x14ac:dyDescent="0.35">
      <c r="P4455" s="8"/>
    </row>
    <row r="4456" spans="16:16" x14ac:dyDescent="0.35">
      <c r="P4456" s="8"/>
    </row>
    <row r="4457" spans="16:16" x14ac:dyDescent="0.35">
      <c r="P4457" s="8"/>
    </row>
    <row r="4458" spans="16:16" x14ac:dyDescent="0.35">
      <c r="P4458" s="8"/>
    </row>
    <row r="4459" spans="16:16" x14ac:dyDescent="0.35">
      <c r="P4459" s="8"/>
    </row>
    <row r="4460" spans="16:16" x14ac:dyDescent="0.35">
      <c r="P4460" s="8"/>
    </row>
    <row r="4461" spans="16:16" x14ac:dyDescent="0.35">
      <c r="P4461" s="8"/>
    </row>
    <row r="4462" spans="16:16" x14ac:dyDescent="0.35">
      <c r="P4462" s="8"/>
    </row>
    <row r="4463" spans="16:16" x14ac:dyDescent="0.35">
      <c r="P4463" s="8"/>
    </row>
    <row r="4464" spans="16:16" x14ac:dyDescent="0.35">
      <c r="P4464" s="8"/>
    </row>
    <row r="4465" spans="16:16" x14ac:dyDescent="0.35">
      <c r="P4465" s="8"/>
    </row>
    <row r="4466" spans="16:16" x14ac:dyDescent="0.35">
      <c r="P4466" s="8"/>
    </row>
    <row r="4467" spans="16:16" x14ac:dyDescent="0.35">
      <c r="P4467" s="8"/>
    </row>
    <row r="4468" spans="16:16" x14ac:dyDescent="0.35">
      <c r="P4468" s="8"/>
    </row>
    <row r="4469" spans="16:16" x14ac:dyDescent="0.35">
      <c r="P4469" s="8"/>
    </row>
    <row r="4470" spans="16:16" x14ac:dyDescent="0.35">
      <c r="P4470" s="8"/>
    </row>
    <row r="4471" spans="16:16" x14ac:dyDescent="0.35">
      <c r="P4471" s="8"/>
    </row>
    <row r="4472" spans="16:16" x14ac:dyDescent="0.35">
      <c r="P4472" s="8"/>
    </row>
    <row r="4473" spans="16:16" x14ac:dyDescent="0.35">
      <c r="P4473" s="8"/>
    </row>
    <row r="4474" spans="16:16" x14ac:dyDescent="0.35">
      <c r="P4474" s="8"/>
    </row>
    <row r="4475" spans="16:16" x14ac:dyDescent="0.35">
      <c r="P4475" s="8"/>
    </row>
    <row r="4476" spans="16:16" x14ac:dyDescent="0.35">
      <c r="P4476" s="8"/>
    </row>
    <row r="4477" spans="16:16" x14ac:dyDescent="0.35">
      <c r="P4477" s="8"/>
    </row>
    <row r="4478" spans="16:16" x14ac:dyDescent="0.35">
      <c r="P4478" s="8"/>
    </row>
    <row r="4479" spans="16:16" x14ac:dyDescent="0.35">
      <c r="P4479" s="8"/>
    </row>
    <row r="4480" spans="16:16" x14ac:dyDescent="0.35">
      <c r="P4480" s="8"/>
    </row>
    <row r="4481" spans="16:16" x14ac:dyDescent="0.35">
      <c r="P4481" s="8"/>
    </row>
    <row r="4482" spans="16:16" x14ac:dyDescent="0.35">
      <c r="P4482" s="8"/>
    </row>
    <row r="4483" spans="16:16" x14ac:dyDescent="0.35">
      <c r="P4483" s="8"/>
    </row>
    <row r="4484" spans="16:16" x14ac:dyDescent="0.35">
      <c r="P4484" s="8"/>
    </row>
    <row r="4485" spans="16:16" x14ac:dyDescent="0.35">
      <c r="P4485" s="8"/>
    </row>
    <row r="4486" spans="16:16" x14ac:dyDescent="0.35">
      <c r="P4486" s="8"/>
    </row>
    <row r="4487" spans="16:16" x14ac:dyDescent="0.35">
      <c r="P4487" s="8"/>
    </row>
    <row r="4488" spans="16:16" x14ac:dyDescent="0.35">
      <c r="P4488" s="8"/>
    </row>
    <row r="4489" spans="16:16" x14ac:dyDescent="0.35">
      <c r="P4489" s="8"/>
    </row>
    <row r="4490" spans="16:16" x14ac:dyDescent="0.35">
      <c r="P4490" s="8"/>
    </row>
    <row r="4491" spans="16:16" x14ac:dyDescent="0.35">
      <c r="P4491" s="8"/>
    </row>
    <row r="4492" spans="16:16" x14ac:dyDescent="0.35">
      <c r="P4492" s="8"/>
    </row>
    <row r="4493" spans="16:16" x14ac:dyDescent="0.35">
      <c r="P4493" s="8"/>
    </row>
    <row r="4494" spans="16:16" x14ac:dyDescent="0.35">
      <c r="P4494" s="8"/>
    </row>
    <row r="4495" spans="16:16" x14ac:dyDescent="0.35">
      <c r="P4495" s="8"/>
    </row>
    <row r="4496" spans="16:16" x14ac:dyDescent="0.35">
      <c r="P4496" s="8"/>
    </row>
    <row r="4497" spans="16:16" x14ac:dyDescent="0.35">
      <c r="P4497" s="8"/>
    </row>
    <row r="4498" spans="16:16" x14ac:dyDescent="0.35">
      <c r="P4498" s="8"/>
    </row>
    <row r="4499" spans="16:16" x14ac:dyDescent="0.35">
      <c r="P4499" s="8"/>
    </row>
    <row r="4500" spans="16:16" x14ac:dyDescent="0.35">
      <c r="P4500" s="8"/>
    </row>
    <row r="4501" spans="16:16" x14ac:dyDescent="0.35">
      <c r="P4501" s="8"/>
    </row>
    <row r="4502" spans="16:16" x14ac:dyDescent="0.35">
      <c r="P4502" s="8"/>
    </row>
    <row r="4503" spans="16:16" x14ac:dyDescent="0.35">
      <c r="P4503" s="8"/>
    </row>
    <row r="4504" spans="16:16" x14ac:dyDescent="0.35">
      <c r="P4504" s="8"/>
    </row>
    <row r="4505" spans="16:16" x14ac:dyDescent="0.35">
      <c r="P4505" s="8"/>
    </row>
    <row r="4506" spans="16:16" x14ac:dyDescent="0.35">
      <c r="P4506" s="8"/>
    </row>
    <row r="4507" spans="16:16" x14ac:dyDescent="0.35">
      <c r="P4507" s="8"/>
    </row>
    <row r="4508" spans="16:16" x14ac:dyDescent="0.35">
      <c r="P4508" s="8"/>
    </row>
    <row r="4509" spans="16:16" x14ac:dyDescent="0.35">
      <c r="P4509" s="8"/>
    </row>
    <row r="4510" spans="16:16" x14ac:dyDescent="0.35">
      <c r="P4510" s="8"/>
    </row>
    <row r="4511" spans="16:16" x14ac:dyDescent="0.35">
      <c r="P4511" s="8"/>
    </row>
    <row r="4512" spans="16:16" x14ac:dyDescent="0.35">
      <c r="P4512" s="8"/>
    </row>
    <row r="4513" spans="16:16" x14ac:dyDescent="0.35">
      <c r="P4513" s="8"/>
    </row>
    <row r="4514" spans="16:16" x14ac:dyDescent="0.35">
      <c r="P4514" s="8"/>
    </row>
    <row r="4515" spans="16:16" x14ac:dyDescent="0.35">
      <c r="P4515" s="8"/>
    </row>
    <row r="4516" spans="16:16" x14ac:dyDescent="0.35">
      <c r="P4516" s="8"/>
    </row>
    <row r="4517" spans="16:16" x14ac:dyDescent="0.35">
      <c r="P4517" s="8"/>
    </row>
    <row r="4518" spans="16:16" x14ac:dyDescent="0.35">
      <c r="P4518" s="8"/>
    </row>
    <row r="4519" spans="16:16" x14ac:dyDescent="0.35">
      <c r="P4519" s="8"/>
    </row>
    <row r="4520" spans="16:16" x14ac:dyDescent="0.35">
      <c r="P4520" s="8"/>
    </row>
    <row r="4521" spans="16:16" x14ac:dyDescent="0.35">
      <c r="P4521" s="8"/>
    </row>
    <row r="4522" spans="16:16" x14ac:dyDescent="0.35">
      <c r="P4522" s="8"/>
    </row>
    <row r="4523" spans="16:16" x14ac:dyDescent="0.35">
      <c r="P4523" s="8"/>
    </row>
    <row r="4524" spans="16:16" x14ac:dyDescent="0.35">
      <c r="P4524" s="8"/>
    </row>
    <row r="4525" spans="16:16" x14ac:dyDescent="0.35">
      <c r="P4525" s="8"/>
    </row>
    <row r="4526" spans="16:16" x14ac:dyDescent="0.35">
      <c r="P4526" s="8"/>
    </row>
    <row r="4527" spans="16:16" x14ac:dyDescent="0.35">
      <c r="P4527" s="8"/>
    </row>
    <row r="4528" spans="16:16" x14ac:dyDescent="0.35">
      <c r="P4528" s="8"/>
    </row>
    <row r="4529" spans="16:16" x14ac:dyDescent="0.35">
      <c r="P4529" s="8"/>
    </row>
    <row r="4530" spans="16:16" x14ac:dyDescent="0.35">
      <c r="P4530" s="8"/>
    </row>
    <row r="4531" spans="16:16" x14ac:dyDescent="0.35">
      <c r="P4531" s="8"/>
    </row>
    <row r="4532" spans="16:16" x14ac:dyDescent="0.35">
      <c r="P4532" s="8"/>
    </row>
    <row r="4533" spans="16:16" x14ac:dyDescent="0.35">
      <c r="P4533" s="8"/>
    </row>
    <row r="4534" spans="16:16" x14ac:dyDescent="0.35">
      <c r="P4534" s="8"/>
    </row>
    <row r="4535" spans="16:16" x14ac:dyDescent="0.35">
      <c r="P4535" s="8"/>
    </row>
    <row r="4536" spans="16:16" x14ac:dyDescent="0.35">
      <c r="P4536" s="8"/>
    </row>
    <row r="4537" spans="16:16" x14ac:dyDescent="0.35">
      <c r="P4537" s="8"/>
    </row>
    <row r="4538" spans="16:16" x14ac:dyDescent="0.35">
      <c r="P4538" s="8"/>
    </row>
    <row r="4539" spans="16:16" x14ac:dyDescent="0.35">
      <c r="P4539" s="8"/>
    </row>
    <row r="4540" spans="16:16" x14ac:dyDescent="0.35">
      <c r="P4540" s="8"/>
    </row>
    <row r="4541" spans="16:16" x14ac:dyDescent="0.35">
      <c r="P4541" s="8"/>
    </row>
    <row r="4542" spans="16:16" x14ac:dyDescent="0.35">
      <c r="P4542" s="8"/>
    </row>
    <row r="4543" spans="16:16" x14ac:dyDescent="0.35">
      <c r="P4543" s="8"/>
    </row>
    <row r="4544" spans="16:16" x14ac:dyDescent="0.35">
      <c r="P4544" s="8"/>
    </row>
    <row r="4545" spans="16:16" x14ac:dyDescent="0.35">
      <c r="P4545" s="8"/>
    </row>
    <row r="4546" spans="16:16" x14ac:dyDescent="0.35">
      <c r="P4546" s="8"/>
    </row>
    <row r="4547" spans="16:16" x14ac:dyDescent="0.35">
      <c r="P4547" s="8"/>
    </row>
    <row r="4548" spans="16:16" x14ac:dyDescent="0.35">
      <c r="P4548" s="8"/>
    </row>
    <row r="4549" spans="16:16" x14ac:dyDescent="0.35">
      <c r="P4549" s="8"/>
    </row>
    <row r="4550" spans="16:16" x14ac:dyDescent="0.35">
      <c r="P4550" s="8"/>
    </row>
    <row r="4551" spans="16:16" x14ac:dyDescent="0.35">
      <c r="P4551" s="8"/>
    </row>
    <row r="4552" spans="16:16" x14ac:dyDescent="0.35">
      <c r="P4552" s="8"/>
    </row>
    <row r="4553" spans="16:16" x14ac:dyDescent="0.35">
      <c r="P4553" s="8"/>
    </row>
    <row r="4554" spans="16:16" x14ac:dyDescent="0.35">
      <c r="P4554" s="8"/>
    </row>
    <row r="4555" spans="16:16" x14ac:dyDescent="0.35">
      <c r="P4555" s="8"/>
    </row>
    <row r="4556" spans="16:16" x14ac:dyDescent="0.35">
      <c r="P4556" s="8"/>
    </row>
    <row r="4557" spans="16:16" x14ac:dyDescent="0.35">
      <c r="P4557" s="8"/>
    </row>
    <row r="4558" spans="16:16" x14ac:dyDescent="0.35">
      <c r="P4558" s="8"/>
    </row>
    <row r="4559" spans="16:16" x14ac:dyDescent="0.35">
      <c r="P4559" s="8"/>
    </row>
    <row r="4560" spans="16:16" x14ac:dyDescent="0.35">
      <c r="P4560" s="8"/>
    </row>
    <row r="4561" spans="16:16" x14ac:dyDescent="0.35">
      <c r="P4561" s="8"/>
    </row>
    <row r="4562" spans="16:16" x14ac:dyDescent="0.35">
      <c r="P4562" s="8"/>
    </row>
    <row r="4563" spans="16:16" x14ac:dyDescent="0.35">
      <c r="P4563" s="8"/>
    </row>
    <row r="4564" spans="16:16" x14ac:dyDescent="0.35">
      <c r="P4564" s="8"/>
    </row>
    <row r="4565" spans="16:16" x14ac:dyDescent="0.35">
      <c r="P4565" s="8"/>
    </row>
    <row r="4566" spans="16:16" x14ac:dyDescent="0.35">
      <c r="P4566" s="8"/>
    </row>
    <row r="4567" spans="16:16" x14ac:dyDescent="0.35">
      <c r="P4567" s="8"/>
    </row>
    <row r="4568" spans="16:16" x14ac:dyDescent="0.35">
      <c r="P4568" s="8"/>
    </row>
    <row r="4569" spans="16:16" x14ac:dyDescent="0.35">
      <c r="P4569" s="8"/>
    </row>
    <row r="4570" spans="16:16" x14ac:dyDescent="0.35">
      <c r="P4570" s="8"/>
    </row>
    <row r="4571" spans="16:16" x14ac:dyDescent="0.35">
      <c r="P4571" s="8"/>
    </row>
    <row r="4572" spans="16:16" x14ac:dyDescent="0.35">
      <c r="P4572" s="8"/>
    </row>
    <row r="4573" spans="16:16" x14ac:dyDescent="0.35">
      <c r="P4573" s="8"/>
    </row>
    <row r="4574" spans="16:16" x14ac:dyDescent="0.35">
      <c r="P4574" s="8"/>
    </row>
    <row r="4575" spans="16:16" x14ac:dyDescent="0.35">
      <c r="P4575" s="8"/>
    </row>
    <row r="4576" spans="16:16" x14ac:dyDescent="0.35">
      <c r="P4576" s="8"/>
    </row>
    <row r="4577" spans="16:16" x14ac:dyDescent="0.35">
      <c r="P4577" s="8"/>
    </row>
    <row r="4578" spans="16:16" x14ac:dyDescent="0.35">
      <c r="P4578" s="8"/>
    </row>
    <row r="4579" spans="16:16" x14ac:dyDescent="0.35">
      <c r="P4579" s="8"/>
    </row>
    <row r="4580" spans="16:16" x14ac:dyDescent="0.35">
      <c r="P4580" s="8"/>
    </row>
    <row r="4581" spans="16:16" x14ac:dyDescent="0.35">
      <c r="P4581" s="8"/>
    </row>
    <row r="4582" spans="16:16" x14ac:dyDescent="0.35">
      <c r="P4582" s="8"/>
    </row>
    <row r="4583" spans="16:16" x14ac:dyDescent="0.35">
      <c r="P4583" s="8"/>
    </row>
    <row r="4584" spans="16:16" x14ac:dyDescent="0.35">
      <c r="P4584" s="8"/>
    </row>
    <row r="4585" spans="16:16" x14ac:dyDescent="0.35">
      <c r="P4585" s="8"/>
    </row>
    <row r="4586" spans="16:16" x14ac:dyDescent="0.35">
      <c r="P4586" s="8"/>
    </row>
    <row r="4587" spans="16:16" x14ac:dyDescent="0.35">
      <c r="P4587" s="8"/>
    </row>
    <row r="4588" spans="16:16" x14ac:dyDescent="0.35">
      <c r="P4588" s="8"/>
    </row>
    <row r="4589" spans="16:16" x14ac:dyDescent="0.35">
      <c r="P4589" s="8"/>
    </row>
    <row r="4590" spans="16:16" x14ac:dyDescent="0.35">
      <c r="P4590" s="8"/>
    </row>
    <row r="4591" spans="16:16" x14ac:dyDescent="0.35">
      <c r="P4591" s="8"/>
    </row>
    <row r="4592" spans="16:16" x14ac:dyDescent="0.35">
      <c r="P4592" s="8"/>
    </row>
    <row r="4593" spans="16:16" x14ac:dyDescent="0.35">
      <c r="P4593" s="8"/>
    </row>
    <row r="4594" spans="16:16" x14ac:dyDescent="0.35">
      <c r="P4594" s="8"/>
    </row>
    <row r="4595" spans="16:16" x14ac:dyDescent="0.35">
      <c r="P4595" s="8"/>
    </row>
    <row r="4596" spans="16:16" x14ac:dyDescent="0.35">
      <c r="P4596" s="8"/>
    </row>
    <row r="4597" spans="16:16" x14ac:dyDescent="0.35">
      <c r="P4597" s="8"/>
    </row>
    <row r="4598" spans="16:16" x14ac:dyDescent="0.35">
      <c r="P4598" s="8"/>
    </row>
    <row r="4599" spans="16:16" x14ac:dyDescent="0.35">
      <c r="P4599" s="8"/>
    </row>
    <row r="4600" spans="16:16" x14ac:dyDescent="0.35">
      <c r="P4600" s="8"/>
    </row>
    <row r="4601" spans="16:16" x14ac:dyDescent="0.35">
      <c r="P4601" s="8"/>
    </row>
    <row r="4602" spans="16:16" x14ac:dyDescent="0.35">
      <c r="P4602" s="8"/>
    </row>
    <row r="4603" spans="16:16" x14ac:dyDescent="0.35">
      <c r="P4603" s="8"/>
    </row>
    <row r="4604" spans="16:16" x14ac:dyDescent="0.35">
      <c r="P4604" s="8"/>
    </row>
    <row r="4605" spans="16:16" x14ac:dyDescent="0.35">
      <c r="P4605" s="8"/>
    </row>
    <row r="4606" spans="16:16" x14ac:dyDescent="0.35">
      <c r="P4606" s="8"/>
    </row>
    <row r="4607" spans="16:16" x14ac:dyDescent="0.35">
      <c r="P4607" s="8"/>
    </row>
    <row r="4608" spans="16:16" x14ac:dyDescent="0.35">
      <c r="P4608" s="8"/>
    </row>
    <row r="4609" spans="16:16" x14ac:dyDescent="0.35">
      <c r="P4609" s="8"/>
    </row>
    <row r="4610" spans="16:16" x14ac:dyDescent="0.35">
      <c r="P4610" s="8"/>
    </row>
    <row r="4611" spans="16:16" x14ac:dyDescent="0.35">
      <c r="P4611" s="8"/>
    </row>
    <row r="4612" spans="16:16" x14ac:dyDescent="0.35">
      <c r="P4612" s="8"/>
    </row>
    <row r="4613" spans="16:16" x14ac:dyDescent="0.35">
      <c r="P4613" s="8"/>
    </row>
    <row r="4614" spans="16:16" x14ac:dyDescent="0.35">
      <c r="P4614" s="8"/>
    </row>
    <row r="4615" spans="16:16" x14ac:dyDescent="0.35">
      <c r="P4615" s="8"/>
    </row>
    <row r="4616" spans="16:16" x14ac:dyDescent="0.35">
      <c r="P4616" s="8"/>
    </row>
    <row r="4617" spans="16:16" x14ac:dyDescent="0.35">
      <c r="P4617" s="8"/>
    </row>
    <row r="4618" spans="16:16" x14ac:dyDescent="0.35">
      <c r="P4618" s="8"/>
    </row>
    <row r="4619" spans="16:16" x14ac:dyDescent="0.35">
      <c r="P4619" s="8"/>
    </row>
    <row r="4620" spans="16:16" x14ac:dyDescent="0.35">
      <c r="P4620" s="8"/>
    </row>
    <row r="4621" spans="16:16" x14ac:dyDescent="0.35">
      <c r="P4621" s="8"/>
    </row>
    <row r="4622" spans="16:16" x14ac:dyDescent="0.35">
      <c r="P4622" s="8"/>
    </row>
    <row r="4623" spans="16:16" x14ac:dyDescent="0.35">
      <c r="P4623" s="8"/>
    </row>
    <row r="4624" spans="16:16" x14ac:dyDescent="0.35">
      <c r="P4624" s="8"/>
    </row>
    <row r="4625" spans="16:16" x14ac:dyDescent="0.35">
      <c r="P4625" s="8"/>
    </row>
    <row r="4626" spans="16:16" x14ac:dyDescent="0.35">
      <c r="P4626" s="8"/>
    </row>
    <row r="4627" spans="16:16" x14ac:dyDescent="0.35">
      <c r="P4627" s="8"/>
    </row>
    <row r="4628" spans="16:16" x14ac:dyDescent="0.35">
      <c r="P4628" s="8"/>
    </row>
    <row r="4629" spans="16:16" x14ac:dyDescent="0.35">
      <c r="P4629" s="8"/>
    </row>
    <row r="4630" spans="16:16" x14ac:dyDescent="0.35">
      <c r="P4630" s="8"/>
    </row>
    <row r="4631" spans="16:16" x14ac:dyDescent="0.35">
      <c r="P4631" s="8"/>
    </row>
    <row r="4632" spans="16:16" x14ac:dyDescent="0.35">
      <c r="P4632" s="8"/>
    </row>
    <row r="4633" spans="16:16" x14ac:dyDescent="0.35">
      <c r="P4633" s="8"/>
    </row>
    <row r="4634" spans="16:16" x14ac:dyDescent="0.35">
      <c r="P4634" s="8"/>
    </row>
    <row r="4635" spans="16:16" x14ac:dyDescent="0.35">
      <c r="P4635" s="8"/>
    </row>
    <row r="4636" spans="16:16" x14ac:dyDescent="0.35">
      <c r="P4636" s="8"/>
    </row>
    <row r="4637" spans="16:16" x14ac:dyDescent="0.35">
      <c r="P4637" s="8"/>
    </row>
    <row r="4638" spans="16:16" x14ac:dyDescent="0.35">
      <c r="P4638" s="8"/>
    </row>
    <row r="4639" spans="16:16" x14ac:dyDescent="0.35">
      <c r="P4639" s="8"/>
    </row>
    <row r="4640" spans="16:16" x14ac:dyDescent="0.35">
      <c r="P4640" s="8"/>
    </row>
    <row r="4641" spans="16:16" x14ac:dyDescent="0.35">
      <c r="P4641" s="8"/>
    </row>
    <row r="4642" spans="16:16" x14ac:dyDescent="0.35">
      <c r="P4642" s="8"/>
    </row>
    <row r="4643" spans="16:16" x14ac:dyDescent="0.35">
      <c r="P4643" s="8"/>
    </row>
    <row r="4644" spans="16:16" x14ac:dyDescent="0.35">
      <c r="P4644" s="8"/>
    </row>
    <row r="4645" spans="16:16" x14ac:dyDescent="0.35">
      <c r="P4645" s="8"/>
    </row>
    <row r="4646" spans="16:16" x14ac:dyDescent="0.35">
      <c r="P4646" s="8"/>
    </row>
    <row r="4647" spans="16:16" x14ac:dyDescent="0.35">
      <c r="P4647" s="8"/>
    </row>
    <row r="4648" spans="16:16" x14ac:dyDescent="0.35">
      <c r="P4648" s="8"/>
    </row>
    <row r="4649" spans="16:16" x14ac:dyDescent="0.35">
      <c r="P4649" s="8"/>
    </row>
    <row r="4650" spans="16:16" x14ac:dyDescent="0.35">
      <c r="P4650" s="8"/>
    </row>
    <row r="4651" spans="16:16" x14ac:dyDescent="0.35">
      <c r="P4651" s="8"/>
    </row>
    <row r="4652" spans="16:16" x14ac:dyDescent="0.35">
      <c r="P4652" s="8"/>
    </row>
    <row r="4653" spans="16:16" x14ac:dyDescent="0.35">
      <c r="P4653" s="8"/>
    </row>
    <row r="4654" spans="16:16" x14ac:dyDescent="0.35">
      <c r="P4654" s="8"/>
    </row>
    <row r="4655" spans="16:16" x14ac:dyDescent="0.35">
      <c r="P4655" s="8"/>
    </row>
    <row r="4656" spans="16:16" x14ac:dyDescent="0.35">
      <c r="P4656" s="8"/>
    </row>
    <row r="4657" spans="16:16" x14ac:dyDescent="0.35">
      <c r="P4657" s="8"/>
    </row>
    <row r="4658" spans="16:16" x14ac:dyDescent="0.35">
      <c r="P4658" s="8"/>
    </row>
    <row r="4659" spans="16:16" x14ac:dyDescent="0.35">
      <c r="P4659" s="8"/>
    </row>
    <row r="4660" spans="16:16" x14ac:dyDescent="0.35">
      <c r="P4660" s="8"/>
    </row>
    <row r="4661" spans="16:16" x14ac:dyDescent="0.35">
      <c r="P4661" s="8"/>
    </row>
    <row r="4662" spans="16:16" x14ac:dyDescent="0.35">
      <c r="P4662" s="8"/>
    </row>
    <row r="4663" spans="16:16" x14ac:dyDescent="0.35">
      <c r="P4663" s="8"/>
    </row>
    <row r="4664" spans="16:16" x14ac:dyDescent="0.35">
      <c r="P4664" s="8"/>
    </row>
    <row r="4665" spans="16:16" x14ac:dyDescent="0.35">
      <c r="P4665" s="8"/>
    </row>
    <row r="4666" spans="16:16" x14ac:dyDescent="0.35">
      <c r="P4666" s="8"/>
    </row>
    <row r="4667" spans="16:16" x14ac:dyDescent="0.35">
      <c r="P4667" s="8"/>
    </row>
    <row r="4668" spans="16:16" x14ac:dyDescent="0.35">
      <c r="P4668" s="8"/>
    </row>
    <row r="4669" spans="16:16" x14ac:dyDescent="0.35">
      <c r="P4669" s="8"/>
    </row>
    <row r="4670" spans="16:16" x14ac:dyDescent="0.35">
      <c r="P4670" s="8"/>
    </row>
    <row r="4671" spans="16:16" x14ac:dyDescent="0.35">
      <c r="P4671" s="8"/>
    </row>
    <row r="4672" spans="16:16" x14ac:dyDescent="0.35">
      <c r="P4672" s="8"/>
    </row>
    <row r="4673" spans="16:16" x14ac:dyDescent="0.35">
      <c r="P4673" s="8"/>
    </row>
    <row r="4674" spans="16:16" x14ac:dyDescent="0.35">
      <c r="P4674" s="8"/>
    </row>
    <row r="4675" spans="16:16" x14ac:dyDescent="0.35">
      <c r="P4675" s="8"/>
    </row>
    <row r="4676" spans="16:16" x14ac:dyDescent="0.35">
      <c r="P4676" s="8"/>
    </row>
    <row r="4677" spans="16:16" x14ac:dyDescent="0.35">
      <c r="P4677" s="8"/>
    </row>
    <row r="4678" spans="16:16" x14ac:dyDescent="0.35">
      <c r="P4678" s="8"/>
    </row>
    <row r="4679" spans="16:16" x14ac:dyDescent="0.35">
      <c r="P4679" s="8"/>
    </row>
    <row r="4680" spans="16:16" x14ac:dyDescent="0.35">
      <c r="P4680" s="8"/>
    </row>
    <row r="4681" spans="16:16" x14ac:dyDescent="0.35">
      <c r="P4681" s="8"/>
    </row>
    <row r="4682" spans="16:16" x14ac:dyDescent="0.35">
      <c r="P4682" s="8"/>
    </row>
    <row r="4683" spans="16:16" x14ac:dyDescent="0.35">
      <c r="P4683" s="8"/>
    </row>
    <row r="4684" spans="16:16" x14ac:dyDescent="0.35">
      <c r="P4684" s="8"/>
    </row>
    <row r="4685" spans="16:16" x14ac:dyDescent="0.35">
      <c r="P4685" s="8"/>
    </row>
    <row r="4686" spans="16:16" x14ac:dyDescent="0.35">
      <c r="P4686" s="8"/>
    </row>
    <row r="4687" spans="16:16" x14ac:dyDescent="0.35">
      <c r="P4687" s="8"/>
    </row>
    <row r="4688" spans="16:16" x14ac:dyDescent="0.35">
      <c r="P4688" s="8"/>
    </row>
    <row r="4689" spans="16:16" x14ac:dyDescent="0.35">
      <c r="P4689" s="8"/>
    </row>
    <row r="4690" spans="16:16" x14ac:dyDescent="0.35">
      <c r="P4690" s="8"/>
    </row>
    <row r="4691" spans="16:16" x14ac:dyDescent="0.35">
      <c r="P4691" s="8"/>
    </row>
    <row r="4692" spans="16:16" x14ac:dyDescent="0.35">
      <c r="P4692" s="8"/>
    </row>
    <row r="4693" spans="16:16" x14ac:dyDescent="0.35">
      <c r="P4693" s="8"/>
    </row>
    <row r="4694" spans="16:16" x14ac:dyDescent="0.35">
      <c r="P4694" s="8"/>
    </row>
    <row r="4695" spans="16:16" x14ac:dyDescent="0.35">
      <c r="P4695" s="8"/>
    </row>
    <row r="4696" spans="16:16" x14ac:dyDescent="0.35">
      <c r="P4696" s="8"/>
    </row>
    <row r="4697" spans="16:16" x14ac:dyDescent="0.35">
      <c r="P4697" s="8"/>
    </row>
    <row r="4698" spans="16:16" x14ac:dyDescent="0.35">
      <c r="P4698" s="8"/>
    </row>
    <row r="4699" spans="16:16" x14ac:dyDescent="0.35">
      <c r="P4699" s="8"/>
    </row>
    <row r="4700" spans="16:16" x14ac:dyDescent="0.35">
      <c r="P4700" s="8"/>
    </row>
    <row r="4701" spans="16:16" x14ac:dyDescent="0.35">
      <c r="P4701" s="8"/>
    </row>
    <row r="4702" spans="16:16" x14ac:dyDescent="0.35">
      <c r="P4702" s="8"/>
    </row>
    <row r="4703" spans="16:16" x14ac:dyDescent="0.35">
      <c r="P4703" s="8"/>
    </row>
    <row r="4704" spans="16:16" x14ac:dyDescent="0.35">
      <c r="P4704" s="8"/>
    </row>
    <row r="4705" spans="16:16" x14ac:dyDescent="0.35">
      <c r="P4705" s="8"/>
    </row>
    <row r="4706" spans="16:16" x14ac:dyDescent="0.35">
      <c r="P4706" s="8"/>
    </row>
    <row r="4707" spans="16:16" x14ac:dyDescent="0.35">
      <c r="P4707" s="8"/>
    </row>
    <row r="4708" spans="16:16" x14ac:dyDescent="0.35">
      <c r="P4708" s="8"/>
    </row>
    <row r="4709" spans="16:16" x14ac:dyDescent="0.35">
      <c r="P4709" s="8"/>
    </row>
    <row r="4710" spans="16:16" x14ac:dyDescent="0.35">
      <c r="P4710" s="8"/>
    </row>
    <row r="4711" spans="16:16" x14ac:dyDescent="0.35">
      <c r="P4711" s="8"/>
    </row>
    <row r="4712" spans="16:16" x14ac:dyDescent="0.35">
      <c r="P4712" s="8"/>
    </row>
    <row r="4713" spans="16:16" x14ac:dyDescent="0.35">
      <c r="P4713" s="8"/>
    </row>
    <row r="4714" spans="16:16" x14ac:dyDescent="0.35">
      <c r="P4714" s="8"/>
    </row>
    <row r="4715" spans="16:16" x14ac:dyDescent="0.35">
      <c r="P4715" s="8"/>
    </row>
    <row r="4716" spans="16:16" x14ac:dyDescent="0.35">
      <c r="P4716" s="8"/>
    </row>
    <row r="4717" spans="16:16" x14ac:dyDescent="0.35">
      <c r="P4717" s="8"/>
    </row>
    <row r="4718" spans="16:16" x14ac:dyDescent="0.35">
      <c r="P4718" s="8"/>
    </row>
    <row r="4719" spans="16:16" x14ac:dyDescent="0.35">
      <c r="P4719" s="8"/>
    </row>
    <row r="4720" spans="16:16" x14ac:dyDescent="0.35">
      <c r="P4720" s="8"/>
    </row>
    <row r="4721" spans="16:16" x14ac:dyDescent="0.35">
      <c r="P4721" s="8"/>
    </row>
    <row r="4722" spans="16:16" x14ac:dyDescent="0.35">
      <c r="P4722" s="8"/>
    </row>
    <row r="4723" spans="16:16" x14ac:dyDescent="0.35">
      <c r="P4723" s="8"/>
    </row>
    <row r="4724" spans="16:16" x14ac:dyDescent="0.35">
      <c r="P4724" s="8"/>
    </row>
    <row r="4725" spans="16:16" x14ac:dyDescent="0.35">
      <c r="P4725" s="8"/>
    </row>
    <row r="4726" spans="16:16" x14ac:dyDescent="0.35">
      <c r="P4726" s="8"/>
    </row>
    <row r="4727" spans="16:16" x14ac:dyDescent="0.35">
      <c r="P4727" s="8"/>
    </row>
    <row r="4728" spans="16:16" x14ac:dyDescent="0.35">
      <c r="P4728" s="8"/>
    </row>
    <row r="4729" spans="16:16" x14ac:dyDescent="0.35">
      <c r="P4729" s="8"/>
    </row>
    <row r="4730" spans="16:16" x14ac:dyDescent="0.35">
      <c r="P4730" s="8"/>
    </row>
    <row r="4731" spans="16:16" x14ac:dyDescent="0.35">
      <c r="P4731" s="8"/>
    </row>
    <row r="4732" spans="16:16" x14ac:dyDescent="0.35">
      <c r="P4732" s="8"/>
    </row>
    <row r="4733" spans="16:16" x14ac:dyDescent="0.35">
      <c r="P4733" s="8"/>
    </row>
    <row r="4734" spans="16:16" x14ac:dyDescent="0.35">
      <c r="P4734" s="8"/>
    </row>
    <row r="4735" spans="16:16" x14ac:dyDescent="0.35">
      <c r="P4735" s="8"/>
    </row>
    <row r="4736" spans="16:16" x14ac:dyDescent="0.35">
      <c r="P4736" s="8"/>
    </row>
    <row r="4737" spans="16:16" x14ac:dyDescent="0.35">
      <c r="P4737" s="8"/>
    </row>
    <row r="4738" spans="16:16" x14ac:dyDescent="0.35">
      <c r="P4738" s="8"/>
    </row>
    <row r="4739" spans="16:16" x14ac:dyDescent="0.35">
      <c r="P4739" s="8"/>
    </row>
    <row r="4740" spans="16:16" x14ac:dyDescent="0.35">
      <c r="P4740" s="8"/>
    </row>
    <row r="4741" spans="16:16" x14ac:dyDescent="0.35">
      <c r="P4741" s="8"/>
    </row>
    <row r="4742" spans="16:16" x14ac:dyDescent="0.35">
      <c r="P4742" s="8"/>
    </row>
    <row r="4743" spans="16:16" x14ac:dyDescent="0.35">
      <c r="P4743" s="8"/>
    </row>
    <row r="4744" spans="16:16" x14ac:dyDescent="0.35">
      <c r="P4744" s="8"/>
    </row>
    <row r="4745" spans="16:16" x14ac:dyDescent="0.35">
      <c r="P4745" s="8"/>
    </row>
    <row r="4746" spans="16:16" x14ac:dyDescent="0.35">
      <c r="P4746" s="8"/>
    </row>
    <row r="4747" spans="16:16" x14ac:dyDescent="0.35">
      <c r="P4747" s="8"/>
    </row>
    <row r="4748" spans="16:16" x14ac:dyDescent="0.35">
      <c r="P4748" s="8"/>
    </row>
    <row r="4749" spans="16:16" x14ac:dyDescent="0.35">
      <c r="P4749" s="8"/>
    </row>
    <row r="4750" spans="16:16" x14ac:dyDescent="0.35">
      <c r="P4750" s="8"/>
    </row>
    <row r="4751" spans="16:16" x14ac:dyDescent="0.35">
      <c r="P4751" s="8"/>
    </row>
    <row r="4752" spans="16:16" x14ac:dyDescent="0.35">
      <c r="P4752" s="8"/>
    </row>
    <row r="4753" spans="16:16" x14ac:dyDescent="0.35">
      <c r="P4753" s="8"/>
    </row>
    <row r="4754" spans="16:16" x14ac:dyDescent="0.35">
      <c r="P4754" s="8"/>
    </row>
    <row r="4755" spans="16:16" x14ac:dyDescent="0.35">
      <c r="P4755" s="8"/>
    </row>
    <row r="4756" spans="16:16" x14ac:dyDescent="0.35">
      <c r="P4756" s="8"/>
    </row>
    <row r="4757" spans="16:16" x14ac:dyDescent="0.35">
      <c r="P4757" s="8"/>
    </row>
    <row r="4758" spans="16:16" x14ac:dyDescent="0.35">
      <c r="P4758" s="8"/>
    </row>
    <row r="4759" spans="16:16" x14ac:dyDescent="0.35">
      <c r="P4759" s="8"/>
    </row>
    <row r="4760" spans="16:16" x14ac:dyDescent="0.35">
      <c r="P4760" s="8"/>
    </row>
    <row r="4761" spans="16:16" x14ac:dyDescent="0.35">
      <c r="P4761" s="8"/>
    </row>
    <row r="4762" spans="16:16" x14ac:dyDescent="0.35">
      <c r="P4762" s="8"/>
    </row>
    <row r="4763" spans="16:16" x14ac:dyDescent="0.35">
      <c r="P4763" s="8"/>
    </row>
    <row r="4764" spans="16:16" x14ac:dyDescent="0.35">
      <c r="P4764" s="8"/>
    </row>
    <row r="4765" spans="16:16" x14ac:dyDescent="0.35">
      <c r="P4765" s="8"/>
    </row>
    <row r="4766" spans="16:16" x14ac:dyDescent="0.35">
      <c r="P4766" s="8"/>
    </row>
    <row r="4767" spans="16:16" x14ac:dyDescent="0.35">
      <c r="P4767" s="8"/>
    </row>
    <row r="4768" spans="16:16" x14ac:dyDescent="0.35">
      <c r="P4768" s="8"/>
    </row>
    <row r="4769" spans="16:16" x14ac:dyDescent="0.35">
      <c r="P4769" s="8"/>
    </row>
    <row r="4770" spans="16:16" x14ac:dyDescent="0.35">
      <c r="P4770" s="8"/>
    </row>
    <row r="4771" spans="16:16" x14ac:dyDescent="0.35">
      <c r="P4771" s="8"/>
    </row>
    <row r="4772" spans="16:16" x14ac:dyDescent="0.35">
      <c r="P4772" s="8"/>
    </row>
    <row r="4773" spans="16:16" x14ac:dyDescent="0.35">
      <c r="P4773" s="8"/>
    </row>
    <row r="4774" spans="16:16" x14ac:dyDescent="0.35">
      <c r="P4774" s="8"/>
    </row>
    <row r="4775" spans="16:16" x14ac:dyDescent="0.35">
      <c r="P4775" s="8"/>
    </row>
    <row r="4776" spans="16:16" x14ac:dyDescent="0.35">
      <c r="P4776" s="8"/>
    </row>
    <row r="4777" spans="16:16" x14ac:dyDescent="0.35">
      <c r="P4777" s="8"/>
    </row>
    <row r="4778" spans="16:16" x14ac:dyDescent="0.35">
      <c r="P4778" s="8"/>
    </row>
    <row r="4779" spans="16:16" x14ac:dyDescent="0.35">
      <c r="P4779" s="8"/>
    </row>
    <row r="4780" spans="16:16" x14ac:dyDescent="0.35">
      <c r="P4780" s="8"/>
    </row>
    <row r="4781" spans="16:16" x14ac:dyDescent="0.35">
      <c r="P4781" s="8"/>
    </row>
    <row r="4782" spans="16:16" x14ac:dyDescent="0.35">
      <c r="P4782" s="8"/>
    </row>
    <row r="4783" spans="16:16" x14ac:dyDescent="0.35">
      <c r="P4783" s="8"/>
    </row>
    <row r="4784" spans="16:16" x14ac:dyDescent="0.35">
      <c r="P4784" s="8"/>
    </row>
    <row r="4785" spans="16:16" x14ac:dyDescent="0.35">
      <c r="P4785" s="8"/>
    </row>
    <row r="4786" spans="16:16" x14ac:dyDescent="0.35">
      <c r="P4786" s="8"/>
    </row>
    <row r="4787" spans="16:16" x14ac:dyDescent="0.35">
      <c r="P4787" s="8"/>
    </row>
    <row r="4788" spans="16:16" x14ac:dyDescent="0.35">
      <c r="P4788" s="8"/>
    </row>
    <row r="4789" spans="16:16" x14ac:dyDescent="0.35">
      <c r="P4789" s="8"/>
    </row>
    <row r="4790" spans="16:16" x14ac:dyDescent="0.35">
      <c r="P4790" s="8"/>
    </row>
    <row r="4791" spans="16:16" x14ac:dyDescent="0.35">
      <c r="P4791" s="8"/>
    </row>
    <row r="4792" spans="16:16" x14ac:dyDescent="0.35">
      <c r="P4792" s="8"/>
    </row>
    <row r="4793" spans="16:16" x14ac:dyDescent="0.35">
      <c r="P4793" s="8"/>
    </row>
    <row r="4794" spans="16:16" x14ac:dyDescent="0.35">
      <c r="P4794" s="8"/>
    </row>
    <row r="4795" spans="16:16" x14ac:dyDescent="0.35">
      <c r="P4795" s="8"/>
    </row>
    <row r="4796" spans="16:16" x14ac:dyDescent="0.35">
      <c r="P4796" s="8"/>
    </row>
    <row r="4797" spans="16:16" x14ac:dyDescent="0.35">
      <c r="P4797" s="8"/>
    </row>
    <row r="4798" spans="16:16" x14ac:dyDescent="0.35">
      <c r="P4798" s="8"/>
    </row>
    <row r="4799" spans="16:16" x14ac:dyDescent="0.35">
      <c r="P4799" s="8"/>
    </row>
    <row r="4800" spans="16:16" x14ac:dyDescent="0.35">
      <c r="P4800" s="8"/>
    </row>
    <row r="4801" spans="16:16" x14ac:dyDescent="0.35">
      <c r="P4801" s="8"/>
    </row>
    <row r="4802" spans="16:16" x14ac:dyDescent="0.35">
      <c r="P4802" s="8"/>
    </row>
    <row r="4803" spans="16:16" x14ac:dyDescent="0.35">
      <c r="P4803" s="8"/>
    </row>
    <row r="4804" spans="16:16" x14ac:dyDescent="0.35">
      <c r="P4804" s="8"/>
    </row>
    <row r="4805" spans="16:16" x14ac:dyDescent="0.35">
      <c r="P4805" s="8"/>
    </row>
    <row r="4806" spans="16:16" x14ac:dyDescent="0.35">
      <c r="P4806" s="8"/>
    </row>
    <row r="4807" spans="16:16" x14ac:dyDescent="0.35">
      <c r="P4807" s="8"/>
    </row>
    <row r="4808" spans="16:16" x14ac:dyDescent="0.35">
      <c r="P4808" s="8"/>
    </row>
    <row r="4809" spans="16:16" x14ac:dyDescent="0.35">
      <c r="P4809" s="8"/>
    </row>
    <row r="4810" spans="16:16" x14ac:dyDescent="0.35">
      <c r="P4810" s="8"/>
    </row>
    <row r="4811" spans="16:16" x14ac:dyDescent="0.35">
      <c r="P4811" s="8"/>
    </row>
    <row r="4812" spans="16:16" x14ac:dyDescent="0.35">
      <c r="P4812" s="8"/>
    </row>
    <row r="4813" spans="16:16" x14ac:dyDescent="0.35">
      <c r="P4813" s="8"/>
    </row>
    <row r="4814" spans="16:16" x14ac:dyDescent="0.35">
      <c r="P4814" s="8"/>
    </row>
    <row r="4815" spans="16:16" x14ac:dyDescent="0.35">
      <c r="P4815" s="8"/>
    </row>
    <row r="4816" spans="16:16" x14ac:dyDescent="0.35">
      <c r="P4816" s="8"/>
    </row>
    <row r="4817" spans="16:16" x14ac:dyDescent="0.35">
      <c r="P4817" s="8"/>
    </row>
    <row r="4818" spans="16:16" x14ac:dyDescent="0.35">
      <c r="P4818" s="8"/>
    </row>
    <row r="4819" spans="16:16" x14ac:dyDescent="0.35">
      <c r="P4819" s="8"/>
    </row>
    <row r="4820" spans="16:16" x14ac:dyDescent="0.35">
      <c r="P4820" s="8"/>
    </row>
    <row r="4821" spans="16:16" x14ac:dyDescent="0.35">
      <c r="P4821" s="8"/>
    </row>
    <row r="4822" spans="16:16" x14ac:dyDescent="0.35">
      <c r="P4822" s="8"/>
    </row>
    <row r="4823" spans="16:16" x14ac:dyDescent="0.35">
      <c r="P4823" s="8"/>
    </row>
    <row r="4824" spans="16:16" x14ac:dyDescent="0.35">
      <c r="P4824" s="8"/>
    </row>
    <row r="4825" spans="16:16" x14ac:dyDescent="0.35">
      <c r="P4825" s="8"/>
    </row>
    <row r="4826" spans="16:16" x14ac:dyDescent="0.35">
      <c r="P4826" s="8"/>
    </row>
    <row r="4827" spans="16:16" x14ac:dyDescent="0.35">
      <c r="P4827" s="8"/>
    </row>
    <row r="4828" spans="16:16" x14ac:dyDescent="0.35">
      <c r="P4828" s="8"/>
    </row>
    <row r="4829" spans="16:16" x14ac:dyDescent="0.35">
      <c r="P4829" s="8"/>
    </row>
    <row r="4830" spans="16:16" x14ac:dyDescent="0.35">
      <c r="P4830" s="8"/>
    </row>
    <row r="4831" spans="16:16" x14ac:dyDescent="0.35">
      <c r="P4831" s="8"/>
    </row>
    <row r="4832" spans="16:16" x14ac:dyDescent="0.35">
      <c r="P4832" s="8"/>
    </row>
    <row r="4833" spans="16:16" x14ac:dyDescent="0.35">
      <c r="P4833" s="8"/>
    </row>
    <row r="4834" spans="16:16" x14ac:dyDescent="0.35">
      <c r="P4834" s="8"/>
    </row>
    <row r="4835" spans="16:16" x14ac:dyDescent="0.35">
      <c r="P4835" s="8"/>
    </row>
    <row r="4836" spans="16:16" x14ac:dyDescent="0.35">
      <c r="P4836" s="8"/>
    </row>
    <row r="4837" spans="16:16" x14ac:dyDescent="0.35">
      <c r="P4837" s="8"/>
    </row>
    <row r="4838" spans="16:16" x14ac:dyDescent="0.35">
      <c r="P4838" s="8"/>
    </row>
    <row r="4839" spans="16:16" x14ac:dyDescent="0.35">
      <c r="P4839" s="8"/>
    </row>
    <row r="4840" spans="16:16" x14ac:dyDescent="0.35">
      <c r="P4840" s="8"/>
    </row>
    <row r="4841" spans="16:16" x14ac:dyDescent="0.35">
      <c r="P4841" s="8"/>
    </row>
    <row r="4842" spans="16:16" x14ac:dyDescent="0.35">
      <c r="P4842" s="8"/>
    </row>
    <row r="4843" spans="16:16" x14ac:dyDescent="0.35">
      <c r="P4843" s="8"/>
    </row>
    <row r="4844" spans="16:16" x14ac:dyDescent="0.35">
      <c r="P4844" s="8"/>
    </row>
    <row r="4845" spans="16:16" x14ac:dyDescent="0.35">
      <c r="P4845" s="8"/>
    </row>
    <row r="4846" spans="16:16" x14ac:dyDescent="0.35">
      <c r="P4846" s="8"/>
    </row>
    <row r="4847" spans="16:16" x14ac:dyDescent="0.35">
      <c r="P4847" s="8"/>
    </row>
    <row r="4848" spans="16:16" x14ac:dyDescent="0.35">
      <c r="P4848" s="8"/>
    </row>
    <row r="4849" spans="16:16" x14ac:dyDescent="0.35">
      <c r="P4849" s="8"/>
    </row>
    <row r="4850" spans="16:16" x14ac:dyDescent="0.35">
      <c r="P4850" s="8"/>
    </row>
    <row r="4851" spans="16:16" x14ac:dyDescent="0.35">
      <c r="P4851" s="8"/>
    </row>
    <row r="4852" spans="16:16" x14ac:dyDescent="0.35">
      <c r="P4852" s="8"/>
    </row>
    <row r="4853" spans="16:16" x14ac:dyDescent="0.35">
      <c r="P4853" s="8"/>
    </row>
    <row r="4854" spans="16:16" x14ac:dyDescent="0.35">
      <c r="P4854" s="8"/>
    </row>
    <row r="4855" spans="16:16" x14ac:dyDescent="0.35">
      <c r="P4855" s="8"/>
    </row>
    <row r="4856" spans="16:16" x14ac:dyDescent="0.35">
      <c r="P4856" s="8"/>
    </row>
    <row r="4857" spans="16:16" x14ac:dyDescent="0.35">
      <c r="P4857" s="8"/>
    </row>
    <row r="4858" spans="16:16" x14ac:dyDescent="0.35">
      <c r="P4858" s="8"/>
    </row>
    <row r="4859" spans="16:16" x14ac:dyDescent="0.35">
      <c r="P4859" s="8"/>
    </row>
    <row r="4860" spans="16:16" x14ac:dyDescent="0.35">
      <c r="P4860" s="8"/>
    </row>
    <row r="4861" spans="16:16" x14ac:dyDescent="0.35">
      <c r="P4861" s="8"/>
    </row>
    <row r="4862" spans="16:16" x14ac:dyDescent="0.35">
      <c r="P4862" s="8"/>
    </row>
    <row r="4863" spans="16:16" x14ac:dyDescent="0.35">
      <c r="P4863" s="8"/>
    </row>
    <row r="4864" spans="16:16" x14ac:dyDescent="0.35">
      <c r="P4864" s="8"/>
    </row>
    <row r="4865" spans="16:16" x14ac:dyDescent="0.35">
      <c r="P4865" s="8"/>
    </row>
    <row r="4866" spans="16:16" x14ac:dyDescent="0.35">
      <c r="P4866" s="8"/>
    </row>
    <row r="4867" spans="16:16" x14ac:dyDescent="0.35">
      <c r="P4867" s="8"/>
    </row>
    <row r="4868" spans="16:16" x14ac:dyDescent="0.35">
      <c r="P4868" s="8"/>
    </row>
    <row r="4869" spans="16:16" x14ac:dyDescent="0.35">
      <c r="P4869" s="8"/>
    </row>
    <row r="4870" spans="16:16" x14ac:dyDescent="0.35">
      <c r="P4870" s="8"/>
    </row>
    <row r="4871" spans="16:16" x14ac:dyDescent="0.35">
      <c r="P4871" s="8"/>
    </row>
    <row r="4872" spans="16:16" x14ac:dyDescent="0.35">
      <c r="P4872" s="8"/>
    </row>
    <row r="4873" spans="16:16" x14ac:dyDescent="0.35">
      <c r="P4873" s="8"/>
    </row>
    <row r="4874" spans="16:16" x14ac:dyDescent="0.35">
      <c r="P4874" s="8"/>
    </row>
    <row r="4875" spans="16:16" x14ac:dyDescent="0.35">
      <c r="P4875" s="8"/>
    </row>
    <row r="4876" spans="16:16" x14ac:dyDescent="0.35">
      <c r="P4876" s="8"/>
    </row>
    <row r="4877" spans="16:16" x14ac:dyDescent="0.35">
      <c r="P4877" s="8"/>
    </row>
    <row r="4878" spans="16:16" x14ac:dyDescent="0.35">
      <c r="P4878" s="8"/>
    </row>
    <row r="4879" spans="16:16" x14ac:dyDescent="0.35">
      <c r="P4879" s="8"/>
    </row>
    <row r="4880" spans="16:16" x14ac:dyDescent="0.35">
      <c r="P4880" s="8"/>
    </row>
    <row r="4881" spans="16:16" x14ac:dyDescent="0.35">
      <c r="P4881" s="8"/>
    </row>
    <row r="4882" spans="16:16" x14ac:dyDescent="0.35">
      <c r="P4882" s="8"/>
    </row>
    <row r="4883" spans="16:16" x14ac:dyDescent="0.35">
      <c r="P4883" s="8"/>
    </row>
    <row r="4884" spans="16:16" x14ac:dyDescent="0.35">
      <c r="P4884" s="8"/>
    </row>
    <row r="4885" spans="16:16" x14ac:dyDescent="0.35">
      <c r="P4885" s="8"/>
    </row>
    <row r="4886" spans="16:16" x14ac:dyDescent="0.35">
      <c r="P4886" s="8"/>
    </row>
    <row r="4887" spans="16:16" x14ac:dyDescent="0.35">
      <c r="P4887" s="8"/>
    </row>
    <row r="4888" spans="16:16" x14ac:dyDescent="0.35">
      <c r="P4888" s="8"/>
    </row>
    <row r="4889" spans="16:16" x14ac:dyDescent="0.35">
      <c r="P4889" s="8"/>
    </row>
    <row r="4890" spans="16:16" x14ac:dyDescent="0.35">
      <c r="P4890" s="8"/>
    </row>
    <row r="4891" spans="16:16" x14ac:dyDescent="0.35">
      <c r="P4891" s="8"/>
    </row>
    <row r="4892" spans="16:16" x14ac:dyDescent="0.35">
      <c r="P4892" s="8"/>
    </row>
    <row r="4893" spans="16:16" x14ac:dyDescent="0.35">
      <c r="P4893" s="8"/>
    </row>
    <row r="4894" spans="16:16" x14ac:dyDescent="0.35">
      <c r="P4894" s="8"/>
    </row>
    <row r="4895" spans="16:16" x14ac:dyDescent="0.35">
      <c r="P4895" s="8"/>
    </row>
    <row r="4896" spans="16:16" x14ac:dyDescent="0.35">
      <c r="P4896" s="8"/>
    </row>
    <row r="4897" spans="16:16" x14ac:dyDescent="0.35">
      <c r="P4897" s="8"/>
    </row>
    <row r="4898" spans="16:16" x14ac:dyDescent="0.35">
      <c r="P4898" s="8"/>
    </row>
    <row r="4899" spans="16:16" x14ac:dyDescent="0.35">
      <c r="P4899" s="8"/>
    </row>
    <row r="4900" spans="16:16" x14ac:dyDescent="0.35">
      <c r="P4900" s="8"/>
    </row>
    <row r="4901" spans="16:16" x14ac:dyDescent="0.35">
      <c r="P4901" s="8"/>
    </row>
    <row r="4902" spans="16:16" x14ac:dyDescent="0.35">
      <c r="P4902" s="8"/>
    </row>
    <row r="4903" spans="16:16" x14ac:dyDescent="0.35">
      <c r="P4903" s="8"/>
    </row>
    <row r="4904" spans="16:16" x14ac:dyDescent="0.35">
      <c r="P4904" s="8"/>
    </row>
    <row r="4905" spans="16:16" x14ac:dyDescent="0.35">
      <c r="P4905" s="8"/>
    </row>
    <row r="4906" spans="16:16" x14ac:dyDescent="0.35">
      <c r="P4906" s="8"/>
    </row>
    <row r="4907" spans="16:16" x14ac:dyDescent="0.35">
      <c r="P4907" s="8"/>
    </row>
    <row r="4908" spans="16:16" x14ac:dyDescent="0.35">
      <c r="P4908" s="8"/>
    </row>
    <row r="4909" spans="16:16" x14ac:dyDescent="0.35">
      <c r="P4909" s="8"/>
    </row>
    <row r="4910" spans="16:16" x14ac:dyDescent="0.35">
      <c r="P4910" s="8"/>
    </row>
    <row r="4911" spans="16:16" x14ac:dyDescent="0.35">
      <c r="P4911" s="8"/>
    </row>
    <row r="4912" spans="16:16" x14ac:dyDescent="0.35">
      <c r="P4912" s="8"/>
    </row>
    <row r="4913" spans="16:16" x14ac:dyDescent="0.35">
      <c r="P4913" s="8"/>
    </row>
    <row r="4914" spans="16:16" x14ac:dyDescent="0.35">
      <c r="P4914" s="8"/>
    </row>
    <row r="4915" spans="16:16" x14ac:dyDescent="0.35">
      <c r="P4915" s="8"/>
    </row>
    <row r="4916" spans="16:16" x14ac:dyDescent="0.35">
      <c r="P4916" s="8"/>
    </row>
    <row r="4917" spans="16:16" x14ac:dyDescent="0.35">
      <c r="P4917" s="8"/>
    </row>
    <row r="4918" spans="16:16" x14ac:dyDescent="0.35">
      <c r="P4918" s="8"/>
    </row>
    <row r="4919" spans="16:16" x14ac:dyDescent="0.35">
      <c r="P4919" s="8"/>
    </row>
    <row r="4920" spans="16:16" x14ac:dyDescent="0.35">
      <c r="P4920" s="8"/>
    </row>
    <row r="4921" spans="16:16" x14ac:dyDescent="0.35">
      <c r="P4921" s="8"/>
    </row>
    <row r="4922" spans="16:16" x14ac:dyDescent="0.35">
      <c r="P4922" s="8"/>
    </row>
    <row r="4923" spans="16:16" x14ac:dyDescent="0.35">
      <c r="P4923" s="8"/>
    </row>
    <row r="4924" spans="16:16" x14ac:dyDescent="0.35">
      <c r="P4924" s="8"/>
    </row>
    <row r="4925" spans="16:16" x14ac:dyDescent="0.35">
      <c r="P4925" s="8"/>
    </row>
    <row r="4926" spans="16:16" x14ac:dyDescent="0.35">
      <c r="P4926" s="8"/>
    </row>
    <row r="4927" spans="16:16" x14ac:dyDescent="0.35">
      <c r="P4927" s="8"/>
    </row>
    <row r="4928" spans="16:16" x14ac:dyDescent="0.35">
      <c r="P4928" s="8"/>
    </row>
    <row r="4929" spans="16:16" x14ac:dyDescent="0.35">
      <c r="P4929" s="8"/>
    </row>
    <row r="4930" spans="16:16" x14ac:dyDescent="0.35">
      <c r="P4930" s="8"/>
    </row>
    <row r="4931" spans="16:16" x14ac:dyDescent="0.35">
      <c r="P4931" s="8"/>
    </row>
    <row r="4932" spans="16:16" x14ac:dyDescent="0.35">
      <c r="P4932" s="8"/>
    </row>
    <row r="4933" spans="16:16" x14ac:dyDescent="0.35">
      <c r="P4933" s="8"/>
    </row>
    <row r="4934" spans="16:16" x14ac:dyDescent="0.35">
      <c r="P4934" s="8"/>
    </row>
    <row r="4935" spans="16:16" x14ac:dyDescent="0.35">
      <c r="P4935" s="8"/>
    </row>
    <row r="4936" spans="16:16" x14ac:dyDescent="0.35">
      <c r="P4936" s="8"/>
    </row>
    <row r="4937" spans="16:16" x14ac:dyDescent="0.35">
      <c r="P4937" s="8"/>
    </row>
    <row r="4938" spans="16:16" x14ac:dyDescent="0.35">
      <c r="P4938" s="8"/>
    </row>
    <row r="4939" spans="16:16" x14ac:dyDescent="0.35">
      <c r="P4939" s="8"/>
    </row>
    <row r="4940" spans="16:16" x14ac:dyDescent="0.35">
      <c r="P4940" s="8"/>
    </row>
    <row r="4941" spans="16:16" x14ac:dyDescent="0.35">
      <c r="P4941" s="8"/>
    </row>
    <row r="4942" spans="16:16" x14ac:dyDescent="0.35">
      <c r="P4942" s="8"/>
    </row>
    <row r="4943" spans="16:16" x14ac:dyDescent="0.35">
      <c r="P4943" s="8"/>
    </row>
    <row r="4944" spans="16:16" x14ac:dyDescent="0.35">
      <c r="P4944" s="8"/>
    </row>
    <row r="4945" spans="16:16" x14ac:dyDescent="0.35">
      <c r="P4945" s="8"/>
    </row>
    <row r="4946" spans="16:16" x14ac:dyDescent="0.35">
      <c r="P4946" s="8"/>
    </row>
    <row r="4947" spans="16:16" x14ac:dyDescent="0.35">
      <c r="P4947" s="8"/>
    </row>
    <row r="4948" spans="16:16" x14ac:dyDescent="0.35">
      <c r="P4948" s="8"/>
    </row>
    <row r="4949" spans="16:16" x14ac:dyDescent="0.35">
      <c r="P4949" s="8"/>
    </row>
    <row r="4950" spans="16:16" x14ac:dyDescent="0.35">
      <c r="P4950" s="8"/>
    </row>
    <row r="4951" spans="16:16" x14ac:dyDescent="0.35">
      <c r="P4951" s="8"/>
    </row>
    <row r="4952" spans="16:16" x14ac:dyDescent="0.35">
      <c r="P4952" s="8"/>
    </row>
    <row r="4953" spans="16:16" x14ac:dyDescent="0.35">
      <c r="P4953" s="8"/>
    </row>
    <row r="4954" spans="16:16" x14ac:dyDescent="0.35">
      <c r="P4954" s="8"/>
    </row>
    <row r="4955" spans="16:16" x14ac:dyDescent="0.35">
      <c r="P4955" s="8"/>
    </row>
    <row r="4956" spans="16:16" x14ac:dyDescent="0.35">
      <c r="P4956" s="8"/>
    </row>
    <row r="4957" spans="16:16" x14ac:dyDescent="0.35">
      <c r="P4957" s="8"/>
    </row>
    <row r="4958" spans="16:16" x14ac:dyDescent="0.35">
      <c r="P4958" s="8"/>
    </row>
    <row r="4959" spans="16:16" x14ac:dyDescent="0.35">
      <c r="P4959" s="8"/>
    </row>
    <row r="4960" spans="16:16" x14ac:dyDescent="0.35">
      <c r="P4960" s="8"/>
    </row>
    <row r="4961" spans="16:16" x14ac:dyDescent="0.35">
      <c r="P4961" s="8"/>
    </row>
    <row r="4962" spans="16:16" x14ac:dyDescent="0.35">
      <c r="P4962" s="8"/>
    </row>
    <row r="4963" spans="16:16" x14ac:dyDescent="0.35">
      <c r="P4963" s="8"/>
    </row>
    <row r="4964" spans="16:16" x14ac:dyDescent="0.35">
      <c r="P4964" s="8"/>
    </row>
    <row r="4965" spans="16:16" x14ac:dyDescent="0.35">
      <c r="P4965" s="8"/>
    </row>
    <row r="4966" spans="16:16" x14ac:dyDescent="0.35">
      <c r="P4966" s="8"/>
    </row>
    <row r="4967" spans="16:16" x14ac:dyDescent="0.35">
      <c r="P4967" s="8"/>
    </row>
    <row r="4968" spans="16:16" x14ac:dyDescent="0.35">
      <c r="P4968" s="8"/>
    </row>
    <row r="4969" spans="16:16" x14ac:dyDescent="0.35">
      <c r="P4969" s="8"/>
    </row>
    <row r="4970" spans="16:16" x14ac:dyDescent="0.35">
      <c r="P4970" s="8"/>
    </row>
    <row r="4971" spans="16:16" x14ac:dyDescent="0.35">
      <c r="P4971" s="8"/>
    </row>
    <row r="4972" spans="16:16" x14ac:dyDescent="0.35">
      <c r="P4972" s="8"/>
    </row>
    <row r="4973" spans="16:16" x14ac:dyDescent="0.35">
      <c r="P4973" s="8"/>
    </row>
    <row r="4974" spans="16:16" x14ac:dyDescent="0.35">
      <c r="P4974" s="8"/>
    </row>
    <row r="4975" spans="16:16" x14ac:dyDescent="0.35">
      <c r="P4975" s="8"/>
    </row>
    <row r="4976" spans="16:16" x14ac:dyDescent="0.35">
      <c r="P4976" s="8"/>
    </row>
    <row r="4977" spans="16:16" x14ac:dyDescent="0.35">
      <c r="P4977" s="8"/>
    </row>
    <row r="4978" spans="16:16" x14ac:dyDescent="0.35">
      <c r="P4978" s="8"/>
    </row>
    <row r="4979" spans="16:16" x14ac:dyDescent="0.35">
      <c r="P4979" s="8"/>
    </row>
    <row r="4980" spans="16:16" x14ac:dyDescent="0.35">
      <c r="P4980" s="8"/>
    </row>
    <row r="4981" spans="16:16" x14ac:dyDescent="0.35">
      <c r="P4981" s="8"/>
    </row>
    <row r="4982" spans="16:16" x14ac:dyDescent="0.35">
      <c r="P4982" s="8"/>
    </row>
    <row r="4983" spans="16:16" x14ac:dyDescent="0.35">
      <c r="P4983" s="8"/>
    </row>
    <row r="4984" spans="16:16" x14ac:dyDescent="0.35">
      <c r="P4984" s="8"/>
    </row>
    <row r="4985" spans="16:16" x14ac:dyDescent="0.35">
      <c r="P4985" s="8"/>
    </row>
    <row r="4986" spans="16:16" x14ac:dyDescent="0.35">
      <c r="P4986" s="8"/>
    </row>
    <row r="4987" spans="16:16" x14ac:dyDescent="0.35">
      <c r="P4987" s="8"/>
    </row>
    <row r="4988" spans="16:16" x14ac:dyDescent="0.35">
      <c r="P4988" s="8"/>
    </row>
    <row r="4989" spans="16:16" x14ac:dyDescent="0.35">
      <c r="P4989" s="8"/>
    </row>
    <row r="4990" spans="16:16" x14ac:dyDescent="0.35">
      <c r="P4990" s="8"/>
    </row>
    <row r="4991" spans="16:16" x14ac:dyDescent="0.35">
      <c r="P4991" s="8"/>
    </row>
    <row r="4992" spans="16:16" x14ac:dyDescent="0.35">
      <c r="P4992" s="8"/>
    </row>
    <row r="4993" spans="16:16" x14ac:dyDescent="0.35">
      <c r="P4993" s="8"/>
    </row>
    <row r="4994" spans="16:16" x14ac:dyDescent="0.35">
      <c r="P4994" s="8"/>
    </row>
    <row r="4995" spans="16:16" x14ac:dyDescent="0.35">
      <c r="P4995" s="8"/>
    </row>
    <row r="4996" spans="16:16" x14ac:dyDescent="0.35">
      <c r="P4996" s="8"/>
    </row>
    <row r="4997" spans="16:16" x14ac:dyDescent="0.35">
      <c r="P4997" s="8"/>
    </row>
    <row r="4998" spans="16:16" x14ac:dyDescent="0.35">
      <c r="P4998" s="8"/>
    </row>
    <row r="4999" spans="16:16" x14ac:dyDescent="0.35">
      <c r="P4999" s="8"/>
    </row>
    <row r="5000" spans="16:16" x14ac:dyDescent="0.35">
      <c r="P5000" s="8"/>
    </row>
    <row r="5001" spans="16:16" x14ac:dyDescent="0.35">
      <c r="P5001" s="8"/>
    </row>
    <row r="5002" spans="16:16" x14ac:dyDescent="0.35">
      <c r="P5002" s="8"/>
    </row>
    <row r="5003" spans="16:16" x14ac:dyDescent="0.35">
      <c r="P5003" s="8"/>
    </row>
    <row r="5004" spans="16:16" x14ac:dyDescent="0.35">
      <c r="P5004" s="8"/>
    </row>
    <row r="5005" spans="16:16" x14ac:dyDescent="0.35">
      <c r="P5005" s="8"/>
    </row>
    <row r="5006" spans="16:16" x14ac:dyDescent="0.35">
      <c r="P5006" s="8"/>
    </row>
    <row r="5007" spans="16:16" x14ac:dyDescent="0.35">
      <c r="P5007" s="8"/>
    </row>
    <row r="5008" spans="16:16" x14ac:dyDescent="0.35">
      <c r="P5008" s="8"/>
    </row>
    <row r="5009" spans="16:16" x14ac:dyDescent="0.35">
      <c r="P5009" s="8"/>
    </row>
    <row r="5010" spans="16:16" x14ac:dyDescent="0.35">
      <c r="P5010" s="8"/>
    </row>
    <row r="5011" spans="16:16" x14ac:dyDescent="0.35">
      <c r="P5011" s="8"/>
    </row>
    <row r="5012" spans="16:16" x14ac:dyDescent="0.35">
      <c r="P5012" s="8"/>
    </row>
    <row r="5013" spans="16:16" x14ac:dyDescent="0.35">
      <c r="P5013" s="8"/>
    </row>
    <row r="5014" spans="16:16" x14ac:dyDescent="0.35">
      <c r="P5014" s="8"/>
    </row>
    <row r="5015" spans="16:16" x14ac:dyDescent="0.35">
      <c r="P5015" s="8"/>
    </row>
    <row r="5016" spans="16:16" x14ac:dyDescent="0.35">
      <c r="P5016" s="8"/>
    </row>
    <row r="5017" spans="16:16" x14ac:dyDescent="0.35">
      <c r="P5017" s="8"/>
    </row>
    <row r="5018" spans="16:16" x14ac:dyDescent="0.35">
      <c r="P5018" s="8"/>
    </row>
    <row r="5019" spans="16:16" x14ac:dyDescent="0.35">
      <c r="P5019" s="8"/>
    </row>
    <row r="5020" spans="16:16" x14ac:dyDescent="0.35">
      <c r="P5020" s="8"/>
    </row>
    <row r="5021" spans="16:16" x14ac:dyDescent="0.35">
      <c r="P5021" s="8"/>
    </row>
    <row r="5022" spans="16:16" x14ac:dyDescent="0.35">
      <c r="P5022" s="8"/>
    </row>
    <row r="5023" spans="16:16" x14ac:dyDescent="0.35">
      <c r="P5023" s="8"/>
    </row>
    <row r="5024" spans="16:16" x14ac:dyDescent="0.35">
      <c r="P5024" s="8"/>
    </row>
    <row r="5025" spans="16:16" x14ac:dyDescent="0.35">
      <c r="P5025" s="8"/>
    </row>
    <row r="5026" spans="16:16" x14ac:dyDescent="0.35">
      <c r="P5026" s="8"/>
    </row>
    <row r="5027" spans="16:16" x14ac:dyDescent="0.35">
      <c r="P5027" s="8"/>
    </row>
    <row r="5028" spans="16:16" x14ac:dyDescent="0.35">
      <c r="P5028" s="8"/>
    </row>
    <row r="5029" spans="16:16" x14ac:dyDescent="0.35">
      <c r="P5029" s="8"/>
    </row>
    <row r="5030" spans="16:16" x14ac:dyDescent="0.35">
      <c r="P5030" s="8"/>
    </row>
    <row r="5031" spans="16:16" x14ac:dyDescent="0.35">
      <c r="P5031" s="8"/>
    </row>
    <row r="5032" spans="16:16" x14ac:dyDescent="0.35">
      <c r="P5032" s="8"/>
    </row>
    <row r="5033" spans="16:16" x14ac:dyDescent="0.35">
      <c r="P5033" s="8"/>
    </row>
    <row r="5034" spans="16:16" x14ac:dyDescent="0.35">
      <c r="P5034" s="8"/>
    </row>
    <row r="5035" spans="16:16" x14ac:dyDescent="0.35">
      <c r="P5035" s="8"/>
    </row>
    <row r="5036" spans="16:16" x14ac:dyDescent="0.35">
      <c r="P5036" s="8"/>
    </row>
    <row r="5037" spans="16:16" x14ac:dyDescent="0.35">
      <c r="P5037" s="8"/>
    </row>
    <row r="5038" spans="16:16" x14ac:dyDescent="0.35">
      <c r="P5038" s="8"/>
    </row>
    <row r="5039" spans="16:16" x14ac:dyDescent="0.35">
      <c r="P5039" s="8"/>
    </row>
    <row r="5040" spans="16:16" x14ac:dyDescent="0.35">
      <c r="P5040" s="8"/>
    </row>
    <row r="5041" spans="16:16" x14ac:dyDescent="0.35">
      <c r="P5041" s="8"/>
    </row>
    <row r="5042" spans="16:16" x14ac:dyDescent="0.35">
      <c r="P5042" s="8"/>
    </row>
    <row r="5043" spans="16:16" x14ac:dyDescent="0.35">
      <c r="P5043" s="8"/>
    </row>
    <row r="5044" spans="16:16" x14ac:dyDescent="0.35">
      <c r="P5044" s="8"/>
    </row>
    <row r="5045" spans="16:16" x14ac:dyDescent="0.35">
      <c r="P5045" s="8"/>
    </row>
    <row r="5046" spans="16:16" x14ac:dyDescent="0.35">
      <c r="P5046" s="8"/>
    </row>
    <row r="5047" spans="16:16" x14ac:dyDescent="0.35">
      <c r="P5047" s="8"/>
    </row>
    <row r="5048" spans="16:16" x14ac:dyDescent="0.35">
      <c r="P5048" s="8"/>
    </row>
    <row r="5049" spans="16:16" x14ac:dyDescent="0.35">
      <c r="P5049" s="8"/>
    </row>
    <row r="5050" spans="16:16" x14ac:dyDescent="0.35">
      <c r="P5050" s="8"/>
    </row>
    <row r="5051" spans="16:16" x14ac:dyDescent="0.35">
      <c r="P5051" s="8"/>
    </row>
    <row r="5052" spans="16:16" x14ac:dyDescent="0.35">
      <c r="P5052" s="8"/>
    </row>
    <row r="5053" spans="16:16" x14ac:dyDescent="0.35">
      <c r="P5053" s="8"/>
    </row>
    <row r="5054" spans="16:16" x14ac:dyDescent="0.35">
      <c r="P5054" s="8"/>
    </row>
    <row r="5055" spans="16:16" x14ac:dyDescent="0.35">
      <c r="P5055" s="8"/>
    </row>
    <row r="5056" spans="16:16" x14ac:dyDescent="0.35">
      <c r="P5056" s="8"/>
    </row>
    <row r="5057" spans="16:16" x14ac:dyDescent="0.35">
      <c r="P5057" s="8"/>
    </row>
    <row r="5058" spans="16:16" x14ac:dyDescent="0.35">
      <c r="P5058" s="8"/>
    </row>
    <row r="5059" spans="16:16" x14ac:dyDescent="0.35">
      <c r="P5059" s="8"/>
    </row>
    <row r="5060" spans="16:16" x14ac:dyDescent="0.35">
      <c r="P5060" s="8"/>
    </row>
    <row r="5061" spans="16:16" x14ac:dyDescent="0.35">
      <c r="P5061" s="8"/>
    </row>
    <row r="5062" spans="16:16" x14ac:dyDescent="0.35">
      <c r="P5062" s="8"/>
    </row>
    <row r="5063" spans="16:16" x14ac:dyDescent="0.35">
      <c r="P5063" s="8"/>
    </row>
    <row r="5064" spans="16:16" x14ac:dyDescent="0.35">
      <c r="P5064" s="8"/>
    </row>
    <row r="5065" spans="16:16" x14ac:dyDescent="0.35">
      <c r="P5065" s="8"/>
    </row>
    <row r="5066" spans="16:16" x14ac:dyDescent="0.35">
      <c r="P5066" s="8"/>
    </row>
    <row r="5067" spans="16:16" x14ac:dyDescent="0.35">
      <c r="P5067" s="8"/>
    </row>
    <row r="5068" spans="16:16" x14ac:dyDescent="0.35">
      <c r="P5068" s="8"/>
    </row>
    <row r="5069" spans="16:16" x14ac:dyDescent="0.35">
      <c r="P5069" s="8"/>
    </row>
    <row r="5070" spans="16:16" x14ac:dyDescent="0.35">
      <c r="P5070" s="8"/>
    </row>
    <row r="5071" spans="16:16" x14ac:dyDescent="0.35">
      <c r="P5071" s="8"/>
    </row>
    <row r="5072" spans="16:16" x14ac:dyDescent="0.35">
      <c r="P5072" s="8"/>
    </row>
    <row r="5073" spans="16:16" x14ac:dyDescent="0.35">
      <c r="P5073" s="8"/>
    </row>
    <row r="5074" spans="16:16" x14ac:dyDescent="0.35">
      <c r="P5074" s="8"/>
    </row>
    <row r="5075" spans="16:16" x14ac:dyDescent="0.35">
      <c r="P5075" s="8"/>
    </row>
    <row r="5076" spans="16:16" x14ac:dyDescent="0.35">
      <c r="P5076" s="8"/>
    </row>
    <row r="5077" spans="16:16" x14ac:dyDescent="0.35">
      <c r="P5077" s="8"/>
    </row>
    <row r="5078" spans="16:16" x14ac:dyDescent="0.35">
      <c r="P5078" s="8"/>
    </row>
    <row r="5079" spans="16:16" x14ac:dyDescent="0.35">
      <c r="P5079" s="8"/>
    </row>
    <row r="5080" spans="16:16" x14ac:dyDescent="0.35">
      <c r="P5080" s="8"/>
    </row>
    <row r="5081" spans="16:16" x14ac:dyDescent="0.35">
      <c r="P5081" s="8"/>
    </row>
    <row r="5082" spans="16:16" x14ac:dyDescent="0.35">
      <c r="P5082" s="8"/>
    </row>
    <row r="5083" spans="16:16" x14ac:dyDescent="0.35">
      <c r="P5083" s="8"/>
    </row>
    <row r="5084" spans="16:16" x14ac:dyDescent="0.35">
      <c r="P5084" s="8"/>
    </row>
    <row r="5085" spans="16:16" x14ac:dyDescent="0.35">
      <c r="P5085" s="8"/>
    </row>
    <row r="5086" spans="16:16" x14ac:dyDescent="0.35">
      <c r="P5086" s="8"/>
    </row>
    <row r="5087" spans="16:16" x14ac:dyDescent="0.35">
      <c r="P5087" s="8"/>
    </row>
    <row r="5088" spans="16:16" x14ac:dyDescent="0.35">
      <c r="P5088" s="8"/>
    </row>
    <row r="5089" spans="16:16" x14ac:dyDescent="0.35">
      <c r="P5089" s="8"/>
    </row>
    <row r="5090" spans="16:16" x14ac:dyDescent="0.35">
      <c r="P5090" s="8"/>
    </row>
    <row r="5091" spans="16:16" x14ac:dyDescent="0.35">
      <c r="P5091" s="8"/>
    </row>
    <row r="5092" spans="16:16" x14ac:dyDescent="0.35">
      <c r="P5092" s="8"/>
    </row>
    <row r="5093" spans="16:16" x14ac:dyDescent="0.35">
      <c r="P5093" s="8"/>
    </row>
    <row r="5094" spans="16:16" x14ac:dyDescent="0.35">
      <c r="P5094" s="8"/>
    </row>
    <row r="5095" spans="16:16" x14ac:dyDescent="0.35">
      <c r="P5095" s="8"/>
    </row>
    <row r="5096" spans="16:16" x14ac:dyDescent="0.35">
      <c r="P5096" s="8"/>
    </row>
    <row r="5097" spans="16:16" x14ac:dyDescent="0.35">
      <c r="P5097" s="8"/>
    </row>
    <row r="5098" spans="16:16" x14ac:dyDescent="0.35">
      <c r="P5098" s="8"/>
    </row>
    <row r="5099" spans="16:16" x14ac:dyDescent="0.35">
      <c r="P5099" s="8"/>
    </row>
    <row r="5100" spans="16:16" x14ac:dyDescent="0.35">
      <c r="P5100" s="8"/>
    </row>
    <row r="5101" spans="16:16" x14ac:dyDescent="0.35">
      <c r="P5101" s="8"/>
    </row>
    <row r="5102" spans="16:16" x14ac:dyDescent="0.35">
      <c r="P5102" s="8"/>
    </row>
    <row r="5103" spans="16:16" x14ac:dyDescent="0.35">
      <c r="P5103" s="8"/>
    </row>
    <row r="5104" spans="16:16" x14ac:dyDescent="0.35">
      <c r="P5104" s="8"/>
    </row>
    <row r="5105" spans="16:16" x14ac:dyDescent="0.35">
      <c r="P5105" s="8"/>
    </row>
    <row r="5106" spans="16:16" x14ac:dyDescent="0.35">
      <c r="P5106" s="8"/>
    </row>
    <row r="5107" spans="16:16" x14ac:dyDescent="0.35">
      <c r="P5107" s="8"/>
    </row>
    <row r="5108" spans="16:16" x14ac:dyDescent="0.35">
      <c r="P5108" s="8"/>
    </row>
    <row r="5109" spans="16:16" x14ac:dyDescent="0.35">
      <c r="P5109" s="8"/>
    </row>
    <row r="5110" spans="16:16" x14ac:dyDescent="0.35">
      <c r="P5110" s="8"/>
    </row>
    <row r="5111" spans="16:16" x14ac:dyDescent="0.35">
      <c r="P5111" s="8"/>
    </row>
    <row r="5112" spans="16:16" x14ac:dyDescent="0.35">
      <c r="P5112" s="8"/>
    </row>
    <row r="5113" spans="16:16" x14ac:dyDescent="0.35">
      <c r="P5113" s="8"/>
    </row>
    <row r="5114" spans="16:16" x14ac:dyDescent="0.35">
      <c r="P5114" s="8"/>
    </row>
    <row r="5115" spans="16:16" x14ac:dyDescent="0.35">
      <c r="P5115" s="8"/>
    </row>
    <row r="5116" spans="16:16" x14ac:dyDescent="0.35">
      <c r="P5116" s="8"/>
    </row>
    <row r="5117" spans="16:16" x14ac:dyDescent="0.35">
      <c r="P5117" s="8"/>
    </row>
    <row r="5118" spans="16:16" x14ac:dyDescent="0.35">
      <c r="P5118" s="8"/>
    </row>
    <row r="5119" spans="16:16" x14ac:dyDescent="0.35">
      <c r="P5119" s="8"/>
    </row>
    <row r="5120" spans="16:16" x14ac:dyDescent="0.35">
      <c r="P5120" s="8"/>
    </row>
    <row r="5121" spans="16:16" x14ac:dyDescent="0.35">
      <c r="P5121" s="8"/>
    </row>
    <row r="5122" spans="16:16" x14ac:dyDescent="0.35">
      <c r="P5122" s="8"/>
    </row>
    <row r="5123" spans="16:16" x14ac:dyDescent="0.35">
      <c r="P5123" s="8"/>
    </row>
    <row r="5124" spans="16:16" x14ac:dyDescent="0.35">
      <c r="P5124" s="8"/>
    </row>
    <row r="5125" spans="16:16" x14ac:dyDescent="0.35">
      <c r="P5125" s="8"/>
    </row>
    <row r="5126" spans="16:16" x14ac:dyDescent="0.35">
      <c r="P5126" s="8"/>
    </row>
    <row r="5127" spans="16:16" x14ac:dyDescent="0.35">
      <c r="P5127" s="8"/>
    </row>
    <row r="5128" spans="16:16" x14ac:dyDescent="0.35">
      <c r="P5128" s="8"/>
    </row>
    <row r="5129" spans="16:16" x14ac:dyDescent="0.35">
      <c r="P5129" s="8"/>
    </row>
    <row r="5130" spans="16:16" x14ac:dyDescent="0.35">
      <c r="P5130" s="8"/>
    </row>
    <row r="5131" spans="16:16" x14ac:dyDescent="0.35">
      <c r="P5131" s="8"/>
    </row>
    <row r="5132" spans="16:16" x14ac:dyDescent="0.35">
      <c r="P5132" s="8"/>
    </row>
    <row r="5133" spans="16:16" x14ac:dyDescent="0.35">
      <c r="P5133" s="8"/>
    </row>
    <row r="5134" spans="16:16" x14ac:dyDescent="0.35">
      <c r="P5134" s="8"/>
    </row>
    <row r="5135" spans="16:16" x14ac:dyDescent="0.35">
      <c r="P5135" s="8"/>
    </row>
    <row r="5136" spans="16:16" x14ac:dyDescent="0.35">
      <c r="P5136" s="8"/>
    </row>
    <row r="5137" spans="16:16" x14ac:dyDescent="0.35">
      <c r="P5137" s="8"/>
    </row>
    <row r="5138" spans="16:16" x14ac:dyDescent="0.35">
      <c r="P5138" s="8"/>
    </row>
    <row r="5139" spans="16:16" x14ac:dyDescent="0.35">
      <c r="P5139" s="8"/>
    </row>
    <row r="5140" spans="16:16" x14ac:dyDescent="0.35">
      <c r="P5140" s="8"/>
    </row>
    <row r="5141" spans="16:16" x14ac:dyDescent="0.35">
      <c r="P5141" s="8"/>
    </row>
    <row r="5142" spans="16:16" x14ac:dyDescent="0.35">
      <c r="P5142" s="8"/>
    </row>
    <row r="5143" spans="16:16" x14ac:dyDescent="0.35">
      <c r="P5143" s="8"/>
    </row>
    <row r="5144" spans="16:16" x14ac:dyDescent="0.35">
      <c r="P5144" s="8"/>
    </row>
    <row r="5145" spans="16:16" x14ac:dyDescent="0.35">
      <c r="P5145" s="8"/>
    </row>
    <row r="5146" spans="16:16" x14ac:dyDescent="0.35">
      <c r="P5146" s="8"/>
    </row>
    <row r="5147" spans="16:16" x14ac:dyDescent="0.35">
      <c r="P5147" s="8"/>
    </row>
    <row r="5148" spans="16:16" x14ac:dyDescent="0.35">
      <c r="P5148" s="8"/>
    </row>
    <row r="5149" spans="16:16" x14ac:dyDescent="0.35">
      <c r="P5149" s="8"/>
    </row>
    <row r="5150" spans="16:16" x14ac:dyDescent="0.35">
      <c r="P5150" s="8"/>
    </row>
    <row r="5151" spans="16:16" x14ac:dyDescent="0.35">
      <c r="P5151" s="8"/>
    </row>
    <row r="5152" spans="16:16" x14ac:dyDescent="0.35">
      <c r="P5152" s="8"/>
    </row>
    <row r="5153" spans="16:16" x14ac:dyDescent="0.35">
      <c r="P5153" s="8"/>
    </row>
    <row r="5154" spans="16:16" x14ac:dyDescent="0.35">
      <c r="P5154" s="8"/>
    </row>
    <row r="5155" spans="16:16" x14ac:dyDescent="0.35">
      <c r="P5155" s="8"/>
    </row>
    <row r="5156" spans="16:16" x14ac:dyDescent="0.35">
      <c r="P5156" s="8"/>
    </row>
    <row r="5157" spans="16:16" x14ac:dyDescent="0.35">
      <c r="P5157" s="8"/>
    </row>
    <row r="5158" spans="16:16" x14ac:dyDescent="0.35">
      <c r="P5158" s="8"/>
    </row>
    <row r="5159" spans="16:16" x14ac:dyDescent="0.35">
      <c r="P5159" s="8"/>
    </row>
    <row r="5160" spans="16:16" x14ac:dyDescent="0.35">
      <c r="P5160" s="8"/>
    </row>
    <row r="5161" spans="16:16" x14ac:dyDescent="0.35">
      <c r="P5161" s="8"/>
    </row>
    <row r="5162" spans="16:16" x14ac:dyDescent="0.35">
      <c r="P5162" s="8"/>
    </row>
    <row r="5163" spans="16:16" x14ac:dyDescent="0.35">
      <c r="P5163" s="8"/>
    </row>
    <row r="5164" spans="16:16" x14ac:dyDescent="0.35">
      <c r="P5164" s="8"/>
    </row>
    <row r="5165" spans="16:16" x14ac:dyDescent="0.35">
      <c r="P5165" s="8"/>
    </row>
    <row r="5166" spans="16:16" x14ac:dyDescent="0.35">
      <c r="P5166" s="8"/>
    </row>
    <row r="5167" spans="16:16" x14ac:dyDescent="0.35">
      <c r="P5167" s="8"/>
    </row>
    <row r="5168" spans="16:16" x14ac:dyDescent="0.35">
      <c r="P5168" s="8"/>
    </row>
    <row r="5169" spans="16:16" x14ac:dyDescent="0.35">
      <c r="P5169" s="8"/>
    </row>
    <row r="5170" spans="16:16" x14ac:dyDescent="0.35">
      <c r="P5170" s="8"/>
    </row>
    <row r="5171" spans="16:16" x14ac:dyDescent="0.35">
      <c r="P5171" s="8"/>
    </row>
    <row r="5172" spans="16:16" x14ac:dyDescent="0.35">
      <c r="P5172" s="8"/>
    </row>
    <row r="5173" spans="16:16" x14ac:dyDescent="0.35">
      <c r="P5173" s="8"/>
    </row>
    <row r="5174" spans="16:16" x14ac:dyDescent="0.35">
      <c r="P5174" s="8"/>
    </row>
    <row r="5175" spans="16:16" x14ac:dyDescent="0.35">
      <c r="P5175" s="8"/>
    </row>
    <row r="5176" spans="16:16" x14ac:dyDescent="0.35">
      <c r="P5176" s="8"/>
    </row>
    <row r="5177" spans="16:16" x14ac:dyDescent="0.35">
      <c r="P5177" s="8"/>
    </row>
    <row r="5178" spans="16:16" x14ac:dyDescent="0.35">
      <c r="P5178" s="8"/>
    </row>
    <row r="5179" spans="16:16" x14ac:dyDescent="0.35">
      <c r="P5179" s="8"/>
    </row>
    <row r="5180" spans="16:16" x14ac:dyDescent="0.35">
      <c r="P5180" s="8"/>
    </row>
    <row r="5181" spans="16:16" x14ac:dyDescent="0.35">
      <c r="P5181" s="8"/>
    </row>
    <row r="5182" spans="16:16" x14ac:dyDescent="0.35">
      <c r="P5182" s="8"/>
    </row>
    <row r="5183" spans="16:16" x14ac:dyDescent="0.35">
      <c r="P5183" s="8"/>
    </row>
    <row r="5184" spans="16:16" x14ac:dyDescent="0.35">
      <c r="P5184" s="8"/>
    </row>
    <row r="5185" spans="16:16" x14ac:dyDescent="0.35">
      <c r="P5185" s="8"/>
    </row>
    <row r="5186" spans="16:16" x14ac:dyDescent="0.35">
      <c r="P5186" s="8"/>
    </row>
    <row r="5187" spans="16:16" x14ac:dyDescent="0.35">
      <c r="P5187" s="8"/>
    </row>
    <row r="5188" spans="16:16" x14ac:dyDescent="0.35">
      <c r="P5188" s="8"/>
    </row>
    <row r="5189" spans="16:16" x14ac:dyDescent="0.35">
      <c r="P5189" s="8"/>
    </row>
    <row r="5190" spans="16:16" x14ac:dyDescent="0.35">
      <c r="P5190" s="8"/>
    </row>
    <row r="5191" spans="16:16" x14ac:dyDescent="0.35">
      <c r="P5191" s="8"/>
    </row>
    <row r="5192" spans="16:16" x14ac:dyDescent="0.35">
      <c r="P5192" s="8"/>
    </row>
    <row r="5193" spans="16:16" x14ac:dyDescent="0.35">
      <c r="P5193" s="8"/>
    </row>
    <row r="5194" spans="16:16" x14ac:dyDescent="0.35">
      <c r="P5194" s="8"/>
    </row>
    <row r="5195" spans="16:16" x14ac:dyDescent="0.35">
      <c r="P5195" s="8"/>
    </row>
    <row r="5196" spans="16:16" x14ac:dyDescent="0.35">
      <c r="P5196" s="8"/>
    </row>
    <row r="5197" spans="16:16" x14ac:dyDescent="0.35">
      <c r="P5197" s="8"/>
    </row>
    <row r="5198" spans="16:16" x14ac:dyDescent="0.35">
      <c r="P5198" s="8"/>
    </row>
    <row r="5199" spans="16:16" x14ac:dyDescent="0.35">
      <c r="P5199" s="8"/>
    </row>
    <row r="5200" spans="16:16" x14ac:dyDescent="0.35">
      <c r="P5200" s="8"/>
    </row>
    <row r="5201" spans="16:16" x14ac:dyDescent="0.35">
      <c r="P5201" s="8"/>
    </row>
    <row r="5202" spans="16:16" x14ac:dyDescent="0.35">
      <c r="P5202" s="8"/>
    </row>
    <row r="5203" spans="16:16" x14ac:dyDescent="0.35">
      <c r="P5203" s="8"/>
    </row>
    <row r="5204" spans="16:16" x14ac:dyDescent="0.35">
      <c r="P5204" s="8"/>
    </row>
    <row r="5205" spans="16:16" x14ac:dyDescent="0.35">
      <c r="P5205" s="8"/>
    </row>
    <row r="5206" spans="16:16" x14ac:dyDescent="0.35">
      <c r="P5206" s="8"/>
    </row>
    <row r="5207" spans="16:16" x14ac:dyDescent="0.35">
      <c r="P5207" s="8"/>
    </row>
    <row r="5208" spans="16:16" x14ac:dyDescent="0.35">
      <c r="P5208" s="8"/>
    </row>
    <row r="5209" spans="16:16" x14ac:dyDescent="0.35">
      <c r="P5209" s="8"/>
    </row>
    <row r="5210" spans="16:16" x14ac:dyDescent="0.35">
      <c r="P5210" s="8"/>
    </row>
    <row r="5211" spans="16:16" x14ac:dyDescent="0.35">
      <c r="P5211" s="8"/>
    </row>
    <row r="5212" spans="16:16" x14ac:dyDescent="0.35">
      <c r="P5212" s="8"/>
    </row>
    <row r="5213" spans="16:16" x14ac:dyDescent="0.35">
      <c r="P5213" s="8"/>
    </row>
    <row r="5214" spans="16:16" x14ac:dyDescent="0.35">
      <c r="P5214" s="8"/>
    </row>
    <row r="5215" spans="16:16" x14ac:dyDescent="0.35">
      <c r="P5215" s="8"/>
    </row>
    <row r="5216" spans="16:16" x14ac:dyDescent="0.35">
      <c r="P5216" s="8"/>
    </row>
    <row r="5217" spans="16:16" x14ac:dyDescent="0.35">
      <c r="P5217" s="8"/>
    </row>
    <row r="5218" spans="16:16" x14ac:dyDescent="0.35">
      <c r="P5218" s="8"/>
    </row>
    <row r="5219" spans="16:16" x14ac:dyDescent="0.35">
      <c r="P5219" s="8"/>
    </row>
    <row r="5220" spans="16:16" x14ac:dyDescent="0.35">
      <c r="P5220" s="8"/>
    </row>
    <row r="5221" spans="16:16" x14ac:dyDescent="0.35">
      <c r="P5221" s="8"/>
    </row>
    <row r="5222" spans="16:16" x14ac:dyDescent="0.35">
      <c r="P5222" s="8"/>
    </row>
    <row r="5223" spans="16:16" x14ac:dyDescent="0.35">
      <c r="P5223" s="8"/>
    </row>
    <row r="5224" spans="16:16" x14ac:dyDescent="0.35">
      <c r="P5224" s="8"/>
    </row>
    <row r="5225" spans="16:16" x14ac:dyDescent="0.35">
      <c r="P5225" s="8"/>
    </row>
    <row r="5226" spans="16:16" x14ac:dyDescent="0.35">
      <c r="P5226" s="8"/>
    </row>
    <row r="5227" spans="16:16" x14ac:dyDescent="0.35">
      <c r="P5227" s="8"/>
    </row>
    <row r="5228" spans="16:16" x14ac:dyDescent="0.35">
      <c r="P5228" s="8"/>
    </row>
    <row r="5229" spans="16:16" x14ac:dyDescent="0.35">
      <c r="P5229" s="8"/>
    </row>
    <row r="5230" spans="16:16" x14ac:dyDescent="0.35">
      <c r="P5230" s="8"/>
    </row>
    <row r="5231" spans="16:16" x14ac:dyDescent="0.35">
      <c r="P5231" s="8"/>
    </row>
    <row r="5232" spans="16:16" x14ac:dyDescent="0.35">
      <c r="P5232" s="8"/>
    </row>
    <row r="5233" spans="16:16" x14ac:dyDescent="0.35">
      <c r="P5233" s="8"/>
    </row>
    <row r="5234" spans="16:16" x14ac:dyDescent="0.35">
      <c r="P5234" s="8"/>
    </row>
    <row r="5235" spans="16:16" x14ac:dyDescent="0.35">
      <c r="P5235" s="8"/>
    </row>
    <row r="5236" spans="16:16" x14ac:dyDescent="0.35">
      <c r="P5236" s="8"/>
    </row>
    <row r="5237" spans="16:16" x14ac:dyDescent="0.35">
      <c r="P5237" s="8"/>
    </row>
    <row r="5238" spans="16:16" x14ac:dyDescent="0.35">
      <c r="P5238" s="8"/>
    </row>
    <row r="5239" spans="16:16" x14ac:dyDescent="0.35">
      <c r="P5239" s="8"/>
    </row>
    <row r="5240" spans="16:16" x14ac:dyDescent="0.35">
      <c r="P5240" s="8"/>
    </row>
    <row r="5241" spans="16:16" x14ac:dyDescent="0.35">
      <c r="P5241" s="8"/>
    </row>
    <row r="5242" spans="16:16" x14ac:dyDescent="0.35">
      <c r="P5242" s="8"/>
    </row>
    <row r="5243" spans="16:16" x14ac:dyDescent="0.35">
      <c r="P5243" s="8"/>
    </row>
    <row r="5244" spans="16:16" x14ac:dyDescent="0.35">
      <c r="P5244" s="8"/>
    </row>
    <row r="5245" spans="16:16" x14ac:dyDescent="0.35">
      <c r="P5245" s="8"/>
    </row>
    <row r="5246" spans="16:16" x14ac:dyDescent="0.35">
      <c r="P5246" s="8"/>
    </row>
    <row r="5247" spans="16:16" x14ac:dyDescent="0.35">
      <c r="P5247" s="8"/>
    </row>
    <row r="5248" spans="16:16" x14ac:dyDescent="0.35">
      <c r="P5248" s="8"/>
    </row>
    <row r="5249" spans="16:16" x14ac:dyDescent="0.35">
      <c r="P5249" s="8"/>
    </row>
    <row r="5250" spans="16:16" x14ac:dyDescent="0.35">
      <c r="P5250" s="8"/>
    </row>
    <row r="5251" spans="16:16" x14ac:dyDescent="0.35">
      <c r="P5251" s="8"/>
    </row>
    <row r="5252" spans="16:16" x14ac:dyDescent="0.35">
      <c r="P5252" s="8"/>
    </row>
    <row r="5253" spans="16:16" x14ac:dyDescent="0.35">
      <c r="P5253" s="8"/>
    </row>
    <row r="5254" spans="16:16" x14ac:dyDescent="0.35">
      <c r="P5254" s="8"/>
    </row>
    <row r="5255" spans="16:16" x14ac:dyDescent="0.35">
      <c r="P5255" s="8"/>
    </row>
    <row r="5256" spans="16:16" x14ac:dyDescent="0.35">
      <c r="P5256" s="8"/>
    </row>
    <row r="5257" spans="16:16" x14ac:dyDescent="0.35">
      <c r="P5257" s="8"/>
    </row>
    <row r="5258" spans="16:16" x14ac:dyDescent="0.35">
      <c r="P5258" s="8"/>
    </row>
    <row r="5259" spans="16:16" x14ac:dyDescent="0.35">
      <c r="P5259" s="8"/>
    </row>
    <row r="5260" spans="16:16" x14ac:dyDescent="0.35">
      <c r="P5260" s="8"/>
    </row>
    <row r="5261" spans="16:16" x14ac:dyDescent="0.35">
      <c r="P5261" s="8"/>
    </row>
    <row r="5262" spans="16:16" x14ac:dyDescent="0.35">
      <c r="P5262" s="8"/>
    </row>
    <row r="5263" spans="16:16" x14ac:dyDescent="0.35">
      <c r="P5263" s="8"/>
    </row>
    <row r="5264" spans="16:16" x14ac:dyDescent="0.35">
      <c r="P5264" s="8"/>
    </row>
    <row r="5265" spans="16:16" x14ac:dyDescent="0.35">
      <c r="P5265" s="8"/>
    </row>
    <row r="5266" spans="16:16" x14ac:dyDescent="0.35">
      <c r="P5266" s="8"/>
    </row>
    <row r="5267" spans="16:16" x14ac:dyDescent="0.35">
      <c r="P5267" s="8"/>
    </row>
    <row r="5268" spans="16:16" x14ac:dyDescent="0.35">
      <c r="P5268" s="8"/>
    </row>
    <row r="5269" spans="16:16" x14ac:dyDescent="0.35">
      <c r="P5269" s="8"/>
    </row>
    <row r="5270" spans="16:16" x14ac:dyDescent="0.35">
      <c r="P5270" s="8"/>
    </row>
    <row r="5271" spans="16:16" x14ac:dyDescent="0.35">
      <c r="P5271" s="8"/>
    </row>
    <row r="5272" spans="16:16" x14ac:dyDescent="0.35">
      <c r="P5272" s="8"/>
    </row>
    <row r="5273" spans="16:16" x14ac:dyDescent="0.35">
      <c r="P5273" s="8"/>
    </row>
    <row r="5274" spans="16:16" x14ac:dyDescent="0.35">
      <c r="P5274" s="8"/>
    </row>
    <row r="5275" spans="16:16" x14ac:dyDescent="0.35">
      <c r="P5275" s="8"/>
    </row>
    <row r="5276" spans="16:16" x14ac:dyDescent="0.35">
      <c r="P5276" s="8"/>
    </row>
    <row r="5277" spans="16:16" x14ac:dyDescent="0.35">
      <c r="P5277" s="8"/>
    </row>
    <row r="5278" spans="16:16" x14ac:dyDescent="0.35">
      <c r="P5278" s="8"/>
    </row>
    <row r="5279" spans="16:16" x14ac:dyDescent="0.35">
      <c r="P5279" s="8"/>
    </row>
    <row r="5280" spans="16:16" x14ac:dyDescent="0.35">
      <c r="P5280" s="8"/>
    </row>
    <row r="5281" spans="16:16" x14ac:dyDescent="0.35">
      <c r="P5281" s="8"/>
    </row>
    <row r="5282" spans="16:16" x14ac:dyDescent="0.35">
      <c r="P5282" s="8"/>
    </row>
    <row r="5283" spans="16:16" x14ac:dyDescent="0.35">
      <c r="P5283" s="8"/>
    </row>
    <row r="5284" spans="16:16" x14ac:dyDescent="0.35">
      <c r="P5284" s="8"/>
    </row>
    <row r="5285" spans="16:16" x14ac:dyDescent="0.35">
      <c r="P5285" s="8"/>
    </row>
    <row r="5286" spans="16:16" x14ac:dyDescent="0.35">
      <c r="P5286" s="8"/>
    </row>
    <row r="5287" spans="16:16" x14ac:dyDescent="0.35">
      <c r="P5287" s="8"/>
    </row>
    <row r="5288" spans="16:16" x14ac:dyDescent="0.35">
      <c r="P5288" s="8"/>
    </row>
    <row r="5289" spans="16:16" x14ac:dyDescent="0.35">
      <c r="P5289" s="8"/>
    </row>
    <row r="5290" spans="16:16" x14ac:dyDescent="0.35">
      <c r="P5290" s="8"/>
    </row>
    <row r="5291" spans="16:16" x14ac:dyDescent="0.35">
      <c r="P5291" s="8"/>
    </row>
    <row r="5292" spans="16:16" x14ac:dyDescent="0.35">
      <c r="P5292" s="8"/>
    </row>
    <row r="5293" spans="16:16" x14ac:dyDescent="0.35">
      <c r="P5293" s="8"/>
    </row>
    <row r="5294" spans="16:16" x14ac:dyDescent="0.35">
      <c r="P5294" s="8"/>
    </row>
    <row r="5295" spans="16:16" x14ac:dyDescent="0.35">
      <c r="P5295" s="8"/>
    </row>
    <row r="5296" spans="16:16" x14ac:dyDescent="0.35">
      <c r="P5296" s="8"/>
    </row>
    <row r="5297" spans="16:16" x14ac:dyDescent="0.35">
      <c r="P5297" s="8"/>
    </row>
    <row r="5298" spans="16:16" x14ac:dyDescent="0.35">
      <c r="P5298" s="8"/>
    </row>
    <row r="5299" spans="16:16" x14ac:dyDescent="0.35">
      <c r="P5299" s="8"/>
    </row>
    <row r="5300" spans="16:16" x14ac:dyDescent="0.35">
      <c r="P5300" s="8"/>
    </row>
    <row r="5301" spans="16:16" x14ac:dyDescent="0.35">
      <c r="P5301" s="8"/>
    </row>
    <row r="5302" spans="16:16" x14ac:dyDescent="0.35">
      <c r="P5302" s="8"/>
    </row>
    <row r="5303" spans="16:16" x14ac:dyDescent="0.35">
      <c r="P5303" s="8"/>
    </row>
    <row r="5304" spans="16:16" x14ac:dyDescent="0.35">
      <c r="P5304" s="8"/>
    </row>
    <row r="5305" spans="16:16" x14ac:dyDescent="0.35">
      <c r="P5305" s="8"/>
    </row>
    <row r="5306" spans="16:16" x14ac:dyDescent="0.35">
      <c r="P5306" s="8"/>
    </row>
    <row r="5307" spans="16:16" x14ac:dyDescent="0.35">
      <c r="P5307" s="8"/>
    </row>
    <row r="5308" spans="16:16" x14ac:dyDescent="0.35">
      <c r="P5308" s="8"/>
    </row>
    <row r="5309" spans="16:16" x14ac:dyDescent="0.35">
      <c r="P5309" s="8"/>
    </row>
    <row r="5310" spans="16:16" x14ac:dyDescent="0.35">
      <c r="P5310" s="8"/>
    </row>
    <row r="5311" spans="16:16" x14ac:dyDescent="0.35">
      <c r="P5311" s="8"/>
    </row>
    <row r="5312" spans="16:16" x14ac:dyDescent="0.35">
      <c r="P5312" s="8"/>
    </row>
    <row r="5313" spans="16:16" x14ac:dyDescent="0.35">
      <c r="P5313" s="8"/>
    </row>
    <row r="5314" spans="16:16" x14ac:dyDescent="0.35">
      <c r="P5314" s="8"/>
    </row>
    <row r="5315" spans="16:16" x14ac:dyDescent="0.35">
      <c r="P5315" s="8"/>
    </row>
    <row r="5316" spans="16:16" x14ac:dyDescent="0.35">
      <c r="P5316" s="8"/>
    </row>
    <row r="5317" spans="16:16" x14ac:dyDescent="0.35">
      <c r="P5317" s="8"/>
    </row>
    <row r="5318" spans="16:16" x14ac:dyDescent="0.35">
      <c r="P5318" s="8"/>
    </row>
    <row r="5319" spans="16:16" x14ac:dyDescent="0.35">
      <c r="P5319" s="8"/>
    </row>
    <row r="5320" spans="16:16" x14ac:dyDescent="0.35">
      <c r="P5320" s="8"/>
    </row>
    <row r="5321" spans="16:16" x14ac:dyDescent="0.35">
      <c r="P5321" s="8"/>
    </row>
    <row r="5322" spans="16:16" x14ac:dyDescent="0.35">
      <c r="P5322" s="8"/>
    </row>
    <row r="5323" spans="16:16" x14ac:dyDescent="0.35">
      <c r="P5323" s="8"/>
    </row>
    <row r="5324" spans="16:16" x14ac:dyDescent="0.35">
      <c r="P5324" s="8"/>
    </row>
    <row r="5325" spans="16:16" x14ac:dyDescent="0.35">
      <c r="P5325" s="8"/>
    </row>
    <row r="5326" spans="16:16" x14ac:dyDescent="0.35">
      <c r="P5326" s="8"/>
    </row>
    <row r="5327" spans="16:16" x14ac:dyDescent="0.35">
      <c r="P5327" s="8"/>
    </row>
    <row r="5328" spans="16:16" x14ac:dyDescent="0.35">
      <c r="P5328" s="8"/>
    </row>
    <row r="5329" spans="16:16" x14ac:dyDescent="0.35">
      <c r="P5329" s="8"/>
    </row>
    <row r="5330" spans="16:16" x14ac:dyDescent="0.35">
      <c r="P5330" s="8"/>
    </row>
    <row r="5331" spans="16:16" x14ac:dyDescent="0.35">
      <c r="P5331" s="8"/>
    </row>
    <row r="5332" spans="16:16" x14ac:dyDescent="0.35">
      <c r="P5332" s="8"/>
    </row>
    <row r="5333" spans="16:16" x14ac:dyDescent="0.35">
      <c r="P5333" s="8"/>
    </row>
    <row r="5334" spans="16:16" x14ac:dyDescent="0.35">
      <c r="P5334" s="8"/>
    </row>
    <row r="5335" spans="16:16" x14ac:dyDescent="0.35">
      <c r="P5335" s="8"/>
    </row>
    <row r="5336" spans="16:16" x14ac:dyDescent="0.35">
      <c r="P5336" s="8"/>
    </row>
    <row r="5337" spans="16:16" x14ac:dyDescent="0.35">
      <c r="P5337" s="8"/>
    </row>
    <row r="5338" spans="16:16" x14ac:dyDescent="0.35">
      <c r="P5338" s="8"/>
    </row>
    <row r="5339" spans="16:16" x14ac:dyDescent="0.35">
      <c r="P5339" s="8"/>
    </row>
    <row r="5340" spans="16:16" x14ac:dyDescent="0.35">
      <c r="P5340" s="8"/>
    </row>
    <row r="5341" spans="16:16" x14ac:dyDescent="0.35">
      <c r="P5341" s="8"/>
    </row>
    <row r="5342" spans="16:16" x14ac:dyDescent="0.35">
      <c r="P5342" s="8"/>
    </row>
    <row r="5343" spans="16:16" x14ac:dyDescent="0.35">
      <c r="P5343" s="8"/>
    </row>
    <row r="5344" spans="16:16" x14ac:dyDescent="0.35">
      <c r="P5344" s="8"/>
    </row>
    <row r="5345" spans="16:16" x14ac:dyDescent="0.35">
      <c r="P5345" s="8"/>
    </row>
    <row r="5346" spans="16:16" x14ac:dyDescent="0.35">
      <c r="P5346" s="8"/>
    </row>
    <row r="5347" spans="16:16" x14ac:dyDescent="0.35">
      <c r="P5347" s="8"/>
    </row>
    <row r="5348" spans="16:16" x14ac:dyDescent="0.35">
      <c r="P5348" s="8"/>
    </row>
    <row r="5349" spans="16:16" x14ac:dyDescent="0.35">
      <c r="P5349" s="8"/>
    </row>
    <row r="5350" spans="16:16" x14ac:dyDescent="0.35">
      <c r="P5350" s="8"/>
    </row>
    <row r="5351" spans="16:16" x14ac:dyDescent="0.35">
      <c r="P5351" s="8"/>
    </row>
    <row r="5352" spans="16:16" x14ac:dyDescent="0.35">
      <c r="P5352" s="8"/>
    </row>
    <row r="5353" spans="16:16" x14ac:dyDescent="0.35">
      <c r="P5353" s="8"/>
    </row>
    <row r="5354" spans="16:16" x14ac:dyDescent="0.35">
      <c r="P5354" s="8"/>
    </row>
    <row r="5355" spans="16:16" x14ac:dyDescent="0.35">
      <c r="P5355" s="8"/>
    </row>
    <row r="5356" spans="16:16" x14ac:dyDescent="0.35">
      <c r="P5356" s="8"/>
    </row>
    <row r="5357" spans="16:16" x14ac:dyDescent="0.35">
      <c r="P5357" s="8"/>
    </row>
    <row r="5358" spans="16:16" x14ac:dyDescent="0.35">
      <c r="P5358" s="8"/>
    </row>
    <row r="5359" spans="16:16" x14ac:dyDescent="0.35">
      <c r="P5359" s="8"/>
    </row>
    <row r="5360" spans="16:16" x14ac:dyDescent="0.35">
      <c r="P5360" s="8"/>
    </row>
    <row r="5361" spans="16:16" x14ac:dyDescent="0.35">
      <c r="P5361" s="8"/>
    </row>
    <row r="5362" spans="16:16" x14ac:dyDescent="0.35">
      <c r="P5362" s="8"/>
    </row>
    <row r="5363" spans="16:16" x14ac:dyDescent="0.35">
      <c r="P5363" s="8"/>
    </row>
    <row r="5364" spans="16:16" x14ac:dyDescent="0.35">
      <c r="P5364" s="8"/>
    </row>
    <row r="5365" spans="16:16" x14ac:dyDescent="0.35">
      <c r="P5365" s="8"/>
    </row>
    <row r="5366" spans="16:16" x14ac:dyDescent="0.35">
      <c r="P5366" s="8"/>
    </row>
    <row r="5367" spans="16:16" x14ac:dyDescent="0.35">
      <c r="P5367" s="8"/>
    </row>
    <row r="5368" spans="16:16" x14ac:dyDescent="0.35">
      <c r="P5368" s="8"/>
    </row>
    <row r="5369" spans="16:16" x14ac:dyDescent="0.35">
      <c r="P5369" s="8"/>
    </row>
    <row r="5370" spans="16:16" x14ac:dyDescent="0.35">
      <c r="P5370" s="8"/>
    </row>
    <row r="5371" spans="16:16" x14ac:dyDescent="0.35">
      <c r="P5371" s="8"/>
    </row>
    <row r="5372" spans="16:16" x14ac:dyDescent="0.35">
      <c r="P5372" s="8"/>
    </row>
    <row r="5373" spans="16:16" x14ac:dyDescent="0.35">
      <c r="P5373" s="8"/>
    </row>
    <row r="5374" spans="16:16" x14ac:dyDescent="0.35">
      <c r="P5374" s="8"/>
    </row>
    <row r="5375" spans="16:16" x14ac:dyDescent="0.35">
      <c r="P5375" s="8"/>
    </row>
    <row r="5376" spans="16:16" x14ac:dyDescent="0.35">
      <c r="P5376" s="8"/>
    </row>
    <row r="5377" spans="16:16" x14ac:dyDescent="0.35">
      <c r="P5377" s="8"/>
    </row>
    <row r="5378" spans="16:16" x14ac:dyDescent="0.35">
      <c r="P5378" s="8"/>
    </row>
    <row r="5379" spans="16:16" x14ac:dyDescent="0.35">
      <c r="P5379" s="8"/>
    </row>
    <row r="5380" spans="16:16" x14ac:dyDescent="0.35">
      <c r="P5380" s="8"/>
    </row>
    <row r="5381" spans="16:16" x14ac:dyDescent="0.35">
      <c r="P5381" s="8"/>
    </row>
    <row r="5382" spans="16:16" x14ac:dyDescent="0.35">
      <c r="P5382" s="8"/>
    </row>
    <row r="5383" spans="16:16" x14ac:dyDescent="0.35">
      <c r="P5383" s="8"/>
    </row>
    <row r="5384" spans="16:16" x14ac:dyDescent="0.35">
      <c r="P5384" s="8"/>
    </row>
    <row r="5385" spans="16:16" x14ac:dyDescent="0.35">
      <c r="P5385" s="8"/>
    </row>
    <row r="5386" spans="16:16" x14ac:dyDescent="0.35">
      <c r="P5386" s="8"/>
    </row>
    <row r="5387" spans="16:16" x14ac:dyDescent="0.35">
      <c r="P5387" s="8"/>
    </row>
    <row r="5388" spans="16:16" x14ac:dyDescent="0.35">
      <c r="P5388" s="8"/>
    </row>
    <row r="5389" spans="16:16" x14ac:dyDescent="0.35">
      <c r="P5389" s="8"/>
    </row>
    <row r="5390" spans="16:16" x14ac:dyDescent="0.35">
      <c r="P5390" s="8"/>
    </row>
    <row r="5391" spans="16:16" x14ac:dyDescent="0.35">
      <c r="P5391" s="8"/>
    </row>
    <row r="5392" spans="16:16" x14ac:dyDescent="0.35">
      <c r="P5392" s="8"/>
    </row>
    <row r="5393" spans="16:16" x14ac:dyDescent="0.35">
      <c r="P5393" s="8"/>
    </row>
    <row r="5394" spans="16:16" x14ac:dyDescent="0.35">
      <c r="P5394" s="8"/>
    </row>
    <row r="5395" spans="16:16" x14ac:dyDescent="0.35">
      <c r="P5395" s="8"/>
    </row>
    <row r="5396" spans="16:16" x14ac:dyDescent="0.35">
      <c r="P5396" s="8"/>
    </row>
    <row r="5397" spans="16:16" x14ac:dyDescent="0.35">
      <c r="P5397" s="8"/>
    </row>
    <row r="5398" spans="16:16" x14ac:dyDescent="0.35">
      <c r="P5398" s="8"/>
    </row>
    <row r="5399" spans="16:16" x14ac:dyDescent="0.35">
      <c r="P5399" s="8"/>
    </row>
    <row r="5400" spans="16:16" x14ac:dyDescent="0.35">
      <c r="P5400" s="8"/>
    </row>
    <row r="5401" spans="16:16" x14ac:dyDescent="0.35">
      <c r="P5401" s="8"/>
    </row>
    <row r="5402" spans="16:16" x14ac:dyDescent="0.35">
      <c r="P5402" s="8"/>
    </row>
    <row r="5403" spans="16:16" x14ac:dyDescent="0.35">
      <c r="P5403" s="8"/>
    </row>
    <row r="5404" spans="16:16" x14ac:dyDescent="0.35">
      <c r="P5404" s="8"/>
    </row>
    <row r="5405" spans="16:16" x14ac:dyDescent="0.35">
      <c r="P5405" s="8"/>
    </row>
    <row r="5406" spans="16:16" x14ac:dyDescent="0.35">
      <c r="P5406" s="8"/>
    </row>
    <row r="5407" spans="16:16" x14ac:dyDescent="0.35">
      <c r="P5407" s="8"/>
    </row>
    <row r="5408" spans="16:16" x14ac:dyDescent="0.35">
      <c r="P5408" s="8"/>
    </row>
    <row r="5409" spans="16:16" x14ac:dyDescent="0.35">
      <c r="P5409" s="8"/>
    </row>
    <row r="5410" spans="16:16" x14ac:dyDescent="0.35">
      <c r="P5410" s="8"/>
    </row>
    <row r="5411" spans="16:16" x14ac:dyDescent="0.35">
      <c r="P5411" s="8"/>
    </row>
    <row r="5412" spans="16:16" x14ac:dyDescent="0.35">
      <c r="P5412" s="8"/>
    </row>
    <row r="5413" spans="16:16" x14ac:dyDescent="0.35">
      <c r="P5413" s="8"/>
    </row>
    <row r="5414" spans="16:16" x14ac:dyDescent="0.35">
      <c r="P5414" s="8"/>
    </row>
    <row r="5415" spans="16:16" x14ac:dyDescent="0.35">
      <c r="P5415" s="8"/>
    </row>
    <row r="5416" spans="16:16" x14ac:dyDescent="0.35">
      <c r="P5416" s="8"/>
    </row>
    <row r="5417" spans="16:16" x14ac:dyDescent="0.35">
      <c r="P5417" s="8"/>
    </row>
    <row r="5418" spans="16:16" x14ac:dyDescent="0.35">
      <c r="P5418" s="8"/>
    </row>
    <row r="5419" spans="16:16" x14ac:dyDescent="0.35">
      <c r="P5419" s="8"/>
    </row>
    <row r="5420" spans="16:16" x14ac:dyDescent="0.35">
      <c r="P5420" s="8"/>
    </row>
    <row r="5421" spans="16:16" x14ac:dyDescent="0.35">
      <c r="P5421" s="8"/>
    </row>
    <row r="5422" spans="16:16" x14ac:dyDescent="0.35">
      <c r="P5422" s="8"/>
    </row>
    <row r="5423" spans="16:16" x14ac:dyDescent="0.35">
      <c r="P5423" s="8"/>
    </row>
    <row r="5424" spans="16:16" x14ac:dyDescent="0.35">
      <c r="P5424" s="8"/>
    </row>
    <row r="5425" spans="16:16" x14ac:dyDescent="0.35">
      <c r="P5425" s="8"/>
    </row>
    <row r="5426" spans="16:16" x14ac:dyDescent="0.35">
      <c r="P5426" s="8"/>
    </row>
    <row r="5427" spans="16:16" x14ac:dyDescent="0.35">
      <c r="P5427" s="8"/>
    </row>
    <row r="5428" spans="16:16" x14ac:dyDescent="0.35">
      <c r="P5428" s="8"/>
    </row>
    <row r="5429" spans="16:16" x14ac:dyDescent="0.35">
      <c r="P5429" s="8"/>
    </row>
    <row r="5430" spans="16:16" x14ac:dyDescent="0.35">
      <c r="P5430" s="8"/>
    </row>
    <row r="5431" spans="16:16" x14ac:dyDescent="0.35">
      <c r="P5431" s="8"/>
    </row>
    <row r="5432" spans="16:16" x14ac:dyDescent="0.35">
      <c r="P5432" s="8"/>
    </row>
    <row r="5433" spans="16:16" x14ac:dyDescent="0.35">
      <c r="P5433" s="8"/>
    </row>
    <row r="5434" spans="16:16" x14ac:dyDescent="0.35">
      <c r="P5434" s="8"/>
    </row>
    <row r="5435" spans="16:16" x14ac:dyDescent="0.35">
      <c r="P5435" s="8"/>
    </row>
    <row r="5436" spans="16:16" x14ac:dyDescent="0.35">
      <c r="P5436" s="8"/>
    </row>
    <row r="5437" spans="16:16" x14ac:dyDescent="0.35">
      <c r="P5437" s="8"/>
    </row>
    <row r="5438" spans="16:16" x14ac:dyDescent="0.35">
      <c r="P5438" s="8"/>
    </row>
    <row r="5439" spans="16:16" x14ac:dyDescent="0.35">
      <c r="P5439" s="8"/>
    </row>
    <row r="5440" spans="16:16" x14ac:dyDescent="0.35">
      <c r="P5440" s="8"/>
    </row>
    <row r="5441" spans="16:16" x14ac:dyDescent="0.35">
      <c r="P5441" s="8"/>
    </row>
    <row r="5442" spans="16:16" x14ac:dyDescent="0.35">
      <c r="P5442" s="8"/>
    </row>
    <row r="5443" spans="16:16" x14ac:dyDescent="0.35">
      <c r="P5443" s="8"/>
    </row>
    <row r="5444" spans="16:16" x14ac:dyDescent="0.35">
      <c r="P5444" s="8"/>
    </row>
    <row r="5445" spans="16:16" x14ac:dyDescent="0.35">
      <c r="P5445" s="8"/>
    </row>
    <row r="5446" spans="16:16" x14ac:dyDescent="0.35">
      <c r="P5446" s="8"/>
    </row>
    <row r="5447" spans="16:16" x14ac:dyDescent="0.35">
      <c r="P5447" s="8"/>
    </row>
    <row r="5448" spans="16:16" x14ac:dyDescent="0.35">
      <c r="P5448" s="8"/>
    </row>
    <row r="5449" spans="16:16" x14ac:dyDescent="0.35">
      <c r="P5449" s="8"/>
    </row>
    <row r="5450" spans="16:16" x14ac:dyDescent="0.35">
      <c r="P5450" s="8"/>
    </row>
    <row r="5451" spans="16:16" x14ac:dyDescent="0.35">
      <c r="P5451" s="8"/>
    </row>
    <row r="5452" spans="16:16" x14ac:dyDescent="0.35">
      <c r="P5452" s="8"/>
    </row>
    <row r="5453" spans="16:16" x14ac:dyDescent="0.35">
      <c r="P5453" s="8"/>
    </row>
    <row r="5454" spans="16:16" x14ac:dyDescent="0.35">
      <c r="P5454" s="8"/>
    </row>
    <row r="5455" spans="16:16" x14ac:dyDescent="0.35">
      <c r="P5455" s="8"/>
    </row>
    <row r="5456" spans="16:16" x14ac:dyDescent="0.35">
      <c r="P5456" s="8"/>
    </row>
    <row r="5457" spans="16:16" x14ac:dyDescent="0.35">
      <c r="P5457" s="8"/>
    </row>
    <row r="5458" spans="16:16" x14ac:dyDescent="0.35">
      <c r="P5458" s="8"/>
    </row>
    <row r="5459" spans="16:16" x14ac:dyDescent="0.35">
      <c r="P5459" s="8"/>
    </row>
    <row r="5460" spans="16:16" x14ac:dyDescent="0.35">
      <c r="P5460" s="8"/>
    </row>
    <row r="5461" spans="16:16" x14ac:dyDescent="0.35">
      <c r="P5461" s="8"/>
    </row>
    <row r="5462" spans="16:16" x14ac:dyDescent="0.35">
      <c r="P5462" s="8"/>
    </row>
    <row r="5463" spans="16:16" x14ac:dyDescent="0.35">
      <c r="P5463" s="8"/>
    </row>
    <row r="5464" spans="16:16" x14ac:dyDescent="0.35">
      <c r="P5464" s="8"/>
    </row>
    <row r="5465" spans="16:16" x14ac:dyDescent="0.35">
      <c r="P5465" s="8"/>
    </row>
    <row r="5466" spans="16:16" x14ac:dyDescent="0.35">
      <c r="P5466" s="8"/>
    </row>
    <row r="5467" spans="16:16" x14ac:dyDescent="0.35">
      <c r="P5467" s="8"/>
    </row>
    <row r="5468" spans="16:16" x14ac:dyDescent="0.35">
      <c r="P5468" s="8"/>
    </row>
    <row r="5469" spans="16:16" x14ac:dyDescent="0.35">
      <c r="P5469" s="8"/>
    </row>
    <row r="5470" spans="16:16" x14ac:dyDescent="0.35">
      <c r="P5470" s="8"/>
    </row>
    <row r="5471" spans="16:16" x14ac:dyDescent="0.35">
      <c r="P5471" s="8"/>
    </row>
    <row r="5472" spans="16:16" x14ac:dyDescent="0.35">
      <c r="P5472" s="8"/>
    </row>
    <row r="5473" spans="16:16" x14ac:dyDescent="0.35">
      <c r="P5473" s="8"/>
    </row>
    <row r="5474" spans="16:16" x14ac:dyDescent="0.35">
      <c r="P5474" s="8"/>
    </row>
    <row r="5475" spans="16:16" x14ac:dyDescent="0.35">
      <c r="P5475" s="8"/>
    </row>
    <row r="5476" spans="16:16" x14ac:dyDescent="0.35">
      <c r="P5476" s="8"/>
    </row>
    <row r="5477" spans="16:16" x14ac:dyDescent="0.35">
      <c r="P5477" s="8"/>
    </row>
    <row r="5478" spans="16:16" x14ac:dyDescent="0.35">
      <c r="P5478" s="8"/>
    </row>
    <row r="5479" spans="16:16" x14ac:dyDescent="0.35">
      <c r="P5479" s="8"/>
    </row>
    <row r="5480" spans="16:16" x14ac:dyDescent="0.35">
      <c r="P5480" s="8"/>
    </row>
    <row r="5481" spans="16:16" x14ac:dyDescent="0.35">
      <c r="P5481" s="8"/>
    </row>
    <row r="5482" spans="16:16" x14ac:dyDescent="0.35">
      <c r="P5482" s="8"/>
    </row>
    <row r="5483" spans="16:16" x14ac:dyDescent="0.35">
      <c r="P5483" s="8"/>
    </row>
    <row r="5484" spans="16:16" x14ac:dyDescent="0.35">
      <c r="P5484" s="8"/>
    </row>
    <row r="5485" spans="16:16" x14ac:dyDescent="0.35">
      <c r="P5485" s="8"/>
    </row>
    <row r="5486" spans="16:16" x14ac:dyDescent="0.35">
      <c r="P5486" s="8"/>
    </row>
    <row r="5487" spans="16:16" x14ac:dyDescent="0.35">
      <c r="P5487" s="8"/>
    </row>
    <row r="5488" spans="16:16" x14ac:dyDescent="0.35">
      <c r="P5488" s="8"/>
    </row>
    <row r="5489" spans="16:16" x14ac:dyDescent="0.35">
      <c r="P5489" s="8"/>
    </row>
    <row r="5490" spans="16:16" x14ac:dyDescent="0.35">
      <c r="P5490" s="8"/>
    </row>
    <row r="5491" spans="16:16" x14ac:dyDescent="0.35">
      <c r="P5491" s="8"/>
    </row>
    <row r="5492" spans="16:16" x14ac:dyDescent="0.35">
      <c r="P5492" s="8"/>
    </row>
    <row r="5493" spans="16:16" x14ac:dyDescent="0.35">
      <c r="P5493" s="8"/>
    </row>
    <row r="5494" spans="16:16" x14ac:dyDescent="0.35">
      <c r="P5494" s="8"/>
    </row>
    <row r="5495" spans="16:16" x14ac:dyDescent="0.35">
      <c r="P5495" s="8"/>
    </row>
    <row r="5496" spans="16:16" x14ac:dyDescent="0.35">
      <c r="P5496" s="8"/>
    </row>
    <row r="5497" spans="16:16" x14ac:dyDescent="0.35">
      <c r="P5497" s="8"/>
    </row>
    <row r="5498" spans="16:16" x14ac:dyDescent="0.35">
      <c r="P5498" s="8"/>
    </row>
    <row r="5499" spans="16:16" x14ac:dyDescent="0.35">
      <c r="P5499" s="8"/>
    </row>
    <row r="5500" spans="16:16" x14ac:dyDescent="0.35">
      <c r="P5500" s="8"/>
    </row>
    <row r="5501" spans="16:16" x14ac:dyDescent="0.35">
      <c r="P5501" s="8"/>
    </row>
    <row r="5502" spans="16:16" x14ac:dyDescent="0.35">
      <c r="P5502" s="8"/>
    </row>
    <row r="5503" spans="16:16" x14ac:dyDescent="0.35">
      <c r="P5503" s="8"/>
    </row>
    <row r="5504" spans="16:16" x14ac:dyDescent="0.35">
      <c r="P5504" s="8"/>
    </row>
    <row r="5505" spans="16:16" x14ac:dyDescent="0.35">
      <c r="P5505" s="8"/>
    </row>
    <row r="5506" spans="16:16" x14ac:dyDescent="0.35">
      <c r="P5506" s="8"/>
    </row>
    <row r="5507" spans="16:16" x14ac:dyDescent="0.35">
      <c r="P5507" s="8"/>
    </row>
    <row r="5508" spans="16:16" x14ac:dyDescent="0.35">
      <c r="P5508" s="8"/>
    </row>
    <row r="5509" spans="16:16" x14ac:dyDescent="0.35">
      <c r="P5509" s="8"/>
    </row>
    <row r="5510" spans="16:16" x14ac:dyDescent="0.35">
      <c r="P5510" s="8"/>
    </row>
    <row r="5511" spans="16:16" x14ac:dyDescent="0.35">
      <c r="P5511" s="8"/>
    </row>
    <row r="5512" spans="16:16" x14ac:dyDescent="0.35">
      <c r="P5512" s="8"/>
    </row>
    <row r="5513" spans="16:16" x14ac:dyDescent="0.35">
      <c r="P5513" s="8"/>
    </row>
    <row r="5514" spans="16:16" x14ac:dyDescent="0.35">
      <c r="P5514" s="8"/>
    </row>
    <row r="5515" spans="16:16" x14ac:dyDescent="0.35">
      <c r="P5515" s="8"/>
    </row>
    <row r="5516" spans="16:16" x14ac:dyDescent="0.35">
      <c r="P5516" s="8"/>
    </row>
    <row r="5517" spans="16:16" x14ac:dyDescent="0.35">
      <c r="P5517" s="8"/>
    </row>
    <row r="5518" spans="16:16" x14ac:dyDescent="0.35">
      <c r="P5518" s="8"/>
    </row>
    <row r="5519" spans="16:16" x14ac:dyDescent="0.35">
      <c r="P5519" s="8"/>
    </row>
    <row r="5520" spans="16:16" x14ac:dyDescent="0.35">
      <c r="P5520" s="8"/>
    </row>
    <row r="5521" spans="16:16" x14ac:dyDescent="0.35">
      <c r="P5521" s="8"/>
    </row>
    <row r="5522" spans="16:16" x14ac:dyDescent="0.35">
      <c r="P5522" s="8"/>
    </row>
    <row r="5523" spans="16:16" x14ac:dyDescent="0.35">
      <c r="P5523" s="8"/>
    </row>
    <row r="5524" spans="16:16" x14ac:dyDescent="0.35">
      <c r="P5524" s="8"/>
    </row>
    <row r="5525" spans="16:16" x14ac:dyDescent="0.35">
      <c r="P5525" s="8"/>
    </row>
    <row r="5526" spans="16:16" x14ac:dyDescent="0.35">
      <c r="P5526" s="8"/>
    </row>
    <row r="5527" spans="16:16" x14ac:dyDescent="0.35">
      <c r="P5527" s="8"/>
    </row>
    <row r="5528" spans="16:16" x14ac:dyDescent="0.35">
      <c r="P5528" s="8"/>
    </row>
    <row r="5529" spans="16:16" x14ac:dyDescent="0.35">
      <c r="P5529" s="8"/>
    </row>
    <row r="5530" spans="16:16" x14ac:dyDescent="0.35">
      <c r="P5530" s="8"/>
    </row>
    <row r="5531" spans="16:16" x14ac:dyDescent="0.35">
      <c r="P5531" s="8"/>
    </row>
    <row r="5532" spans="16:16" x14ac:dyDescent="0.35">
      <c r="P5532" s="8"/>
    </row>
    <row r="5533" spans="16:16" x14ac:dyDescent="0.35">
      <c r="P5533" s="8"/>
    </row>
    <row r="5534" spans="16:16" x14ac:dyDescent="0.35">
      <c r="P5534" s="8"/>
    </row>
    <row r="5535" spans="16:16" x14ac:dyDescent="0.35">
      <c r="P5535" s="8"/>
    </row>
    <row r="5536" spans="16:16" x14ac:dyDescent="0.35">
      <c r="P5536" s="8"/>
    </row>
    <row r="5537" spans="16:16" x14ac:dyDescent="0.35">
      <c r="P5537" s="8"/>
    </row>
    <row r="5538" spans="16:16" x14ac:dyDescent="0.35">
      <c r="P5538" s="8"/>
    </row>
    <row r="5539" spans="16:16" x14ac:dyDescent="0.35">
      <c r="P5539" s="8"/>
    </row>
    <row r="5540" spans="16:16" x14ac:dyDescent="0.35">
      <c r="P5540" s="8"/>
    </row>
    <row r="5541" spans="16:16" x14ac:dyDescent="0.35">
      <c r="P5541" s="8"/>
    </row>
    <row r="5542" spans="16:16" x14ac:dyDescent="0.35">
      <c r="P5542" s="8"/>
    </row>
    <row r="5543" spans="16:16" x14ac:dyDescent="0.35">
      <c r="P5543" s="8"/>
    </row>
    <row r="5544" spans="16:16" x14ac:dyDescent="0.35">
      <c r="P5544" s="8"/>
    </row>
    <row r="5545" spans="16:16" x14ac:dyDescent="0.35">
      <c r="P5545" s="8"/>
    </row>
    <row r="5546" spans="16:16" x14ac:dyDescent="0.35">
      <c r="P5546" s="8"/>
    </row>
    <row r="5547" spans="16:16" x14ac:dyDescent="0.35">
      <c r="P5547" s="8"/>
    </row>
    <row r="5548" spans="16:16" x14ac:dyDescent="0.35">
      <c r="P5548" s="8"/>
    </row>
    <row r="5549" spans="16:16" x14ac:dyDescent="0.35">
      <c r="P5549" s="8"/>
    </row>
    <row r="5550" spans="16:16" x14ac:dyDescent="0.35">
      <c r="P5550" s="8"/>
    </row>
    <row r="5551" spans="16:16" x14ac:dyDescent="0.35">
      <c r="P5551" s="8"/>
    </row>
    <row r="5552" spans="16:16" x14ac:dyDescent="0.35">
      <c r="P5552" s="8"/>
    </row>
    <row r="5553" spans="16:16" x14ac:dyDescent="0.35">
      <c r="P5553" s="8"/>
    </row>
    <row r="5554" spans="16:16" x14ac:dyDescent="0.35">
      <c r="P5554" s="8"/>
    </row>
    <row r="5555" spans="16:16" x14ac:dyDescent="0.35">
      <c r="P5555" s="8"/>
    </row>
    <row r="5556" spans="16:16" x14ac:dyDescent="0.35">
      <c r="P5556" s="8"/>
    </row>
    <row r="5557" spans="16:16" x14ac:dyDescent="0.35">
      <c r="P5557" s="8"/>
    </row>
    <row r="5558" spans="16:16" x14ac:dyDescent="0.35">
      <c r="P5558" s="8"/>
    </row>
    <row r="5559" spans="16:16" x14ac:dyDescent="0.35">
      <c r="P5559" s="8"/>
    </row>
    <row r="5560" spans="16:16" x14ac:dyDescent="0.35">
      <c r="P5560" s="8"/>
    </row>
    <row r="5561" spans="16:16" x14ac:dyDescent="0.35">
      <c r="P5561" s="8"/>
    </row>
    <row r="5562" spans="16:16" x14ac:dyDescent="0.35">
      <c r="P5562" s="8"/>
    </row>
    <row r="5563" spans="16:16" x14ac:dyDescent="0.35">
      <c r="P5563" s="8"/>
    </row>
    <row r="5564" spans="16:16" x14ac:dyDescent="0.35">
      <c r="P5564" s="8"/>
    </row>
    <row r="5565" spans="16:16" x14ac:dyDescent="0.35">
      <c r="P5565" s="8"/>
    </row>
    <row r="5566" spans="16:16" x14ac:dyDescent="0.35">
      <c r="P5566" s="8"/>
    </row>
    <row r="5567" spans="16:16" x14ac:dyDescent="0.35">
      <c r="P5567" s="8"/>
    </row>
    <row r="5568" spans="16:16" x14ac:dyDescent="0.35">
      <c r="P5568" s="8"/>
    </row>
    <row r="5569" spans="16:16" x14ac:dyDescent="0.35">
      <c r="P5569" s="8"/>
    </row>
    <row r="5570" spans="16:16" x14ac:dyDescent="0.35">
      <c r="P5570" s="8"/>
    </row>
    <row r="5571" spans="16:16" x14ac:dyDescent="0.35">
      <c r="P5571" s="8"/>
    </row>
    <row r="5572" spans="16:16" x14ac:dyDescent="0.35">
      <c r="P5572" s="8"/>
    </row>
    <row r="5573" spans="16:16" x14ac:dyDescent="0.35">
      <c r="P5573" s="8"/>
    </row>
    <row r="5574" spans="16:16" x14ac:dyDescent="0.35">
      <c r="P5574" s="8"/>
    </row>
    <row r="5575" spans="16:16" x14ac:dyDescent="0.35">
      <c r="P5575" s="8"/>
    </row>
    <row r="5576" spans="16:16" x14ac:dyDescent="0.35">
      <c r="P5576" s="8"/>
    </row>
    <row r="5577" spans="16:16" x14ac:dyDescent="0.35">
      <c r="P5577" s="8"/>
    </row>
    <row r="5578" spans="16:16" x14ac:dyDescent="0.35">
      <c r="P5578" s="8"/>
    </row>
    <row r="5579" spans="16:16" x14ac:dyDescent="0.35">
      <c r="P5579" s="8"/>
    </row>
    <row r="5580" spans="16:16" x14ac:dyDescent="0.35">
      <c r="P5580" s="8"/>
    </row>
    <row r="5581" spans="16:16" x14ac:dyDescent="0.35">
      <c r="P5581" s="8"/>
    </row>
    <row r="5582" spans="16:16" x14ac:dyDescent="0.35">
      <c r="P5582" s="8"/>
    </row>
    <row r="5583" spans="16:16" x14ac:dyDescent="0.35">
      <c r="P5583" s="8"/>
    </row>
    <row r="5584" spans="16:16" x14ac:dyDescent="0.35">
      <c r="P5584" s="8"/>
    </row>
    <row r="5585" spans="16:16" x14ac:dyDescent="0.35">
      <c r="P5585" s="8"/>
    </row>
    <row r="5586" spans="16:16" x14ac:dyDescent="0.35">
      <c r="P5586" s="8"/>
    </row>
    <row r="5587" spans="16:16" x14ac:dyDescent="0.35">
      <c r="P5587" s="8"/>
    </row>
    <row r="5588" spans="16:16" x14ac:dyDescent="0.35">
      <c r="P5588" s="8"/>
    </row>
    <row r="5589" spans="16:16" x14ac:dyDescent="0.35">
      <c r="P5589" s="8"/>
    </row>
    <row r="5590" spans="16:16" x14ac:dyDescent="0.35">
      <c r="P5590" s="8"/>
    </row>
    <row r="5591" spans="16:16" x14ac:dyDescent="0.35">
      <c r="P5591" s="8"/>
    </row>
    <row r="5592" spans="16:16" x14ac:dyDescent="0.35">
      <c r="P5592" s="8"/>
    </row>
    <row r="5593" spans="16:16" x14ac:dyDescent="0.35">
      <c r="P5593" s="8"/>
    </row>
    <row r="5594" spans="16:16" x14ac:dyDescent="0.35">
      <c r="P5594" s="8"/>
    </row>
    <row r="5595" spans="16:16" x14ac:dyDescent="0.35">
      <c r="P5595" s="8"/>
    </row>
    <row r="5596" spans="16:16" x14ac:dyDescent="0.35">
      <c r="P5596" s="8"/>
    </row>
    <row r="5597" spans="16:16" x14ac:dyDescent="0.35">
      <c r="P5597" s="8"/>
    </row>
    <row r="5598" spans="16:16" x14ac:dyDescent="0.35">
      <c r="P5598" s="8"/>
    </row>
    <row r="5599" spans="16:16" x14ac:dyDescent="0.35">
      <c r="P5599" s="8"/>
    </row>
    <row r="5600" spans="16:16" x14ac:dyDescent="0.35">
      <c r="P5600" s="8"/>
    </row>
    <row r="5601" spans="16:16" x14ac:dyDescent="0.35">
      <c r="P5601" s="8"/>
    </row>
    <row r="5602" spans="16:16" x14ac:dyDescent="0.35">
      <c r="P5602" s="8"/>
    </row>
    <row r="5603" spans="16:16" x14ac:dyDescent="0.35">
      <c r="P5603" s="8"/>
    </row>
    <row r="5604" spans="16:16" x14ac:dyDescent="0.35">
      <c r="P5604" s="8"/>
    </row>
    <row r="5605" spans="16:16" x14ac:dyDescent="0.35">
      <c r="P5605" s="8"/>
    </row>
    <row r="5606" spans="16:16" x14ac:dyDescent="0.35">
      <c r="P5606" s="8"/>
    </row>
    <row r="5607" spans="16:16" x14ac:dyDescent="0.35">
      <c r="P5607" s="8"/>
    </row>
    <row r="5608" spans="16:16" x14ac:dyDescent="0.35">
      <c r="P5608" s="8"/>
    </row>
    <row r="5609" spans="16:16" x14ac:dyDescent="0.35">
      <c r="P5609" s="8"/>
    </row>
    <row r="5610" spans="16:16" x14ac:dyDescent="0.35">
      <c r="P5610" s="8"/>
    </row>
    <row r="5611" spans="16:16" x14ac:dyDescent="0.35">
      <c r="P5611" s="8"/>
    </row>
    <row r="5612" spans="16:16" x14ac:dyDescent="0.35">
      <c r="P5612" s="8"/>
    </row>
    <row r="5613" spans="16:16" x14ac:dyDescent="0.35">
      <c r="P5613" s="8"/>
    </row>
    <row r="5614" spans="16:16" x14ac:dyDescent="0.35">
      <c r="P5614" s="8"/>
    </row>
    <row r="5615" spans="16:16" x14ac:dyDescent="0.35">
      <c r="P5615" s="8"/>
    </row>
    <row r="5616" spans="16:16" x14ac:dyDescent="0.35">
      <c r="P5616" s="8"/>
    </row>
    <row r="5617" spans="16:16" x14ac:dyDescent="0.35">
      <c r="P5617" s="8"/>
    </row>
    <row r="5618" spans="16:16" x14ac:dyDescent="0.35">
      <c r="P5618" s="8"/>
    </row>
    <row r="5619" spans="16:16" x14ac:dyDescent="0.35">
      <c r="P5619" s="8"/>
    </row>
    <row r="5620" spans="16:16" x14ac:dyDescent="0.35">
      <c r="P5620" s="8"/>
    </row>
    <row r="5621" spans="16:16" x14ac:dyDescent="0.35">
      <c r="P5621" s="8"/>
    </row>
    <row r="5622" spans="16:16" x14ac:dyDescent="0.35">
      <c r="P5622" s="8"/>
    </row>
    <row r="5623" spans="16:16" x14ac:dyDescent="0.35">
      <c r="P5623" s="8"/>
    </row>
    <row r="5624" spans="16:16" x14ac:dyDescent="0.35">
      <c r="P5624" s="8"/>
    </row>
    <row r="5625" spans="16:16" x14ac:dyDescent="0.35">
      <c r="P5625" s="8"/>
    </row>
    <row r="5626" spans="16:16" x14ac:dyDescent="0.35">
      <c r="P5626" s="8"/>
    </row>
    <row r="5627" spans="16:16" x14ac:dyDescent="0.35">
      <c r="P5627" s="8"/>
    </row>
    <row r="5628" spans="16:16" x14ac:dyDescent="0.35">
      <c r="P5628" s="8"/>
    </row>
    <row r="5629" spans="16:16" x14ac:dyDescent="0.35">
      <c r="P5629" s="8"/>
    </row>
    <row r="5630" spans="16:16" x14ac:dyDescent="0.35">
      <c r="P5630" s="8"/>
    </row>
    <row r="5631" spans="16:16" x14ac:dyDescent="0.35">
      <c r="P5631" s="8"/>
    </row>
    <row r="5632" spans="16:16" x14ac:dyDescent="0.35">
      <c r="P5632" s="8"/>
    </row>
    <row r="5633" spans="16:16" x14ac:dyDescent="0.35">
      <c r="P5633" s="8"/>
    </row>
    <row r="5634" spans="16:16" x14ac:dyDescent="0.35">
      <c r="P5634" s="8"/>
    </row>
    <row r="5635" spans="16:16" x14ac:dyDescent="0.35">
      <c r="P5635" s="8"/>
    </row>
    <row r="5636" spans="16:16" x14ac:dyDescent="0.35">
      <c r="P5636" s="8"/>
    </row>
    <row r="5637" spans="16:16" x14ac:dyDescent="0.35">
      <c r="P5637" s="8"/>
    </row>
    <row r="5638" spans="16:16" x14ac:dyDescent="0.35">
      <c r="P5638" s="8"/>
    </row>
    <row r="5639" spans="16:16" x14ac:dyDescent="0.35">
      <c r="P5639" s="8"/>
    </row>
    <row r="5640" spans="16:16" x14ac:dyDescent="0.35">
      <c r="P5640" s="8"/>
    </row>
    <row r="5641" spans="16:16" x14ac:dyDescent="0.35">
      <c r="P5641" s="8"/>
    </row>
    <row r="5642" spans="16:16" x14ac:dyDescent="0.35">
      <c r="P5642" s="8"/>
    </row>
    <row r="5643" spans="16:16" x14ac:dyDescent="0.35">
      <c r="P5643" s="8"/>
    </row>
    <row r="5644" spans="16:16" x14ac:dyDescent="0.35">
      <c r="P5644" s="8"/>
    </row>
    <row r="5645" spans="16:16" x14ac:dyDescent="0.35">
      <c r="P5645" s="8"/>
    </row>
    <row r="5646" spans="16:16" x14ac:dyDescent="0.35">
      <c r="P5646" s="8"/>
    </row>
    <row r="5647" spans="16:16" x14ac:dyDescent="0.35">
      <c r="P5647" s="8"/>
    </row>
    <row r="5648" spans="16:16" x14ac:dyDescent="0.35">
      <c r="P5648" s="8"/>
    </row>
    <row r="5649" spans="16:16" x14ac:dyDescent="0.35">
      <c r="P5649" s="8"/>
    </row>
    <row r="5650" spans="16:16" x14ac:dyDescent="0.35">
      <c r="P5650" s="8"/>
    </row>
    <row r="5651" spans="16:16" x14ac:dyDescent="0.35">
      <c r="P5651" s="8"/>
    </row>
    <row r="5652" spans="16:16" x14ac:dyDescent="0.35">
      <c r="P5652" s="8"/>
    </row>
    <row r="5653" spans="16:16" x14ac:dyDescent="0.35">
      <c r="P5653" s="8"/>
    </row>
    <row r="5654" spans="16:16" x14ac:dyDescent="0.35">
      <c r="P5654" s="8"/>
    </row>
    <row r="5655" spans="16:16" x14ac:dyDescent="0.35">
      <c r="P5655" s="8"/>
    </row>
    <row r="5656" spans="16:16" x14ac:dyDescent="0.35">
      <c r="P5656" s="8"/>
    </row>
    <row r="5657" spans="16:16" x14ac:dyDescent="0.35">
      <c r="P5657" s="8"/>
    </row>
    <row r="5658" spans="16:16" x14ac:dyDescent="0.35">
      <c r="P5658" s="8"/>
    </row>
    <row r="5659" spans="16:16" x14ac:dyDescent="0.35">
      <c r="P5659" s="8"/>
    </row>
    <row r="5660" spans="16:16" x14ac:dyDescent="0.35">
      <c r="P5660" s="8"/>
    </row>
    <row r="5661" spans="16:16" x14ac:dyDescent="0.35">
      <c r="P5661" s="8"/>
    </row>
    <row r="5662" spans="16:16" x14ac:dyDescent="0.35">
      <c r="P5662" s="8"/>
    </row>
    <row r="5663" spans="16:16" x14ac:dyDescent="0.35">
      <c r="P5663" s="8"/>
    </row>
    <row r="5664" spans="16:16" x14ac:dyDescent="0.35">
      <c r="P5664" s="8"/>
    </row>
    <row r="5665" spans="16:16" x14ac:dyDescent="0.35">
      <c r="P5665" s="8"/>
    </row>
    <row r="5666" spans="16:16" x14ac:dyDescent="0.35">
      <c r="P5666" s="8"/>
    </row>
    <row r="5667" spans="16:16" x14ac:dyDescent="0.35">
      <c r="P5667" s="8"/>
    </row>
    <row r="5668" spans="16:16" x14ac:dyDescent="0.35">
      <c r="P5668" s="8"/>
    </row>
    <row r="5669" spans="16:16" x14ac:dyDescent="0.35">
      <c r="P5669" s="8"/>
    </row>
    <row r="5670" spans="16:16" x14ac:dyDescent="0.35">
      <c r="P5670" s="8"/>
    </row>
    <row r="5671" spans="16:16" x14ac:dyDescent="0.35">
      <c r="P5671" s="8"/>
    </row>
    <row r="5672" spans="16:16" x14ac:dyDescent="0.35">
      <c r="P5672" s="8"/>
    </row>
    <row r="5673" spans="16:16" x14ac:dyDescent="0.35">
      <c r="P5673" s="8"/>
    </row>
    <row r="5674" spans="16:16" x14ac:dyDescent="0.35">
      <c r="P5674" s="8"/>
    </row>
    <row r="5675" spans="16:16" x14ac:dyDescent="0.35">
      <c r="P5675" s="8"/>
    </row>
    <row r="5676" spans="16:16" x14ac:dyDescent="0.35">
      <c r="P5676" s="8"/>
    </row>
    <row r="5677" spans="16:16" x14ac:dyDescent="0.35">
      <c r="P5677" s="8"/>
    </row>
    <row r="5678" spans="16:16" x14ac:dyDescent="0.35">
      <c r="P5678" s="8"/>
    </row>
    <row r="5679" spans="16:16" x14ac:dyDescent="0.35">
      <c r="P5679" s="8"/>
    </row>
    <row r="5680" spans="16:16" x14ac:dyDescent="0.35">
      <c r="P5680" s="8"/>
    </row>
    <row r="5681" spans="16:16" x14ac:dyDescent="0.35">
      <c r="P5681" s="8"/>
    </row>
    <row r="5682" spans="16:16" x14ac:dyDescent="0.35">
      <c r="P5682" s="8"/>
    </row>
    <row r="5683" spans="16:16" x14ac:dyDescent="0.35">
      <c r="P5683" s="8"/>
    </row>
    <row r="5684" spans="16:16" x14ac:dyDescent="0.35">
      <c r="P5684" s="8"/>
    </row>
    <row r="5685" spans="16:16" x14ac:dyDescent="0.35">
      <c r="P5685" s="8"/>
    </row>
    <row r="5686" spans="16:16" x14ac:dyDescent="0.35">
      <c r="P5686" s="8"/>
    </row>
    <row r="5687" spans="16:16" x14ac:dyDescent="0.35">
      <c r="P5687" s="8"/>
    </row>
    <row r="5688" spans="16:16" x14ac:dyDescent="0.35">
      <c r="P5688" s="8"/>
    </row>
    <row r="5689" spans="16:16" x14ac:dyDescent="0.35">
      <c r="P5689" s="8"/>
    </row>
    <row r="5690" spans="16:16" x14ac:dyDescent="0.35">
      <c r="P5690" s="8"/>
    </row>
    <row r="5691" spans="16:16" x14ac:dyDescent="0.35">
      <c r="P5691" s="8"/>
    </row>
    <row r="5692" spans="16:16" x14ac:dyDescent="0.35">
      <c r="P5692" s="8"/>
    </row>
    <row r="5693" spans="16:16" x14ac:dyDescent="0.35">
      <c r="P5693" s="8"/>
    </row>
    <row r="5694" spans="16:16" x14ac:dyDescent="0.35">
      <c r="P5694" s="8"/>
    </row>
    <row r="5695" spans="16:16" x14ac:dyDescent="0.35">
      <c r="P5695" s="8"/>
    </row>
    <row r="5696" spans="16:16" x14ac:dyDescent="0.35">
      <c r="P5696" s="8"/>
    </row>
    <row r="5697" spans="16:16" x14ac:dyDescent="0.35">
      <c r="P5697" s="8"/>
    </row>
    <row r="5698" spans="16:16" x14ac:dyDescent="0.35">
      <c r="P5698" s="8"/>
    </row>
    <row r="5699" spans="16:16" x14ac:dyDescent="0.35">
      <c r="P5699" s="8"/>
    </row>
    <row r="5700" spans="16:16" x14ac:dyDescent="0.35">
      <c r="P5700" s="8"/>
    </row>
    <row r="5701" spans="16:16" x14ac:dyDescent="0.35">
      <c r="P5701" s="8"/>
    </row>
    <row r="5702" spans="16:16" x14ac:dyDescent="0.35">
      <c r="P5702" s="8"/>
    </row>
    <row r="5703" spans="16:16" x14ac:dyDescent="0.35">
      <c r="P5703" s="8"/>
    </row>
    <row r="5704" spans="16:16" x14ac:dyDescent="0.35">
      <c r="P5704" s="8"/>
    </row>
    <row r="5705" spans="16:16" x14ac:dyDescent="0.35">
      <c r="P5705" s="8"/>
    </row>
    <row r="5706" spans="16:16" x14ac:dyDescent="0.35">
      <c r="P5706" s="8"/>
    </row>
    <row r="5707" spans="16:16" x14ac:dyDescent="0.35">
      <c r="P5707" s="8"/>
    </row>
    <row r="5708" spans="16:16" x14ac:dyDescent="0.35">
      <c r="P5708" s="8"/>
    </row>
    <row r="5709" spans="16:16" x14ac:dyDescent="0.35">
      <c r="P5709" s="8"/>
    </row>
    <row r="5710" spans="16:16" x14ac:dyDescent="0.35">
      <c r="P5710" s="8"/>
    </row>
    <row r="5711" spans="16:16" x14ac:dyDescent="0.35">
      <c r="P5711" s="8"/>
    </row>
    <row r="5712" spans="16:16" x14ac:dyDescent="0.35">
      <c r="P5712" s="8"/>
    </row>
    <row r="5713" spans="16:16" x14ac:dyDescent="0.35">
      <c r="P5713" s="8"/>
    </row>
    <row r="5714" spans="16:16" x14ac:dyDescent="0.35">
      <c r="P5714" s="8"/>
    </row>
    <row r="5715" spans="16:16" x14ac:dyDescent="0.35">
      <c r="P5715" s="8"/>
    </row>
    <row r="5716" spans="16:16" x14ac:dyDescent="0.35">
      <c r="P5716" s="8"/>
    </row>
    <row r="5717" spans="16:16" x14ac:dyDescent="0.35">
      <c r="P5717" s="8"/>
    </row>
    <row r="5718" spans="16:16" x14ac:dyDescent="0.35">
      <c r="P5718" s="8"/>
    </row>
    <row r="5719" spans="16:16" x14ac:dyDescent="0.35">
      <c r="P5719" s="8"/>
    </row>
    <row r="5720" spans="16:16" x14ac:dyDescent="0.35">
      <c r="P5720" s="8"/>
    </row>
    <row r="5721" spans="16:16" x14ac:dyDescent="0.35">
      <c r="P5721" s="8"/>
    </row>
    <row r="5722" spans="16:16" x14ac:dyDescent="0.35">
      <c r="P5722" s="8"/>
    </row>
    <row r="5723" spans="16:16" x14ac:dyDescent="0.35">
      <c r="P5723" s="8"/>
    </row>
    <row r="5724" spans="16:16" x14ac:dyDescent="0.35">
      <c r="P5724" s="8"/>
    </row>
    <row r="5725" spans="16:16" x14ac:dyDescent="0.35">
      <c r="P5725" s="8"/>
    </row>
    <row r="5726" spans="16:16" x14ac:dyDescent="0.35">
      <c r="P5726" s="8"/>
    </row>
    <row r="5727" spans="16:16" x14ac:dyDescent="0.35">
      <c r="P5727" s="8"/>
    </row>
    <row r="5728" spans="16:16" x14ac:dyDescent="0.35">
      <c r="P5728" s="8"/>
    </row>
    <row r="5729" spans="16:16" x14ac:dyDescent="0.35">
      <c r="P5729" s="8"/>
    </row>
    <row r="5730" spans="16:16" x14ac:dyDescent="0.35">
      <c r="P5730" s="8"/>
    </row>
    <row r="5731" spans="16:16" x14ac:dyDescent="0.35">
      <c r="P5731" s="8"/>
    </row>
    <row r="5732" spans="16:16" x14ac:dyDescent="0.35">
      <c r="P5732" s="8"/>
    </row>
    <row r="5733" spans="16:16" x14ac:dyDescent="0.35">
      <c r="P5733" s="8"/>
    </row>
    <row r="5734" spans="16:16" x14ac:dyDescent="0.35">
      <c r="P5734" s="8"/>
    </row>
    <row r="5735" spans="16:16" x14ac:dyDescent="0.35">
      <c r="P5735" s="8"/>
    </row>
    <row r="5736" spans="16:16" x14ac:dyDescent="0.35">
      <c r="P5736" s="8"/>
    </row>
    <row r="5737" spans="16:16" x14ac:dyDescent="0.35">
      <c r="P5737" s="8"/>
    </row>
    <row r="5738" spans="16:16" x14ac:dyDescent="0.35">
      <c r="P5738" s="8"/>
    </row>
    <row r="5739" spans="16:16" x14ac:dyDescent="0.35">
      <c r="P5739" s="8"/>
    </row>
    <row r="5740" spans="16:16" x14ac:dyDescent="0.35">
      <c r="P5740" s="8"/>
    </row>
    <row r="5741" spans="16:16" x14ac:dyDescent="0.35">
      <c r="P5741" s="8"/>
    </row>
    <row r="5742" spans="16:16" x14ac:dyDescent="0.35">
      <c r="P5742" s="8"/>
    </row>
    <row r="5743" spans="16:16" x14ac:dyDescent="0.35">
      <c r="P5743" s="8"/>
    </row>
    <row r="5744" spans="16:16" x14ac:dyDescent="0.35">
      <c r="P5744" s="8"/>
    </row>
    <row r="5745" spans="16:16" x14ac:dyDescent="0.35">
      <c r="P5745" s="8"/>
    </row>
    <row r="5746" spans="16:16" x14ac:dyDescent="0.35">
      <c r="P5746" s="8"/>
    </row>
    <row r="5747" spans="16:16" x14ac:dyDescent="0.35">
      <c r="P5747" s="8"/>
    </row>
    <row r="5748" spans="16:16" x14ac:dyDescent="0.35">
      <c r="P5748" s="8"/>
    </row>
    <row r="5749" spans="16:16" x14ac:dyDescent="0.35">
      <c r="P5749" s="8"/>
    </row>
    <row r="5750" spans="16:16" x14ac:dyDescent="0.35">
      <c r="P5750" s="8"/>
    </row>
    <row r="5751" spans="16:16" x14ac:dyDescent="0.35">
      <c r="P5751" s="8"/>
    </row>
    <row r="5752" spans="16:16" x14ac:dyDescent="0.35">
      <c r="P5752" s="8"/>
    </row>
    <row r="5753" spans="16:16" x14ac:dyDescent="0.35">
      <c r="P5753" s="8"/>
    </row>
    <row r="5754" spans="16:16" x14ac:dyDescent="0.35">
      <c r="P5754" s="8"/>
    </row>
    <row r="5755" spans="16:16" x14ac:dyDescent="0.35">
      <c r="P5755" s="8"/>
    </row>
    <row r="5756" spans="16:16" x14ac:dyDescent="0.35">
      <c r="P5756" s="8"/>
    </row>
    <row r="5757" spans="16:16" x14ac:dyDescent="0.35">
      <c r="P5757" s="8"/>
    </row>
    <row r="5758" spans="16:16" x14ac:dyDescent="0.35">
      <c r="P5758" s="8"/>
    </row>
    <row r="5759" spans="16:16" x14ac:dyDescent="0.35">
      <c r="P5759" s="8"/>
    </row>
    <row r="5760" spans="16:16" x14ac:dyDescent="0.35">
      <c r="P5760" s="8"/>
    </row>
    <row r="5761" spans="16:16" x14ac:dyDescent="0.35">
      <c r="P5761" s="8"/>
    </row>
    <row r="5762" spans="16:16" x14ac:dyDescent="0.35">
      <c r="P5762" s="8"/>
    </row>
    <row r="5763" spans="16:16" x14ac:dyDescent="0.35">
      <c r="P5763" s="8"/>
    </row>
    <row r="5764" spans="16:16" x14ac:dyDescent="0.35">
      <c r="P5764" s="8"/>
    </row>
    <row r="5765" spans="16:16" x14ac:dyDescent="0.35">
      <c r="P5765" s="8"/>
    </row>
    <row r="5766" spans="16:16" x14ac:dyDescent="0.35">
      <c r="P5766" s="8"/>
    </row>
    <row r="5767" spans="16:16" x14ac:dyDescent="0.35">
      <c r="P5767" s="8"/>
    </row>
    <row r="5768" spans="16:16" x14ac:dyDescent="0.35">
      <c r="P5768" s="8"/>
    </row>
    <row r="5769" spans="16:16" x14ac:dyDescent="0.35">
      <c r="P5769" s="8"/>
    </row>
    <row r="5770" spans="16:16" x14ac:dyDescent="0.35">
      <c r="P5770" s="8"/>
    </row>
    <row r="5771" spans="16:16" x14ac:dyDescent="0.35">
      <c r="P5771" s="8"/>
    </row>
    <row r="5772" spans="16:16" x14ac:dyDescent="0.35">
      <c r="P5772" s="8"/>
    </row>
    <row r="5773" spans="16:16" x14ac:dyDescent="0.35">
      <c r="P5773" s="8"/>
    </row>
    <row r="5774" spans="16:16" x14ac:dyDescent="0.35">
      <c r="P5774" s="8"/>
    </row>
    <row r="5775" spans="16:16" x14ac:dyDescent="0.35">
      <c r="P5775" s="8"/>
    </row>
    <row r="5776" spans="16:16" x14ac:dyDescent="0.35">
      <c r="P5776" s="8"/>
    </row>
    <row r="5777" spans="16:16" x14ac:dyDescent="0.35">
      <c r="P5777" s="8"/>
    </row>
    <row r="5778" spans="16:16" x14ac:dyDescent="0.35">
      <c r="P5778" s="8"/>
    </row>
    <row r="5779" spans="16:16" x14ac:dyDescent="0.35">
      <c r="P5779" s="8"/>
    </row>
    <row r="5780" spans="16:16" x14ac:dyDescent="0.35">
      <c r="P5780" s="8"/>
    </row>
    <row r="5781" spans="16:16" x14ac:dyDescent="0.35">
      <c r="P5781" s="8"/>
    </row>
    <row r="5782" spans="16:16" x14ac:dyDescent="0.35">
      <c r="P5782" s="8"/>
    </row>
    <row r="5783" spans="16:16" x14ac:dyDescent="0.35">
      <c r="P5783" s="8"/>
    </row>
    <row r="5784" spans="16:16" x14ac:dyDescent="0.35">
      <c r="P5784" s="8"/>
    </row>
    <row r="5785" spans="16:16" x14ac:dyDescent="0.35">
      <c r="P5785" s="8"/>
    </row>
    <row r="5786" spans="16:16" x14ac:dyDescent="0.35">
      <c r="P5786" s="8"/>
    </row>
    <row r="5787" spans="16:16" x14ac:dyDescent="0.35">
      <c r="P5787" s="8"/>
    </row>
    <row r="5788" spans="16:16" x14ac:dyDescent="0.35">
      <c r="P5788" s="8"/>
    </row>
    <row r="5789" spans="16:16" x14ac:dyDescent="0.35">
      <c r="P5789" s="8"/>
    </row>
    <row r="5790" spans="16:16" x14ac:dyDescent="0.35">
      <c r="P5790" s="8"/>
    </row>
    <row r="5791" spans="16:16" x14ac:dyDescent="0.35">
      <c r="P5791" s="8"/>
    </row>
    <row r="5792" spans="16:16" x14ac:dyDescent="0.35">
      <c r="P5792" s="8"/>
    </row>
    <row r="5793" spans="16:16" x14ac:dyDescent="0.35">
      <c r="P5793" s="8"/>
    </row>
    <row r="5794" spans="16:16" x14ac:dyDescent="0.35">
      <c r="P5794" s="8"/>
    </row>
    <row r="5795" spans="16:16" x14ac:dyDescent="0.35">
      <c r="P5795" s="8"/>
    </row>
    <row r="5796" spans="16:16" x14ac:dyDescent="0.35">
      <c r="P5796" s="8"/>
    </row>
    <row r="5797" spans="16:16" x14ac:dyDescent="0.35">
      <c r="P5797" s="8"/>
    </row>
    <row r="5798" spans="16:16" x14ac:dyDescent="0.35">
      <c r="P5798" s="8"/>
    </row>
    <row r="5799" spans="16:16" x14ac:dyDescent="0.35">
      <c r="P5799" s="8"/>
    </row>
    <row r="5800" spans="16:16" x14ac:dyDescent="0.35">
      <c r="P5800" s="8"/>
    </row>
    <row r="5801" spans="16:16" x14ac:dyDescent="0.35">
      <c r="P5801" s="8"/>
    </row>
    <row r="5802" spans="16:16" x14ac:dyDescent="0.35">
      <c r="P5802" s="8"/>
    </row>
    <row r="5803" spans="16:16" x14ac:dyDescent="0.35">
      <c r="P5803" s="8"/>
    </row>
    <row r="5804" spans="16:16" x14ac:dyDescent="0.35">
      <c r="P5804" s="8"/>
    </row>
    <row r="5805" spans="16:16" x14ac:dyDescent="0.35">
      <c r="P5805" s="8"/>
    </row>
    <row r="5806" spans="16:16" x14ac:dyDescent="0.35">
      <c r="P5806" s="8"/>
    </row>
    <row r="5807" spans="16:16" x14ac:dyDescent="0.35">
      <c r="P5807" s="8"/>
    </row>
    <row r="5808" spans="16:16" x14ac:dyDescent="0.35">
      <c r="P5808" s="8"/>
    </row>
    <row r="5809" spans="16:16" x14ac:dyDescent="0.35">
      <c r="P5809" s="8"/>
    </row>
    <row r="5810" spans="16:16" x14ac:dyDescent="0.35">
      <c r="P5810" s="8"/>
    </row>
    <row r="5811" spans="16:16" x14ac:dyDescent="0.35">
      <c r="P5811" s="8"/>
    </row>
    <row r="5812" spans="16:16" x14ac:dyDescent="0.35">
      <c r="P5812" s="8"/>
    </row>
    <row r="5813" spans="16:16" x14ac:dyDescent="0.35">
      <c r="P5813" s="8"/>
    </row>
    <row r="5814" spans="16:16" x14ac:dyDescent="0.35">
      <c r="P5814" s="8"/>
    </row>
    <row r="5815" spans="16:16" x14ac:dyDescent="0.35">
      <c r="P5815" s="8"/>
    </row>
    <row r="5816" spans="16:16" x14ac:dyDescent="0.35">
      <c r="P5816" s="8"/>
    </row>
    <row r="5817" spans="16:16" x14ac:dyDescent="0.35">
      <c r="P5817" s="8"/>
    </row>
    <row r="5818" spans="16:16" x14ac:dyDescent="0.35">
      <c r="P5818" s="8"/>
    </row>
    <row r="5819" spans="16:16" x14ac:dyDescent="0.35">
      <c r="P5819" s="8"/>
    </row>
    <row r="5820" spans="16:16" x14ac:dyDescent="0.35">
      <c r="P5820" s="8"/>
    </row>
    <row r="5821" spans="16:16" x14ac:dyDescent="0.35">
      <c r="P5821" s="8"/>
    </row>
    <row r="5822" spans="16:16" x14ac:dyDescent="0.35">
      <c r="P5822" s="8"/>
    </row>
    <row r="5823" spans="16:16" x14ac:dyDescent="0.35">
      <c r="P5823" s="8"/>
    </row>
    <row r="5824" spans="16:16" x14ac:dyDescent="0.35">
      <c r="P5824" s="8"/>
    </row>
    <row r="5825" spans="16:16" x14ac:dyDescent="0.35">
      <c r="P5825" s="8"/>
    </row>
    <row r="5826" spans="16:16" x14ac:dyDescent="0.35">
      <c r="P5826" s="8"/>
    </row>
    <row r="5827" spans="16:16" x14ac:dyDescent="0.35">
      <c r="P5827" s="8"/>
    </row>
    <row r="5828" spans="16:16" x14ac:dyDescent="0.35">
      <c r="P5828" s="8"/>
    </row>
    <row r="5829" spans="16:16" x14ac:dyDescent="0.35">
      <c r="P5829" s="8"/>
    </row>
    <row r="5830" spans="16:16" x14ac:dyDescent="0.35">
      <c r="P5830" s="8"/>
    </row>
    <row r="5831" spans="16:16" x14ac:dyDescent="0.35">
      <c r="P5831" s="8"/>
    </row>
    <row r="5832" spans="16:16" x14ac:dyDescent="0.35">
      <c r="P5832" s="8"/>
    </row>
    <row r="5833" spans="16:16" x14ac:dyDescent="0.35">
      <c r="P5833" s="8"/>
    </row>
    <row r="5834" spans="16:16" x14ac:dyDescent="0.35">
      <c r="P5834" s="8"/>
    </row>
    <row r="5835" spans="16:16" x14ac:dyDescent="0.35">
      <c r="P5835" s="8"/>
    </row>
    <row r="5836" spans="16:16" x14ac:dyDescent="0.35">
      <c r="P5836" s="8"/>
    </row>
    <row r="5837" spans="16:16" x14ac:dyDescent="0.35">
      <c r="P5837" s="8"/>
    </row>
    <row r="5838" spans="16:16" x14ac:dyDescent="0.35">
      <c r="P5838" s="8"/>
    </row>
    <row r="5839" spans="16:16" x14ac:dyDescent="0.35">
      <c r="P5839" s="8"/>
    </row>
    <row r="5840" spans="16:16" x14ac:dyDescent="0.35">
      <c r="P5840" s="8"/>
    </row>
    <row r="5841" spans="16:16" x14ac:dyDescent="0.35">
      <c r="P5841" s="8"/>
    </row>
    <row r="5842" spans="16:16" x14ac:dyDescent="0.35">
      <c r="P5842" s="8"/>
    </row>
    <row r="5843" spans="16:16" x14ac:dyDescent="0.35">
      <c r="P5843" s="8"/>
    </row>
    <row r="5844" spans="16:16" x14ac:dyDescent="0.35">
      <c r="P5844" s="8"/>
    </row>
    <row r="5845" spans="16:16" x14ac:dyDescent="0.35">
      <c r="P5845" s="8"/>
    </row>
    <row r="5846" spans="16:16" x14ac:dyDescent="0.35">
      <c r="P5846" s="8"/>
    </row>
    <row r="5847" spans="16:16" x14ac:dyDescent="0.35">
      <c r="P5847" s="8"/>
    </row>
    <row r="5848" spans="16:16" x14ac:dyDescent="0.35">
      <c r="P5848" s="8"/>
    </row>
    <row r="5849" spans="16:16" x14ac:dyDescent="0.35">
      <c r="P5849" s="8"/>
    </row>
    <row r="5850" spans="16:16" x14ac:dyDescent="0.35">
      <c r="P5850" s="8"/>
    </row>
    <row r="5851" spans="16:16" x14ac:dyDescent="0.35">
      <c r="P5851" s="8"/>
    </row>
    <row r="5852" spans="16:16" x14ac:dyDescent="0.35">
      <c r="P5852" s="8"/>
    </row>
    <row r="5853" spans="16:16" x14ac:dyDescent="0.35">
      <c r="P5853" s="8"/>
    </row>
    <row r="5854" spans="16:16" x14ac:dyDescent="0.35">
      <c r="P5854" s="8"/>
    </row>
    <row r="5855" spans="16:16" x14ac:dyDescent="0.35">
      <c r="P5855" s="8"/>
    </row>
    <row r="5856" spans="16:16" x14ac:dyDescent="0.35">
      <c r="P5856" s="8"/>
    </row>
    <row r="5857" spans="16:16" x14ac:dyDescent="0.35">
      <c r="P5857" s="8"/>
    </row>
    <row r="5858" spans="16:16" x14ac:dyDescent="0.35">
      <c r="P5858" s="8"/>
    </row>
    <row r="5859" spans="16:16" x14ac:dyDescent="0.35">
      <c r="P5859" s="8"/>
    </row>
    <row r="5860" spans="16:16" x14ac:dyDescent="0.35">
      <c r="P5860" s="8"/>
    </row>
    <row r="5861" spans="16:16" x14ac:dyDescent="0.35">
      <c r="P5861" s="8"/>
    </row>
    <row r="5862" spans="16:16" x14ac:dyDescent="0.35">
      <c r="P5862" s="8"/>
    </row>
    <row r="5863" spans="16:16" x14ac:dyDescent="0.35">
      <c r="P5863" s="8"/>
    </row>
    <row r="5864" spans="16:16" x14ac:dyDescent="0.35">
      <c r="P5864" s="8"/>
    </row>
    <row r="5865" spans="16:16" x14ac:dyDescent="0.35">
      <c r="P5865" s="8"/>
    </row>
    <row r="5866" spans="16:16" x14ac:dyDescent="0.35">
      <c r="P5866" s="8"/>
    </row>
    <row r="5867" spans="16:16" x14ac:dyDescent="0.35">
      <c r="P5867" s="8"/>
    </row>
    <row r="5868" spans="16:16" x14ac:dyDescent="0.35">
      <c r="P5868" s="8"/>
    </row>
    <row r="5869" spans="16:16" x14ac:dyDescent="0.35">
      <c r="P5869" s="8"/>
    </row>
    <row r="5870" spans="16:16" x14ac:dyDescent="0.35">
      <c r="P5870" s="8"/>
    </row>
    <row r="5871" spans="16:16" x14ac:dyDescent="0.35">
      <c r="P5871" s="8"/>
    </row>
    <row r="5872" spans="16:16" x14ac:dyDescent="0.35">
      <c r="P5872" s="8"/>
    </row>
    <row r="5873" spans="16:16" x14ac:dyDescent="0.35">
      <c r="P5873" s="8"/>
    </row>
    <row r="5874" spans="16:16" x14ac:dyDescent="0.35">
      <c r="P5874" s="8"/>
    </row>
    <row r="5875" spans="16:16" x14ac:dyDescent="0.35">
      <c r="P5875" s="8"/>
    </row>
    <row r="5876" spans="16:16" x14ac:dyDescent="0.35">
      <c r="P5876" s="8"/>
    </row>
    <row r="5877" spans="16:16" x14ac:dyDescent="0.35">
      <c r="P5877" s="8"/>
    </row>
    <row r="5878" spans="16:16" x14ac:dyDescent="0.35">
      <c r="P5878" s="8"/>
    </row>
    <row r="5879" spans="16:16" x14ac:dyDescent="0.35">
      <c r="P5879" s="8"/>
    </row>
    <row r="5880" spans="16:16" x14ac:dyDescent="0.35">
      <c r="P5880" s="8"/>
    </row>
    <row r="5881" spans="16:16" x14ac:dyDescent="0.35">
      <c r="P5881" s="8"/>
    </row>
    <row r="5882" spans="16:16" x14ac:dyDescent="0.35">
      <c r="P5882" s="8"/>
    </row>
    <row r="5883" spans="16:16" x14ac:dyDescent="0.35">
      <c r="P5883" s="8"/>
    </row>
    <row r="5884" spans="16:16" x14ac:dyDescent="0.35">
      <c r="P5884" s="8"/>
    </row>
    <row r="5885" spans="16:16" x14ac:dyDescent="0.35">
      <c r="P5885" s="8"/>
    </row>
    <row r="5886" spans="16:16" x14ac:dyDescent="0.35">
      <c r="P5886" s="8"/>
    </row>
    <row r="5887" spans="16:16" x14ac:dyDescent="0.35">
      <c r="P5887" s="8"/>
    </row>
    <row r="5888" spans="16:16" x14ac:dyDescent="0.35">
      <c r="P5888" s="8"/>
    </row>
    <row r="5889" spans="16:16" x14ac:dyDescent="0.35">
      <c r="P5889" s="8"/>
    </row>
    <row r="5890" spans="16:16" x14ac:dyDescent="0.35">
      <c r="P5890" s="8"/>
    </row>
    <row r="5891" spans="16:16" x14ac:dyDescent="0.35">
      <c r="P5891" s="8"/>
    </row>
    <row r="5892" spans="16:16" x14ac:dyDescent="0.35">
      <c r="P5892" s="8"/>
    </row>
    <row r="5893" spans="16:16" x14ac:dyDescent="0.35">
      <c r="P5893" s="8"/>
    </row>
    <row r="5894" spans="16:16" x14ac:dyDescent="0.35">
      <c r="P5894" s="8"/>
    </row>
    <row r="5895" spans="16:16" x14ac:dyDescent="0.35">
      <c r="P5895" s="8"/>
    </row>
    <row r="5896" spans="16:16" x14ac:dyDescent="0.35">
      <c r="P5896" s="8"/>
    </row>
    <row r="5897" spans="16:16" x14ac:dyDescent="0.35">
      <c r="P5897" s="8"/>
    </row>
    <row r="5898" spans="16:16" x14ac:dyDescent="0.35">
      <c r="P5898" s="8"/>
    </row>
    <row r="5899" spans="16:16" x14ac:dyDescent="0.35">
      <c r="P5899" s="8"/>
    </row>
    <row r="5900" spans="16:16" x14ac:dyDescent="0.35">
      <c r="P5900" s="8"/>
    </row>
    <row r="5901" spans="16:16" x14ac:dyDescent="0.35">
      <c r="P5901" s="8"/>
    </row>
    <row r="5902" spans="16:16" x14ac:dyDescent="0.35">
      <c r="P5902" s="8"/>
    </row>
    <row r="5903" spans="16:16" x14ac:dyDescent="0.35">
      <c r="P5903" s="8"/>
    </row>
    <row r="5904" spans="16:16" x14ac:dyDescent="0.35">
      <c r="P5904" s="8"/>
    </row>
    <row r="5905" spans="16:16" x14ac:dyDescent="0.35">
      <c r="P5905" s="8"/>
    </row>
    <row r="5906" spans="16:16" x14ac:dyDescent="0.35">
      <c r="P5906" s="8"/>
    </row>
    <row r="5907" spans="16:16" x14ac:dyDescent="0.35">
      <c r="P5907" s="8"/>
    </row>
    <row r="5908" spans="16:16" x14ac:dyDescent="0.35">
      <c r="P5908" s="8"/>
    </row>
    <row r="5909" spans="16:16" x14ac:dyDescent="0.35">
      <c r="P5909" s="8"/>
    </row>
    <row r="5910" spans="16:16" x14ac:dyDescent="0.35">
      <c r="P5910" s="8"/>
    </row>
    <row r="5911" spans="16:16" x14ac:dyDescent="0.35">
      <c r="P5911" s="8"/>
    </row>
    <row r="5912" spans="16:16" x14ac:dyDescent="0.35">
      <c r="P5912" s="8"/>
    </row>
    <row r="5913" spans="16:16" x14ac:dyDescent="0.35">
      <c r="P5913" s="8"/>
    </row>
    <row r="5914" spans="16:16" x14ac:dyDescent="0.35">
      <c r="P5914" s="8"/>
    </row>
    <row r="5915" spans="16:16" x14ac:dyDescent="0.35">
      <c r="P5915" s="8"/>
    </row>
    <row r="5916" spans="16:16" x14ac:dyDescent="0.35">
      <c r="P5916" s="8"/>
    </row>
    <row r="5917" spans="16:16" x14ac:dyDescent="0.35">
      <c r="P5917" s="8"/>
    </row>
    <row r="5918" spans="16:16" x14ac:dyDescent="0.35">
      <c r="P5918" s="8"/>
    </row>
    <row r="5919" spans="16:16" x14ac:dyDescent="0.35">
      <c r="P5919" s="8"/>
    </row>
    <row r="5920" spans="16:16" x14ac:dyDescent="0.35">
      <c r="P5920" s="8"/>
    </row>
    <row r="5921" spans="16:16" x14ac:dyDescent="0.35">
      <c r="P5921" s="8"/>
    </row>
    <row r="5922" spans="16:16" x14ac:dyDescent="0.35">
      <c r="P5922" s="8"/>
    </row>
    <row r="5923" spans="16:16" x14ac:dyDescent="0.35">
      <c r="P5923" s="8"/>
    </row>
    <row r="5924" spans="16:16" x14ac:dyDescent="0.35">
      <c r="P5924" s="8"/>
    </row>
    <row r="5925" spans="16:16" x14ac:dyDescent="0.35">
      <c r="P5925" s="8"/>
    </row>
    <row r="5926" spans="16:16" x14ac:dyDescent="0.35">
      <c r="P5926" s="8"/>
    </row>
    <row r="5927" spans="16:16" x14ac:dyDescent="0.35">
      <c r="P5927" s="8"/>
    </row>
    <row r="5928" spans="16:16" x14ac:dyDescent="0.35">
      <c r="P5928" s="8"/>
    </row>
    <row r="5929" spans="16:16" x14ac:dyDescent="0.35">
      <c r="P5929" s="8"/>
    </row>
    <row r="5930" spans="16:16" x14ac:dyDescent="0.35">
      <c r="P5930" s="8"/>
    </row>
    <row r="5931" spans="16:16" x14ac:dyDescent="0.35">
      <c r="P5931" s="8"/>
    </row>
    <row r="5932" spans="16:16" x14ac:dyDescent="0.35">
      <c r="P5932" s="8"/>
    </row>
    <row r="5933" spans="16:16" x14ac:dyDescent="0.35">
      <c r="P5933" s="8"/>
    </row>
    <row r="5934" spans="16:16" x14ac:dyDescent="0.35">
      <c r="P5934" s="8"/>
    </row>
    <row r="5935" spans="16:16" x14ac:dyDescent="0.35">
      <c r="P5935" s="8"/>
    </row>
    <row r="5936" spans="16:16" x14ac:dyDescent="0.35">
      <c r="P5936" s="8"/>
    </row>
    <row r="5937" spans="16:16" x14ac:dyDescent="0.35">
      <c r="P5937" s="8"/>
    </row>
    <row r="5938" spans="16:16" x14ac:dyDescent="0.35">
      <c r="P5938" s="8"/>
    </row>
    <row r="5939" spans="16:16" x14ac:dyDescent="0.35">
      <c r="P5939" s="8"/>
    </row>
    <row r="5940" spans="16:16" x14ac:dyDescent="0.35">
      <c r="P5940" s="8"/>
    </row>
    <row r="5941" spans="16:16" x14ac:dyDescent="0.35">
      <c r="P5941" s="8"/>
    </row>
    <row r="5942" spans="16:16" x14ac:dyDescent="0.35">
      <c r="P5942" s="8"/>
    </row>
    <row r="5943" spans="16:16" x14ac:dyDescent="0.35">
      <c r="P5943" s="8"/>
    </row>
    <row r="5944" spans="16:16" x14ac:dyDescent="0.35">
      <c r="P5944" s="8"/>
    </row>
    <row r="5945" spans="16:16" x14ac:dyDescent="0.35">
      <c r="P5945" s="8"/>
    </row>
    <row r="5946" spans="16:16" x14ac:dyDescent="0.35">
      <c r="P5946" s="8"/>
    </row>
    <row r="5947" spans="16:16" x14ac:dyDescent="0.35">
      <c r="P5947" s="8"/>
    </row>
    <row r="5948" spans="16:16" x14ac:dyDescent="0.35">
      <c r="P5948" s="8"/>
    </row>
    <row r="5949" spans="16:16" x14ac:dyDescent="0.35">
      <c r="P5949" s="8"/>
    </row>
    <row r="5950" spans="16:16" x14ac:dyDescent="0.35">
      <c r="P5950" s="8"/>
    </row>
    <row r="5951" spans="16:16" x14ac:dyDescent="0.35">
      <c r="P5951" s="8"/>
    </row>
    <row r="5952" spans="16:16" x14ac:dyDescent="0.35">
      <c r="P5952" s="8"/>
    </row>
    <row r="5953" spans="16:16" x14ac:dyDescent="0.35">
      <c r="P5953" s="8"/>
    </row>
    <row r="5954" spans="16:16" x14ac:dyDescent="0.35">
      <c r="P5954" s="8"/>
    </row>
    <row r="5955" spans="16:16" x14ac:dyDescent="0.35">
      <c r="P5955" s="8"/>
    </row>
    <row r="5956" spans="16:16" x14ac:dyDescent="0.35">
      <c r="P5956" s="8"/>
    </row>
    <row r="5957" spans="16:16" x14ac:dyDescent="0.35">
      <c r="P5957" s="8"/>
    </row>
    <row r="5958" spans="16:16" x14ac:dyDescent="0.35">
      <c r="P5958" s="8"/>
    </row>
    <row r="5959" spans="16:16" x14ac:dyDescent="0.35">
      <c r="P5959" s="8"/>
    </row>
    <row r="5960" spans="16:16" x14ac:dyDescent="0.35">
      <c r="P5960" s="8"/>
    </row>
    <row r="5961" spans="16:16" x14ac:dyDescent="0.35">
      <c r="P5961" s="8"/>
    </row>
    <row r="5962" spans="16:16" x14ac:dyDescent="0.35">
      <c r="P5962" s="8"/>
    </row>
    <row r="5963" spans="16:16" x14ac:dyDescent="0.35">
      <c r="P5963" s="8"/>
    </row>
    <row r="5964" spans="16:16" x14ac:dyDescent="0.35">
      <c r="P5964" s="8"/>
    </row>
    <row r="5965" spans="16:16" x14ac:dyDescent="0.35">
      <c r="P5965" s="8"/>
    </row>
    <row r="5966" spans="16:16" x14ac:dyDescent="0.35">
      <c r="P5966" s="8"/>
    </row>
    <row r="5967" spans="16:16" x14ac:dyDescent="0.35">
      <c r="P5967" s="8"/>
    </row>
    <row r="5968" spans="16:16" x14ac:dyDescent="0.35">
      <c r="P5968" s="8"/>
    </row>
    <row r="5969" spans="16:16" x14ac:dyDescent="0.35">
      <c r="P5969" s="8"/>
    </row>
    <row r="5970" spans="16:16" x14ac:dyDescent="0.35">
      <c r="P5970" s="8"/>
    </row>
    <row r="5971" spans="16:16" x14ac:dyDescent="0.35">
      <c r="P5971" s="8"/>
    </row>
    <row r="5972" spans="16:16" x14ac:dyDescent="0.35">
      <c r="P5972" s="8"/>
    </row>
    <row r="5973" spans="16:16" x14ac:dyDescent="0.35">
      <c r="P5973" s="8"/>
    </row>
    <row r="5974" spans="16:16" x14ac:dyDescent="0.35">
      <c r="P5974" s="8"/>
    </row>
    <row r="5975" spans="16:16" x14ac:dyDescent="0.35">
      <c r="P5975" s="8"/>
    </row>
    <row r="5976" spans="16:16" x14ac:dyDescent="0.35">
      <c r="P5976" s="8"/>
    </row>
    <row r="5977" spans="16:16" x14ac:dyDescent="0.35">
      <c r="P5977" s="8"/>
    </row>
    <row r="5978" spans="16:16" x14ac:dyDescent="0.35">
      <c r="P5978" s="8"/>
    </row>
    <row r="5979" spans="16:16" x14ac:dyDescent="0.35">
      <c r="P5979" s="8"/>
    </row>
    <row r="5980" spans="16:16" x14ac:dyDescent="0.35">
      <c r="P5980" s="8"/>
    </row>
    <row r="5981" spans="16:16" x14ac:dyDescent="0.35">
      <c r="P5981" s="8"/>
    </row>
    <row r="5982" spans="16:16" x14ac:dyDescent="0.35">
      <c r="P5982" s="8"/>
    </row>
    <row r="5983" spans="16:16" x14ac:dyDescent="0.35">
      <c r="P5983" s="8"/>
    </row>
    <row r="5984" spans="16:16" x14ac:dyDescent="0.35">
      <c r="P5984" s="8"/>
    </row>
    <row r="5985" spans="16:16" x14ac:dyDescent="0.35">
      <c r="P5985" s="8"/>
    </row>
    <row r="5986" spans="16:16" x14ac:dyDescent="0.35">
      <c r="P5986" s="8"/>
    </row>
    <row r="5987" spans="16:16" x14ac:dyDescent="0.35">
      <c r="P5987" s="8"/>
    </row>
    <row r="5988" spans="16:16" x14ac:dyDescent="0.35">
      <c r="P5988" s="8"/>
    </row>
    <row r="5989" spans="16:16" x14ac:dyDescent="0.35">
      <c r="P5989" s="8"/>
    </row>
    <row r="5990" spans="16:16" x14ac:dyDescent="0.35">
      <c r="P5990" s="8"/>
    </row>
    <row r="5991" spans="16:16" x14ac:dyDescent="0.35">
      <c r="P5991" s="8"/>
    </row>
    <row r="5992" spans="16:16" x14ac:dyDescent="0.35">
      <c r="P5992" s="8"/>
    </row>
    <row r="5993" spans="16:16" x14ac:dyDescent="0.35">
      <c r="P5993" s="8"/>
    </row>
    <row r="5994" spans="16:16" x14ac:dyDescent="0.35">
      <c r="P5994" s="8"/>
    </row>
    <row r="5995" spans="16:16" x14ac:dyDescent="0.35">
      <c r="P5995" s="8"/>
    </row>
    <row r="5996" spans="16:16" x14ac:dyDescent="0.35">
      <c r="P5996" s="8"/>
    </row>
    <row r="5997" spans="16:16" x14ac:dyDescent="0.35">
      <c r="P5997" s="8"/>
    </row>
    <row r="5998" spans="16:16" x14ac:dyDescent="0.35">
      <c r="P5998" s="8"/>
    </row>
    <row r="5999" spans="16:16" x14ac:dyDescent="0.35">
      <c r="P5999" s="8"/>
    </row>
    <row r="6000" spans="16:16" x14ac:dyDescent="0.35">
      <c r="P6000" s="8"/>
    </row>
    <row r="6001" spans="16:16" x14ac:dyDescent="0.35">
      <c r="P6001" s="8"/>
    </row>
    <row r="6002" spans="16:16" x14ac:dyDescent="0.35">
      <c r="P6002" s="8"/>
    </row>
    <row r="6003" spans="16:16" x14ac:dyDescent="0.35">
      <c r="P6003" s="8"/>
    </row>
    <row r="6004" spans="16:16" x14ac:dyDescent="0.35">
      <c r="P6004" s="8"/>
    </row>
    <row r="6005" spans="16:16" x14ac:dyDescent="0.35">
      <c r="P6005" s="8"/>
    </row>
    <row r="6006" spans="16:16" x14ac:dyDescent="0.35">
      <c r="P6006" s="8"/>
    </row>
    <row r="6007" spans="16:16" x14ac:dyDescent="0.35">
      <c r="P6007" s="8"/>
    </row>
    <row r="6008" spans="16:16" x14ac:dyDescent="0.35">
      <c r="P6008" s="8"/>
    </row>
    <row r="6009" spans="16:16" x14ac:dyDescent="0.35">
      <c r="P6009" s="8"/>
    </row>
    <row r="6010" spans="16:16" x14ac:dyDescent="0.35">
      <c r="P6010" s="8"/>
    </row>
    <row r="6011" spans="16:16" x14ac:dyDescent="0.35">
      <c r="P6011" s="8"/>
    </row>
    <row r="6012" spans="16:16" x14ac:dyDescent="0.35">
      <c r="P6012" s="8"/>
    </row>
    <row r="6013" spans="16:16" x14ac:dyDescent="0.35">
      <c r="P6013" s="8"/>
    </row>
    <row r="6014" spans="16:16" x14ac:dyDescent="0.35">
      <c r="P6014" s="8"/>
    </row>
    <row r="6015" spans="16:16" x14ac:dyDescent="0.35">
      <c r="P6015" s="8"/>
    </row>
    <row r="6016" spans="16:16" x14ac:dyDescent="0.35">
      <c r="P6016" s="8"/>
    </row>
    <row r="6017" spans="16:16" x14ac:dyDescent="0.35">
      <c r="P6017" s="8"/>
    </row>
    <row r="6018" spans="16:16" x14ac:dyDescent="0.35">
      <c r="P6018" s="8"/>
    </row>
    <row r="6019" spans="16:16" x14ac:dyDescent="0.35">
      <c r="P6019" s="8"/>
    </row>
    <row r="6020" spans="16:16" x14ac:dyDescent="0.35">
      <c r="P6020" s="8"/>
    </row>
    <row r="6021" spans="16:16" x14ac:dyDescent="0.35">
      <c r="P6021" s="8"/>
    </row>
    <row r="6022" spans="16:16" x14ac:dyDescent="0.35">
      <c r="P6022" s="8"/>
    </row>
    <row r="6023" spans="16:16" x14ac:dyDescent="0.35">
      <c r="P6023" s="8"/>
    </row>
    <row r="6024" spans="16:16" x14ac:dyDescent="0.35">
      <c r="P6024" s="8"/>
    </row>
    <row r="6025" spans="16:16" x14ac:dyDescent="0.35">
      <c r="P6025" s="8"/>
    </row>
    <row r="6026" spans="16:16" x14ac:dyDescent="0.35">
      <c r="P6026" s="8"/>
    </row>
    <row r="6027" spans="16:16" x14ac:dyDescent="0.35">
      <c r="P6027" s="8"/>
    </row>
    <row r="6028" spans="16:16" x14ac:dyDescent="0.35">
      <c r="P6028" s="8"/>
    </row>
    <row r="6029" spans="16:16" x14ac:dyDescent="0.35">
      <c r="P6029" s="8"/>
    </row>
    <row r="6030" spans="16:16" x14ac:dyDescent="0.35">
      <c r="P6030" s="8"/>
    </row>
    <row r="6031" spans="16:16" x14ac:dyDescent="0.35">
      <c r="P6031" s="8"/>
    </row>
    <row r="6032" spans="16:16" x14ac:dyDescent="0.35">
      <c r="P6032" s="8"/>
    </row>
    <row r="6033" spans="16:16" x14ac:dyDescent="0.35">
      <c r="P6033" s="8"/>
    </row>
    <row r="6034" spans="16:16" x14ac:dyDescent="0.35">
      <c r="P6034" s="8"/>
    </row>
    <row r="6035" spans="16:16" x14ac:dyDescent="0.35">
      <c r="P6035" s="8"/>
    </row>
    <row r="6036" spans="16:16" x14ac:dyDescent="0.35">
      <c r="P6036" s="8"/>
    </row>
    <row r="6037" spans="16:16" x14ac:dyDescent="0.35">
      <c r="P6037" s="8"/>
    </row>
    <row r="6038" spans="16:16" x14ac:dyDescent="0.35">
      <c r="P6038" s="8"/>
    </row>
    <row r="6039" spans="16:16" x14ac:dyDescent="0.35">
      <c r="P6039" s="8"/>
    </row>
    <row r="6040" spans="16:16" x14ac:dyDescent="0.35">
      <c r="P6040" s="8"/>
    </row>
    <row r="6041" spans="16:16" x14ac:dyDescent="0.35">
      <c r="P6041" s="8"/>
    </row>
    <row r="6042" spans="16:16" x14ac:dyDescent="0.35">
      <c r="P6042" s="8"/>
    </row>
    <row r="6043" spans="16:16" x14ac:dyDescent="0.35">
      <c r="P6043" s="8"/>
    </row>
    <row r="6044" spans="16:16" x14ac:dyDescent="0.35">
      <c r="P6044" s="8"/>
    </row>
    <row r="6045" spans="16:16" x14ac:dyDescent="0.35">
      <c r="P6045" s="8"/>
    </row>
    <row r="6046" spans="16:16" x14ac:dyDescent="0.35">
      <c r="P6046" s="8"/>
    </row>
    <row r="6047" spans="16:16" x14ac:dyDescent="0.35">
      <c r="P6047" s="8"/>
    </row>
    <row r="6048" spans="16:16" x14ac:dyDescent="0.35">
      <c r="P6048" s="8"/>
    </row>
    <row r="6049" spans="16:16" x14ac:dyDescent="0.35">
      <c r="P6049" s="8"/>
    </row>
    <row r="6050" spans="16:16" x14ac:dyDescent="0.35">
      <c r="P6050" s="8"/>
    </row>
    <row r="6051" spans="16:16" x14ac:dyDescent="0.35">
      <c r="P6051" s="8"/>
    </row>
    <row r="6052" spans="16:16" x14ac:dyDescent="0.35">
      <c r="P6052" s="8"/>
    </row>
    <row r="6053" spans="16:16" x14ac:dyDescent="0.35">
      <c r="P6053" s="8"/>
    </row>
    <row r="6054" spans="16:16" x14ac:dyDescent="0.35">
      <c r="P6054" s="8"/>
    </row>
    <row r="6055" spans="16:16" x14ac:dyDescent="0.35">
      <c r="P6055" s="8"/>
    </row>
    <row r="6056" spans="16:16" x14ac:dyDescent="0.35">
      <c r="P6056" s="8"/>
    </row>
    <row r="6057" spans="16:16" x14ac:dyDescent="0.35">
      <c r="P6057" s="8"/>
    </row>
    <row r="6058" spans="16:16" x14ac:dyDescent="0.35">
      <c r="P6058" s="8"/>
    </row>
    <row r="6059" spans="16:16" x14ac:dyDescent="0.35">
      <c r="P6059" s="8"/>
    </row>
    <row r="6060" spans="16:16" x14ac:dyDescent="0.35">
      <c r="P6060" s="8"/>
    </row>
    <row r="6061" spans="16:16" x14ac:dyDescent="0.35">
      <c r="P6061" s="8"/>
    </row>
    <row r="6062" spans="16:16" x14ac:dyDescent="0.35">
      <c r="P6062" s="8"/>
    </row>
    <row r="6063" spans="16:16" x14ac:dyDescent="0.35">
      <c r="P6063" s="8"/>
    </row>
    <row r="6064" spans="16:16" x14ac:dyDescent="0.35">
      <c r="P6064" s="8"/>
    </row>
    <row r="6065" spans="16:16" x14ac:dyDescent="0.35">
      <c r="P6065" s="8"/>
    </row>
    <row r="6066" spans="16:16" x14ac:dyDescent="0.35">
      <c r="P6066" s="8"/>
    </row>
    <row r="6067" spans="16:16" x14ac:dyDescent="0.35">
      <c r="P6067" s="8"/>
    </row>
    <row r="6068" spans="16:16" x14ac:dyDescent="0.35">
      <c r="P6068" s="8"/>
    </row>
    <row r="6069" spans="16:16" x14ac:dyDescent="0.35">
      <c r="P6069" s="8"/>
    </row>
    <row r="6070" spans="16:16" x14ac:dyDescent="0.35">
      <c r="P6070" s="8"/>
    </row>
    <row r="6071" spans="16:16" x14ac:dyDescent="0.35">
      <c r="P6071" s="8"/>
    </row>
    <row r="6072" spans="16:16" x14ac:dyDescent="0.35">
      <c r="P6072" s="8"/>
    </row>
    <row r="6073" spans="16:16" x14ac:dyDescent="0.35">
      <c r="P6073" s="8"/>
    </row>
    <row r="6074" spans="16:16" x14ac:dyDescent="0.35">
      <c r="P6074" s="8"/>
    </row>
    <row r="6075" spans="16:16" x14ac:dyDescent="0.35">
      <c r="P6075" s="8"/>
    </row>
    <row r="6076" spans="16:16" x14ac:dyDescent="0.35">
      <c r="P6076" s="8"/>
    </row>
    <row r="6077" spans="16:16" x14ac:dyDescent="0.35">
      <c r="P6077" s="8"/>
    </row>
    <row r="6078" spans="16:16" x14ac:dyDescent="0.35">
      <c r="P6078" s="8"/>
    </row>
    <row r="6079" spans="16:16" x14ac:dyDescent="0.35">
      <c r="P6079" s="8"/>
    </row>
    <row r="6080" spans="16:16" x14ac:dyDescent="0.35">
      <c r="P6080" s="8"/>
    </row>
    <row r="6081" spans="16:16" x14ac:dyDescent="0.35">
      <c r="P6081" s="8"/>
    </row>
    <row r="6082" spans="16:16" x14ac:dyDescent="0.35">
      <c r="P6082" s="8"/>
    </row>
    <row r="6083" spans="16:16" x14ac:dyDescent="0.35">
      <c r="P6083" s="8"/>
    </row>
    <row r="6084" spans="16:16" x14ac:dyDescent="0.35">
      <c r="P6084" s="8"/>
    </row>
    <row r="6085" spans="16:16" x14ac:dyDescent="0.35">
      <c r="P6085" s="8"/>
    </row>
    <row r="6086" spans="16:16" x14ac:dyDescent="0.35">
      <c r="P6086" s="8"/>
    </row>
    <row r="6087" spans="16:16" x14ac:dyDescent="0.35">
      <c r="P6087" s="8"/>
    </row>
    <row r="6088" spans="16:16" x14ac:dyDescent="0.35">
      <c r="P6088" s="8"/>
    </row>
    <row r="6089" spans="16:16" x14ac:dyDescent="0.35">
      <c r="P6089" s="8"/>
    </row>
    <row r="6090" spans="16:16" x14ac:dyDescent="0.35">
      <c r="P6090" s="8"/>
    </row>
    <row r="6091" spans="16:16" x14ac:dyDescent="0.35">
      <c r="P6091" s="8"/>
    </row>
    <row r="6092" spans="16:16" x14ac:dyDescent="0.35">
      <c r="P6092" s="8"/>
    </row>
    <row r="6093" spans="16:16" x14ac:dyDescent="0.35">
      <c r="P6093" s="8"/>
    </row>
    <row r="6094" spans="16:16" x14ac:dyDescent="0.35">
      <c r="P6094" s="8"/>
    </row>
    <row r="6095" spans="16:16" x14ac:dyDescent="0.35">
      <c r="P6095" s="8"/>
    </row>
    <row r="6096" spans="16:16" x14ac:dyDescent="0.35">
      <c r="P6096" s="8"/>
    </row>
    <row r="6097" spans="16:16" x14ac:dyDescent="0.35">
      <c r="P6097" s="8"/>
    </row>
    <row r="6098" spans="16:16" x14ac:dyDescent="0.35">
      <c r="P6098" s="8"/>
    </row>
    <row r="6099" spans="16:16" x14ac:dyDescent="0.35">
      <c r="P6099" s="8"/>
    </row>
    <row r="6100" spans="16:16" x14ac:dyDescent="0.35">
      <c r="P6100" s="8"/>
    </row>
    <row r="6101" spans="16:16" x14ac:dyDescent="0.35">
      <c r="P6101" s="8"/>
    </row>
    <row r="6102" spans="16:16" x14ac:dyDescent="0.35">
      <c r="P6102" s="8"/>
    </row>
    <row r="6103" spans="16:16" x14ac:dyDescent="0.35">
      <c r="P6103" s="8"/>
    </row>
    <row r="6104" spans="16:16" x14ac:dyDescent="0.35">
      <c r="P6104" s="8"/>
    </row>
    <row r="6105" spans="16:16" x14ac:dyDescent="0.35">
      <c r="P6105" s="8"/>
    </row>
    <row r="6106" spans="16:16" x14ac:dyDescent="0.35">
      <c r="P6106" s="8"/>
    </row>
    <row r="6107" spans="16:16" x14ac:dyDescent="0.35">
      <c r="P6107" s="8"/>
    </row>
    <row r="6108" spans="16:16" x14ac:dyDescent="0.35">
      <c r="P6108" s="8"/>
    </row>
    <row r="6109" spans="16:16" x14ac:dyDescent="0.35">
      <c r="P6109" s="8"/>
    </row>
    <row r="6110" spans="16:16" x14ac:dyDescent="0.35">
      <c r="P6110" s="8"/>
    </row>
    <row r="6111" spans="16:16" x14ac:dyDescent="0.35">
      <c r="P6111" s="8"/>
    </row>
    <row r="6112" spans="16:16" x14ac:dyDescent="0.35">
      <c r="P6112" s="8"/>
    </row>
    <row r="6113" spans="16:16" x14ac:dyDescent="0.35">
      <c r="P6113" s="8"/>
    </row>
    <row r="6114" spans="16:16" x14ac:dyDescent="0.35">
      <c r="P6114" s="8"/>
    </row>
    <row r="6115" spans="16:16" x14ac:dyDescent="0.35">
      <c r="P6115" s="8"/>
    </row>
    <row r="6116" spans="16:16" x14ac:dyDescent="0.35">
      <c r="P6116" s="8"/>
    </row>
    <row r="6117" spans="16:16" x14ac:dyDescent="0.35">
      <c r="P6117" s="8"/>
    </row>
    <row r="6118" spans="16:16" x14ac:dyDescent="0.35">
      <c r="P6118" s="8"/>
    </row>
    <row r="6119" spans="16:16" x14ac:dyDescent="0.35">
      <c r="P6119" s="8"/>
    </row>
    <row r="6120" spans="16:16" x14ac:dyDescent="0.35">
      <c r="P6120" s="8"/>
    </row>
    <row r="6121" spans="16:16" x14ac:dyDescent="0.35">
      <c r="P6121" s="8"/>
    </row>
    <row r="6122" spans="16:16" x14ac:dyDescent="0.35">
      <c r="P6122" s="8"/>
    </row>
    <row r="6123" spans="16:16" x14ac:dyDescent="0.35">
      <c r="P6123" s="8"/>
    </row>
    <row r="6124" spans="16:16" x14ac:dyDescent="0.35">
      <c r="P6124" s="8"/>
    </row>
    <row r="6125" spans="16:16" x14ac:dyDescent="0.35">
      <c r="P6125" s="8"/>
    </row>
    <row r="6126" spans="16:16" x14ac:dyDescent="0.35">
      <c r="P6126" s="8"/>
    </row>
    <row r="6127" spans="16:16" x14ac:dyDescent="0.35">
      <c r="P6127" s="8"/>
    </row>
    <row r="6128" spans="16:16" x14ac:dyDescent="0.35">
      <c r="P6128" s="8"/>
    </row>
    <row r="6129" spans="16:16" x14ac:dyDescent="0.35">
      <c r="P6129" s="8"/>
    </row>
    <row r="6130" spans="16:16" x14ac:dyDescent="0.35">
      <c r="P6130" s="8"/>
    </row>
    <row r="6131" spans="16:16" x14ac:dyDescent="0.35">
      <c r="P6131" s="8"/>
    </row>
    <row r="6132" spans="16:16" x14ac:dyDescent="0.35">
      <c r="P6132" s="8"/>
    </row>
    <row r="6133" spans="16:16" x14ac:dyDescent="0.35">
      <c r="P6133" s="8"/>
    </row>
    <row r="6134" spans="16:16" x14ac:dyDescent="0.35">
      <c r="P6134" s="8"/>
    </row>
    <row r="6135" spans="16:16" x14ac:dyDescent="0.35">
      <c r="P6135" s="8"/>
    </row>
    <row r="6136" spans="16:16" x14ac:dyDescent="0.35">
      <c r="P6136" s="8"/>
    </row>
    <row r="6137" spans="16:16" x14ac:dyDescent="0.35">
      <c r="P6137" s="8"/>
    </row>
    <row r="6138" spans="16:16" x14ac:dyDescent="0.35">
      <c r="P6138" s="8"/>
    </row>
    <row r="6139" spans="16:16" x14ac:dyDescent="0.35">
      <c r="P6139" s="8"/>
    </row>
    <row r="6140" spans="16:16" x14ac:dyDescent="0.35">
      <c r="P6140" s="8"/>
    </row>
    <row r="6141" spans="16:16" x14ac:dyDescent="0.35">
      <c r="P6141" s="8"/>
    </row>
    <row r="6142" spans="16:16" x14ac:dyDescent="0.35">
      <c r="P6142" s="8"/>
    </row>
    <row r="6143" spans="16:16" x14ac:dyDescent="0.35">
      <c r="P6143" s="8"/>
    </row>
    <row r="6144" spans="16:16" x14ac:dyDescent="0.35">
      <c r="P6144" s="8"/>
    </row>
    <row r="6145" spans="16:16" x14ac:dyDescent="0.35">
      <c r="P6145" s="8"/>
    </row>
    <row r="6146" spans="16:16" x14ac:dyDescent="0.35">
      <c r="P6146" s="8"/>
    </row>
    <row r="6147" spans="16:16" x14ac:dyDescent="0.35">
      <c r="P6147" s="8"/>
    </row>
    <row r="6148" spans="16:16" x14ac:dyDescent="0.35">
      <c r="P6148" s="8"/>
    </row>
    <row r="6149" spans="16:16" x14ac:dyDescent="0.35">
      <c r="P6149" s="8"/>
    </row>
    <row r="6150" spans="16:16" x14ac:dyDescent="0.35">
      <c r="P6150" s="8"/>
    </row>
    <row r="6151" spans="16:16" x14ac:dyDescent="0.35">
      <c r="P6151" s="8"/>
    </row>
    <row r="6152" spans="16:16" x14ac:dyDescent="0.35">
      <c r="P6152" s="8"/>
    </row>
    <row r="6153" spans="16:16" x14ac:dyDescent="0.35">
      <c r="P6153" s="8"/>
    </row>
    <row r="6154" spans="16:16" x14ac:dyDescent="0.35">
      <c r="P6154" s="8"/>
    </row>
    <row r="6155" spans="16:16" x14ac:dyDescent="0.35">
      <c r="P6155" s="8"/>
    </row>
    <row r="6156" spans="16:16" x14ac:dyDescent="0.35">
      <c r="P6156" s="8"/>
    </row>
    <row r="6157" spans="16:16" x14ac:dyDescent="0.35">
      <c r="P6157" s="8"/>
    </row>
    <row r="6158" spans="16:16" x14ac:dyDescent="0.35">
      <c r="P6158" s="8"/>
    </row>
    <row r="6159" spans="16:16" x14ac:dyDescent="0.35">
      <c r="P6159" s="8"/>
    </row>
    <row r="6160" spans="16:16" x14ac:dyDescent="0.35">
      <c r="P6160" s="8"/>
    </row>
    <row r="6161" spans="16:16" x14ac:dyDescent="0.35">
      <c r="P6161" s="8"/>
    </row>
    <row r="6162" spans="16:16" x14ac:dyDescent="0.35">
      <c r="P6162" s="8"/>
    </row>
    <row r="6163" spans="16:16" x14ac:dyDescent="0.35">
      <c r="P6163" s="8"/>
    </row>
    <row r="6164" spans="16:16" x14ac:dyDescent="0.35">
      <c r="P6164" s="8"/>
    </row>
    <row r="6165" spans="16:16" x14ac:dyDescent="0.35">
      <c r="P6165" s="8"/>
    </row>
    <row r="6166" spans="16:16" x14ac:dyDescent="0.35">
      <c r="P6166" s="8"/>
    </row>
    <row r="6167" spans="16:16" x14ac:dyDescent="0.35">
      <c r="P6167" s="8"/>
    </row>
    <row r="6168" spans="16:16" x14ac:dyDescent="0.35">
      <c r="P6168" s="8"/>
    </row>
    <row r="6169" spans="16:16" x14ac:dyDescent="0.35">
      <c r="P6169" s="8"/>
    </row>
    <row r="6170" spans="16:16" x14ac:dyDescent="0.35">
      <c r="P6170" s="8"/>
    </row>
    <row r="6171" spans="16:16" x14ac:dyDescent="0.35">
      <c r="P6171" s="8"/>
    </row>
    <row r="6172" spans="16:16" x14ac:dyDescent="0.35">
      <c r="P6172" s="8"/>
    </row>
    <row r="6173" spans="16:16" x14ac:dyDescent="0.35">
      <c r="P6173" s="8"/>
    </row>
    <row r="6174" spans="16:16" x14ac:dyDescent="0.35">
      <c r="P6174" s="8"/>
    </row>
    <row r="6175" spans="16:16" x14ac:dyDescent="0.35">
      <c r="P6175" s="8"/>
    </row>
    <row r="6176" spans="16:16" x14ac:dyDescent="0.35">
      <c r="P6176" s="8"/>
    </row>
    <row r="6177" spans="16:16" x14ac:dyDescent="0.35">
      <c r="P6177" s="8"/>
    </row>
    <row r="6178" spans="16:16" x14ac:dyDescent="0.35">
      <c r="P6178" s="8"/>
    </row>
    <row r="6179" spans="16:16" x14ac:dyDescent="0.35">
      <c r="P6179" s="8"/>
    </row>
    <row r="6180" spans="16:16" x14ac:dyDescent="0.35">
      <c r="P6180" s="8"/>
    </row>
    <row r="6181" spans="16:16" x14ac:dyDescent="0.35">
      <c r="P6181" s="8"/>
    </row>
    <row r="6182" spans="16:16" x14ac:dyDescent="0.35">
      <c r="P6182" s="8"/>
    </row>
    <row r="6183" spans="16:16" x14ac:dyDescent="0.35">
      <c r="P6183" s="8"/>
    </row>
    <row r="6184" spans="16:16" x14ac:dyDescent="0.35">
      <c r="P6184" s="8"/>
    </row>
    <row r="6185" spans="16:16" x14ac:dyDescent="0.35">
      <c r="P6185" s="8"/>
    </row>
    <row r="6186" spans="16:16" x14ac:dyDescent="0.35">
      <c r="P6186" s="8"/>
    </row>
    <row r="6187" spans="16:16" x14ac:dyDescent="0.35">
      <c r="P6187" s="8"/>
    </row>
    <row r="6188" spans="16:16" x14ac:dyDescent="0.35">
      <c r="P6188" s="8"/>
    </row>
    <row r="6189" spans="16:16" x14ac:dyDescent="0.35">
      <c r="P6189" s="8"/>
    </row>
    <row r="6190" spans="16:16" x14ac:dyDescent="0.35">
      <c r="P6190" s="8"/>
    </row>
    <row r="6191" spans="16:16" x14ac:dyDescent="0.35">
      <c r="P6191" s="8"/>
    </row>
    <row r="6192" spans="16:16" x14ac:dyDescent="0.35">
      <c r="P6192" s="8"/>
    </row>
    <row r="6193" spans="16:16" x14ac:dyDescent="0.35">
      <c r="P6193" s="8"/>
    </row>
    <row r="6194" spans="16:16" x14ac:dyDescent="0.35">
      <c r="P6194" s="8"/>
    </row>
    <row r="6195" spans="16:16" x14ac:dyDescent="0.35">
      <c r="P6195" s="8"/>
    </row>
    <row r="6196" spans="16:16" x14ac:dyDescent="0.35">
      <c r="P6196" s="8"/>
    </row>
    <row r="6197" spans="16:16" x14ac:dyDescent="0.35">
      <c r="P6197" s="8"/>
    </row>
    <row r="6198" spans="16:16" x14ac:dyDescent="0.35">
      <c r="P6198" s="8"/>
    </row>
    <row r="6199" spans="16:16" x14ac:dyDescent="0.35">
      <c r="P6199" s="8"/>
    </row>
    <row r="6200" spans="16:16" x14ac:dyDescent="0.35">
      <c r="P6200" s="8"/>
    </row>
    <row r="6201" spans="16:16" x14ac:dyDescent="0.35">
      <c r="P6201" s="8"/>
    </row>
    <row r="6202" spans="16:16" x14ac:dyDescent="0.35">
      <c r="P6202" s="8"/>
    </row>
    <row r="6203" spans="16:16" x14ac:dyDescent="0.35">
      <c r="P6203" s="8"/>
    </row>
    <row r="6204" spans="16:16" x14ac:dyDescent="0.35">
      <c r="P6204" s="8"/>
    </row>
    <row r="6205" spans="16:16" x14ac:dyDescent="0.35">
      <c r="P6205" s="8"/>
    </row>
    <row r="6206" spans="16:16" x14ac:dyDescent="0.35">
      <c r="P6206" s="8"/>
    </row>
    <row r="6207" spans="16:16" x14ac:dyDescent="0.35">
      <c r="P6207" s="8"/>
    </row>
    <row r="6208" spans="16:16" x14ac:dyDescent="0.35">
      <c r="P6208" s="8"/>
    </row>
    <row r="6209" spans="16:16" x14ac:dyDescent="0.35">
      <c r="P6209" s="8"/>
    </row>
    <row r="6210" spans="16:16" x14ac:dyDescent="0.35">
      <c r="P6210" s="8"/>
    </row>
    <row r="6211" spans="16:16" x14ac:dyDescent="0.35">
      <c r="P6211" s="8"/>
    </row>
    <row r="6212" spans="16:16" x14ac:dyDescent="0.35">
      <c r="P6212" s="8"/>
    </row>
    <row r="6213" spans="16:16" x14ac:dyDescent="0.35">
      <c r="P6213" s="8"/>
    </row>
    <row r="6214" spans="16:16" x14ac:dyDescent="0.35">
      <c r="P6214" s="8"/>
    </row>
    <row r="6215" spans="16:16" x14ac:dyDescent="0.35">
      <c r="P6215" s="8"/>
    </row>
    <row r="6216" spans="16:16" x14ac:dyDescent="0.35">
      <c r="P6216" s="8"/>
    </row>
    <row r="6217" spans="16:16" x14ac:dyDescent="0.35">
      <c r="P6217" s="8"/>
    </row>
    <row r="6218" spans="16:16" x14ac:dyDescent="0.35">
      <c r="P6218" s="8"/>
    </row>
    <row r="6219" spans="16:16" x14ac:dyDescent="0.35">
      <c r="P6219" s="8"/>
    </row>
    <row r="6220" spans="16:16" x14ac:dyDescent="0.35">
      <c r="P6220" s="8"/>
    </row>
    <row r="6221" spans="16:16" x14ac:dyDescent="0.35">
      <c r="P6221" s="8"/>
    </row>
    <row r="6222" spans="16:16" x14ac:dyDescent="0.35">
      <c r="P6222" s="8"/>
    </row>
    <row r="6223" spans="16:16" x14ac:dyDescent="0.35">
      <c r="P6223" s="8"/>
    </row>
    <row r="6224" spans="16:16" x14ac:dyDescent="0.35">
      <c r="P6224" s="8"/>
    </row>
    <row r="6225" spans="16:16" x14ac:dyDescent="0.35">
      <c r="P6225" s="8"/>
    </row>
    <row r="6226" spans="16:16" x14ac:dyDescent="0.35">
      <c r="P6226" s="8"/>
    </row>
    <row r="6227" spans="16:16" x14ac:dyDescent="0.35">
      <c r="P6227" s="8"/>
    </row>
    <row r="6228" spans="16:16" x14ac:dyDescent="0.35">
      <c r="P6228" s="8"/>
    </row>
    <row r="6229" spans="16:16" x14ac:dyDescent="0.35">
      <c r="P6229" s="8"/>
    </row>
    <row r="6230" spans="16:16" x14ac:dyDescent="0.35">
      <c r="P6230" s="8"/>
    </row>
    <row r="6231" spans="16:16" x14ac:dyDescent="0.35">
      <c r="P6231" s="8"/>
    </row>
    <row r="6232" spans="16:16" x14ac:dyDescent="0.35">
      <c r="P6232" s="8"/>
    </row>
    <row r="6233" spans="16:16" x14ac:dyDescent="0.35">
      <c r="P6233" s="8"/>
    </row>
    <row r="6234" spans="16:16" x14ac:dyDescent="0.35">
      <c r="P6234" s="8"/>
    </row>
    <row r="6235" spans="16:16" x14ac:dyDescent="0.35">
      <c r="P6235" s="8"/>
    </row>
    <row r="6236" spans="16:16" x14ac:dyDescent="0.35">
      <c r="P6236" s="8"/>
    </row>
    <row r="6237" spans="16:16" x14ac:dyDescent="0.35">
      <c r="P6237" s="8"/>
    </row>
    <row r="6238" spans="16:16" x14ac:dyDescent="0.35">
      <c r="P6238" s="8"/>
    </row>
    <row r="6239" spans="16:16" x14ac:dyDescent="0.35">
      <c r="P6239" s="8"/>
    </row>
    <row r="6240" spans="16:16" x14ac:dyDescent="0.35">
      <c r="P6240" s="8"/>
    </row>
    <row r="6241" spans="16:16" x14ac:dyDescent="0.35">
      <c r="P6241" s="8"/>
    </row>
    <row r="6242" spans="16:16" x14ac:dyDescent="0.35">
      <c r="P6242" s="8"/>
    </row>
    <row r="6243" spans="16:16" x14ac:dyDescent="0.35">
      <c r="P6243" s="8"/>
    </row>
    <row r="6244" spans="16:16" x14ac:dyDescent="0.35">
      <c r="P6244" s="8"/>
    </row>
    <row r="6245" spans="16:16" x14ac:dyDescent="0.35">
      <c r="P6245" s="8"/>
    </row>
    <row r="6246" spans="16:16" x14ac:dyDescent="0.35">
      <c r="P6246" s="8"/>
    </row>
    <row r="6247" spans="16:16" x14ac:dyDescent="0.35">
      <c r="P6247" s="8"/>
    </row>
    <row r="6248" spans="16:16" x14ac:dyDescent="0.35">
      <c r="P6248" s="8"/>
    </row>
    <row r="6249" spans="16:16" x14ac:dyDescent="0.35">
      <c r="P6249" s="8"/>
    </row>
    <row r="6250" spans="16:16" x14ac:dyDescent="0.35">
      <c r="P6250" s="8"/>
    </row>
    <row r="6251" spans="16:16" x14ac:dyDescent="0.35">
      <c r="P6251" s="8"/>
    </row>
    <row r="6252" spans="16:16" x14ac:dyDescent="0.35">
      <c r="P6252" s="8"/>
    </row>
    <row r="6253" spans="16:16" x14ac:dyDescent="0.35">
      <c r="P6253" s="8"/>
    </row>
    <row r="6254" spans="16:16" x14ac:dyDescent="0.35">
      <c r="P6254" s="8"/>
    </row>
    <row r="6255" spans="16:16" x14ac:dyDescent="0.35">
      <c r="P6255" s="8"/>
    </row>
    <row r="6256" spans="16:16" x14ac:dyDescent="0.35">
      <c r="P6256" s="8"/>
    </row>
    <row r="6257" spans="16:16" x14ac:dyDescent="0.35">
      <c r="P6257" s="8"/>
    </row>
    <row r="6258" spans="16:16" x14ac:dyDescent="0.35">
      <c r="P6258" s="8"/>
    </row>
    <row r="6259" spans="16:16" x14ac:dyDescent="0.35">
      <c r="P6259" s="8"/>
    </row>
    <row r="6260" spans="16:16" x14ac:dyDescent="0.35">
      <c r="P6260" s="8"/>
    </row>
    <row r="6261" spans="16:16" x14ac:dyDescent="0.35">
      <c r="P6261" s="8"/>
    </row>
    <row r="6262" spans="16:16" x14ac:dyDescent="0.35">
      <c r="P6262" s="8"/>
    </row>
    <row r="6263" spans="16:16" x14ac:dyDescent="0.35">
      <c r="P6263" s="8"/>
    </row>
    <row r="6264" spans="16:16" x14ac:dyDescent="0.35">
      <c r="P6264" s="8"/>
    </row>
    <row r="6265" spans="16:16" x14ac:dyDescent="0.35">
      <c r="P6265" s="8"/>
    </row>
    <row r="6266" spans="16:16" x14ac:dyDescent="0.35">
      <c r="P6266" s="8"/>
    </row>
    <row r="6267" spans="16:16" x14ac:dyDescent="0.35">
      <c r="P6267" s="8"/>
    </row>
    <row r="6268" spans="16:16" x14ac:dyDescent="0.35">
      <c r="P6268" s="8"/>
    </row>
    <row r="6269" spans="16:16" x14ac:dyDescent="0.35">
      <c r="P6269" s="8"/>
    </row>
    <row r="6270" spans="16:16" x14ac:dyDescent="0.35">
      <c r="P6270" s="8"/>
    </row>
    <row r="6271" spans="16:16" x14ac:dyDescent="0.35">
      <c r="P6271" s="8"/>
    </row>
    <row r="6272" spans="16:16" x14ac:dyDescent="0.35">
      <c r="P6272" s="8"/>
    </row>
    <row r="6273" spans="16:16" x14ac:dyDescent="0.35">
      <c r="P6273" s="8"/>
    </row>
    <row r="6274" spans="16:16" x14ac:dyDescent="0.35">
      <c r="P6274" s="8"/>
    </row>
    <row r="6275" spans="16:16" x14ac:dyDescent="0.35">
      <c r="P6275" s="8"/>
    </row>
    <row r="6276" spans="16:16" x14ac:dyDescent="0.35">
      <c r="P6276" s="8"/>
    </row>
    <row r="6277" spans="16:16" x14ac:dyDescent="0.35">
      <c r="P6277" s="8"/>
    </row>
    <row r="6278" spans="16:16" x14ac:dyDescent="0.35">
      <c r="P6278" s="8"/>
    </row>
    <row r="6279" spans="16:16" x14ac:dyDescent="0.35">
      <c r="P6279" s="8"/>
    </row>
    <row r="6280" spans="16:16" x14ac:dyDescent="0.35">
      <c r="P6280" s="8"/>
    </row>
    <row r="6281" spans="16:16" x14ac:dyDescent="0.35">
      <c r="P6281" s="8"/>
    </row>
    <row r="6282" spans="16:16" x14ac:dyDescent="0.35">
      <c r="P6282" s="8"/>
    </row>
    <row r="6283" spans="16:16" x14ac:dyDescent="0.35">
      <c r="P6283" s="8"/>
    </row>
    <row r="6284" spans="16:16" x14ac:dyDescent="0.35">
      <c r="P6284" s="8"/>
    </row>
    <row r="6285" spans="16:16" x14ac:dyDescent="0.35">
      <c r="P6285" s="8"/>
    </row>
    <row r="6286" spans="16:16" x14ac:dyDescent="0.35">
      <c r="P6286" s="8"/>
    </row>
    <row r="6287" spans="16:16" x14ac:dyDescent="0.35">
      <c r="P6287" s="8"/>
    </row>
    <row r="6288" spans="16:16" x14ac:dyDescent="0.35">
      <c r="P6288" s="8"/>
    </row>
    <row r="6289" spans="16:16" x14ac:dyDescent="0.35">
      <c r="P6289" s="8"/>
    </row>
    <row r="6290" spans="16:16" x14ac:dyDescent="0.35">
      <c r="P6290" s="8"/>
    </row>
    <row r="6291" spans="16:16" x14ac:dyDescent="0.35">
      <c r="P6291" s="8"/>
    </row>
    <row r="6292" spans="16:16" x14ac:dyDescent="0.35">
      <c r="P6292" s="8"/>
    </row>
    <row r="6293" spans="16:16" x14ac:dyDescent="0.35">
      <c r="P6293" s="8"/>
    </row>
    <row r="6294" spans="16:16" x14ac:dyDescent="0.35">
      <c r="P6294" s="8"/>
    </row>
    <row r="6295" spans="16:16" x14ac:dyDescent="0.35">
      <c r="P6295" s="8"/>
    </row>
    <row r="6296" spans="16:16" x14ac:dyDescent="0.35">
      <c r="P6296" s="8"/>
    </row>
    <row r="6297" spans="16:16" x14ac:dyDescent="0.35">
      <c r="P6297" s="8"/>
    </row>
    <row r="6298" spans="16:16" x14ac:dyDescent="0.35">
      <c r="P6298" s="8"/>
    </row>
    <row r="6299" spans="16:16" x14ac:dyDescent="0.35">
      <c r="P6299" s="8"/>
    </row>
    <row r="6300" spans="16:16" x14ac:dyDescent="0.35">
      <c r="P6300" s="8"/>
    </row>
    <row r="6301" spans="16:16" x14ac:dyDescent="0.35">
      <c r="P6301" s="8"/>
    </row>
    <row r="6302" spans="16:16" x14ac:dyDescent="0.35">
      <c r="P6302" s="8"/>
    </row>
    <row r="6303" spans="16:16" x14ac:dyDescent="0.35">
      <c r="P6303" s="8"/>
    </row>
    <row r="6304" spans="16:16" x14ac:dyDescent="0.35">
      <c r="P6304" s="8"/>
    </row>
    <row r="6305" spans="16:16" x14ac:dyDescent="0.35">
      <c r="P6305" s="8"/>
    </row>
    <row r="6306" spans="16:16" x14ac:dyDescent="0.35">
      <c r="P6306" s="8"/>
    </row>
    <row r="6307" spans="16:16" x14ac:dyDescent="0.35">
      <c r="P6307" s="8"/>
    </row>
    <row r="6308" spans="16:16" x14ac:dyDescent="0.35">
      <c r="P6308" s="8"/>
    </row>
    <row r="6309" spans="16:16" x14ac:dyDescent="0.35">
      <c r="P6309" s="8"/>
    </row>
    <row r="6310" spans="16:16" x14ac:dyDescent="0.35">
      <c r="P6310" s="8"/>
    </row>
    <row r="6311" spans="16:16" x14ac:dyDescent="0.35">
      <c r="P6311" s="8"/>
    </row>
    <row r="6312" spans="16:16" x14ac:dyDescent="0.35">
      <c r="P6312" s="8"/>
    </row>
    <row r="6313" spans="16:16" x14ac:dyDescent="0.35">
      <c r="P6313" s="8"/>
    </row>
    <row r="6314" spans="16:16" x14ac:dyDescent="0.35">
      <c r="P6314" s="8"/>
    </row>
    <row r="6315" spans="16:16" x14ac:dyDescent="0.35">
      <c r="P6315" s="8"/>
    </row>
    <row r="6316" spans="16:16" x14ac:dyDescent="0.35">
      <c r="P6316" s="8"/>
    </row>
    <row r="6317" spans="16:16" x14ac:dyDescent="0.35">
      <c r="P6317" s="8"/>
    </row>
    <row r="6318" spans="16:16" x14ac:dyDescent="0.35">
      <c r="P6318" s="8"/>
    </row>
    <row r="6319" spans="16:16" x14ac:dyDescent="0.35">
      <c r="P6319" s="8"/>
    </row>
    <row r="6320" spans="16:16" x14ac:dyDescent="0.35">
      <c r="P6320" s="8"/>
    </row>
    <row r="6321" spans="16:16" x14ac:dyDescent="0.35">
      <c r="P6321" s="8"/>
    </row>
    <row r="6322" spans="16:16" x14ac:dyDescent="0.35">
      <c r="P6322" s="8"/>
    </row>
    <row r="6323" spans="16:16" x14ac:dyDescent="0.35">
      <c r="P6323" s="8"/>
    </row>
    <row r="6324" spans="16:16" x14ac:dyDescent="0.35">
      <c r="P6324" s="8"/>
    </row>
    <row r="6325" spans="16:16" x14ac:dyDescent="0.35">
      <c r="P6325" s="8"/>
    </row>
    <row r="6326" spans="16:16" x14ac:dyDescent="0.35">
      <c r="P6326" s="8"/>
    </row>
    <row r="6327" spans="16:16" x14ac:dyDescent="0.35">
      <c r="P6327" s="8"/>
    </row>
    <row r="6328" spans="16:16" x14ac:dyDescent="0.35">
      <c r="P6328" s="8"/>
    </row>
    <row r="6329" spans="16:16" x14ac:dyDescent="0.35">
      <c r="P6329" s="8"/>
    </row>
    <row r="6330" spans="16:16" x14ac:dyDescent="0.35">
      <c r="P6330" s="8"/>
    </row>
    <row r="6331" spans="16:16" x14ac:dyDescent="0.35">
      <c r="P6331" s="8"/>
    </row>
    <row r="6332" spans="16:16" x14ac:dyDescent="0.35">
      <c r="P6332" s="8"/>
    </row>
    <row r="6333" spans="16:16" x14ac:dyDescent="0.35">
      <c r="P6333" s="8"/>
    </row>
    <row r="6334" spans="16:16" x14ac:dyDescent="0.35">
      <c r="P6334" s="8"/>
    </row>
    <row r="6335" spans="16:16" x14ac:dyDescent="0.35">
      <c r="P6335" s="8"/>
    </row>
    <row r="6336" spans="16:16" x14ac:dyDescent="0.35">
      <c r="P6336" s="8"/>
    </row>
    <row r="6337" spans="16:16" x14ac:dyDescent="0.35">
      <c r="P6337" s="8"/>
    </row>
    <row r="6338" spans="16:16" x14ac:dyDescent="0.35">
      <c r="P6338" s="8"/>
    </row>
    <row r="6339" spans="16:16" x14ac:dyDescent="0.35">
      <c r="P6339" s="8"/>
    </row>
    <row r="6340" spans="16:16" x14ac:dyDescent="0.35">
      <c r="P6340" s="8"/>
    </row>
    <row r="6341" spans="16:16" x14ac:dyDescent="0.35">
      <c r="P6341" s="8"/>
    </row>
    <row r="6342" spans="16:16" x14ac:dyDescent="0.35">
      <c r="P6342" s="8"/>
    </row>
    <row r="6343" spans="16:16" x14ac:dyDescent="0.35">
      <c r="P6343" s="8"/>
    </row>
    <row r="6344" spans="16:16" x14ac:dyDescent="0.35">
      <c r="P6344" s="8"/>
    </row>
    <row r="6345" spans="16:16" x14ac:dyDescent="0.35">
      <c r="P6345" s="8"/>
    </row>
    <row r="6346" spans="16:16" x14ac:dyDescent="0.35">
      <c r="P6346" s="8"/>
    </row>
    <row r="6347" spans="16:16" x14ac:dyDescent="0.35">
      <c r="P6347" s="8"/>
    </row>
    <row r="6348" spans="16:16" x14ac:dyDescent="0.35">
      <c r="P6348" s="8"/>
    </row>
    <row r="6349" spans="16:16" x14ac:dyDescent="0.35">
      <c r="P6349" s="8"/>
    </row>
    <row r="6350" spans="16:16" x14ac:dyDescent="0.35">
      <c r="P6350" s="8"/>
    </row>
    <row r="6351" spans="16:16" x14ac:dyDescent="0.35">
      <c r="P6351" s="8"/>
    </row>
    <row r="6352" spans="16:16" x14ac:dyDescent="0.35">
      <c r="P6352" s="8"/>
    </row>
    <row r="6353" spans="16:16" x14ac:dyDescent="0.35">
      <c r="P6353" s="8"/>
    </row>
    <row r="6354" spans="16:16" x14ac:dyDescent="0.35">
      <c r="P6354" s="8"/>
    </row>
    <row r="6355" spans="16:16" x14ac:dyDescent="0.35">
      <c r="P6355" s="8"/>
    </row>
    <row r="6356" spans="16:16" x14ac:dyDescent="0.35">
      <c r="P6356" s="8"/>
    </row>
    <row r="6357" spans="16:16" x14ac:dyDescent="0.35">
      <c r="P6357" s="8"/>
    </row>
    <row r="6358" spans="16:16" x14ac:dyDescent="0.35">
      <c r="P6358" s="8"/>
    </row>
    <row r="6359" spans="16:16" x14ac:dyDescent="0.35">
      <c r="P6359" s="8"/>
    </row>
    <row r="6360" spans="16:16" x14ac:dyDescent="0.35">
      <c r="P6360" s="8"/>
    </row>
    <row r="6361" spans="16:16" x14ac:dyDescent="0.35">
      <c r="P6361" s="8"/>
    </row>
    <row r="6362" spans="16:16" x14ac:dyDescent="0.35">
      <c r="P6362" s="8"/>
    </row>
    <row r="6363" spans="16:16" x14ac:dyDescent="0.35">
      <c r="P6363" s="8"/>
    </row>
    <row r="6364" spans="16:16" x14ac:dyDescent="0.35">
      <c r="P6364" s="8"/>
    </row>
    <row r="6365" spans="16:16" x14ac:dyDescent="0.35">
      <c r="P6365" s="8"/>
    </row>
    <row r="6366" spans="16:16" x14ac:dyDescent="0.35">
      <c r="P6366" s="8"/>
    </row>
    <row r="6367" spans="16:16" x14ac:dyDescent="0.35">
      <c r="P6367" s="8"/>
    </row>
    <row r="6368" spans="16:16" x14ac:dyDescent="0.35">
      <c r="P6368" s="8"/>
    </row>
    <row r="6369" spans="16:16" x14ac:dyDescent="0.35">
      <c r="P6369" s="8"/>
    </row>
    <row r="6370" spans="16:16" x14ac:dyDescent="0.35">
      <c r="P6370" s="8"/>
    </row>
    <row r="6371" spans="16:16" x14ac:dyDescent="0.35">
      <c r="P6371" s="8"/>
    </row>
    <row r="6372" spans="16:16" x14ac:dyDescent="0.35">
      <c r="P6372" s="8"/>
    </row>
    <row r="6373" spans="16:16" x14ac:dyDescent="0.35">
      <c r="P6373" s="8"/>
    </row>
    <row r="6374" spans="16:16" x14ac:dyDescent="0.35">
      <c r="P6374" s="8"/>
    </row>
    <row r="6375" spans="16:16" x14ac:dyDescent="0.35">
      <c r="P6375" s="8"/>
    </row>
    <row r="6376" spans="16:16" x14ac:dyDescent="0.35">
      <c r="P6376" s="8"/>
    </row>
    <row r="6377" spans="16:16" x14ac:dyDescent="0.35">
      <c r="P6377" s="8"/>
    </row>
    <row r="6378" spans="16:16" x14ac:dyDescent="0.35">
      <c r="P6378" s="8"/>
    </row>
    <row r="6379" spans="16:16" x14ac:dyDescent="0.35">
      <c r="P6379" s="8"/>
    </row>
    <row r="6380" spans="16:16" x14ac:dyDescent="0.35">
      <c r="P6380" s="8"/>
    </row>
    <row r="6381" spans="16:16" x14ac:dyDescent="0.35">
      <c r="P6381" s="8"/>
    </row>
    <row r="6382" spans="16:16" x14ac:dyDescent="0.35">
      <c r="P6382" s="8"/>
    </row>
    <row r="6383" spans="16:16" x14ac:dyDescent="0.35">
      <c r="P6383" s="8"/>
    </row>
    <row r="6384" spans="16:16" x14ac:dyDescent="0.35">
      <c r="P6384" s="8"/>
    </row>
    <row r="6385" spans="16:16" x14ac:dyDescent="0.35">
      <c r="P6385" s="8"/>
    </row>
    <row r="6386" spans="16:16" x14ac:dyDescent="0.35">
      <c r="P6386" s="8"/>
    </row>
    <row r="6387" spans="16:16" x14ac:dyDescent="0.35">
      <c r="P6387" s="8"/>
    </row>
    <row r="6388" spans="16:16" x14ac:dyDescent="0.35">
      <c r="P6388" s="8"/>
    </row>
    <row r="6389" spans="16:16" x14ac:dyDescent="0.35">
      <c r="P6389" s="8"/>
    </row>
    <row r="6390" spans="16:16" x14ac:dyDescent="0.35">
      <c r="P6390" s="8"/>
    </row>
    <row r="6391" spans="16:16" x14ac:dyDescent="0.35">
      <c r="P6391" s="8"/>
    </row>
    <row r="6392" spans="16:16" x14ac:dyDescent="0.35">
      <c r="P6392" s="8"/>
    </row>
    <row r="6393" spans="16:16" x14ac:dyDescent="0.35">
      <c r="P6393" s="8"/>
    </row>
    <row r="6394" spans="16:16" x14ac:dyDescent="0.35">
      <c r="P6394" s="8"/>
    </row>
    <row r="6395" spans="16:16" x14ac:dyDescent="0.35">
      <c r="P6395" s="8"/>
    </row>
    <row r="6396" spans="16:16" x14ac:dyDescent="0.35">
      <c r="P6396" s="8"/>
    </row>
    <row r="6397" spans="16:16" x14ac:dyDescent="0.35">
      <c r="P6397" s="8"/>
    </row>
    <row r="6398" spans="16:16" x14ac:dyDescent="0.35">
      <c r="P6398" s="8"/>
    </row>
    <row r="6399" spans="16:16" x14ac:dyDescent="0.35">
      <c r="P6399" s="8"/>
    </row>
    <row r="6400" spans="16:16" x14ac:dyDescent="0.35">
      <c r="P6400" s="8"/>
    </row>
    <row r="6401" spans="16:16" x14ac:dyDescent="0.35">
      <c r="P6401" s="8"/>
    </row>
    <row r="6402" spans="16:16" x14ac:dyDescent="0.35">
      <c r="P6402" s="8"/>
    </row>
    <row r="6403" spans="16:16" x14ac:dyDescent="0.35">
      <c r="P6403" s="8"/>
    </row>
    <row r="6404" spans="16:16" x14ac:dyDescent="0.35">
      <c r="P6404" s="8"/>
    </row>
    <row r="6405" spans="16:16" x14ac:dyDescent="0.35">
      <c r="P6405" s="8"/>
    </row>
    <row r="6406" spans="16:16" x14ac:dyDescent="0.35">
      <c r="P6406" s="8"/>
    </row>
    <row r="6407" spans="16:16" x14ac:dyDescent="0.35">
      <c r="P6407" s="8"/>
    </row>
    <row r="6408" spans="16:16" x14ac:dyDescent="0.35">
      <c r="P6408" s="8"/>
    </row>
    <row r="6409" spans="16:16" x14ac:dyDescent="0.35">
      <c r="P6409" s="8"/>
    </row>
    <row r="6410" spans="16:16" x14ac:dyDescent="0.35">
      <c r="P6410" s="8"/>
    </row>
    <row r="6411" spans="16:16" x14ac:dyDescent="0.35">
      <c r="P6411" s="8"/>
    </row>
    <row r="6412" spans="16:16" x14ac:dyDescent="0.35">
      <c r="P6412" s="8"/>
    </row>
    <row r="6413" spans="16:16" x14ac:dyDescent="0.35">
      <c r="P6413" s="8"/>
    </row>
    <row r="6414" spans="16:16" x14ac:dyDescent="0.35">
      <c r="P6414" s="8"/>
    </row>
    <row r="6415" spans="16:16" x14ac:dyDescent="0.35">
      <c r="P6415" s="8"/>
    </row>
    <row r="6416" spans="16:16" x14ac:dyDescent="0.35">
      <c r="P6416" s="8"/>
    </row>
    <row r="6417" spans="16:16" x14ac:dyDescent="0.35">
      <c r="P6417" s="8"/>
    </row>
    <row r="6418" spans="16:16" x14ac:dyDescent="0.35">
      <c r="P6418" s="8"/>
    </row>
    <row r="6419" spans="16:16" x14ac:dyDescent="0.35">
      <c r="P6419" s="8"/>
    </row>
    <row r="6420" spans="16:16" x14ac:dyDescent="0.35">
      <c r="P6420" s="8"/>
    </row>
    <row r="6421" spans="16:16" x14ac:dyDescent="0.35">
      <c r="P6421" s="8"/>
    </row>
    <row r="6422" spans="16:16" x14ac:dyDescent="0.35">
      <c r="P6422" s="8"/>
    </row>
    <row r="6423" spans="16:16" x14ac:dyDescent="0.35">
      <c r="P6423" s="8"/>
    </row>
    <row r="6424" spans="16:16" x14ac:dyDescent="0.35">
      <c r="P6424" s="8"/>
    </row>
    <row r="6425" spans="16:16" x14ac:dyDescent="0.35">
      <c r="P6425" s="8"/>
    </row>
    <row r="6426" spans="16:16" x14ac:dyDescent="0.35">
      <c r="P6426" s="8"/>
    </row>
    <row r="6427" spans="16:16" x14ac:dyDescent="0.35">
      <c r="P6427" s="8"/>
    </row>
    <row r="6428" spans="16:16" x14ac:dyDescent="0.35">
      <c r="P6428" s="8"/>
    </row>
    <row r="6429" spans="16:16" x14ac:dyDescent="0.35">
      <c r="P6429" s="8"/>
    </row>
    <row r="6430" spans="16:16" x14ac:dyDescent="0.35">
      <c r="P6430" s="8"/>
    </row>
    <row r="6431" spans="16:16" x14ac:dyDescent="0.35">
      <c r="P6431" s="8"/>
    </row>
    <row r="6432" spans="16:16" x14ac:dyDescent="0.35">
      <c r="P6432" s="8"/>
    </row>
    <row r="6433" spans="16:16" x14ac:dyDescent="0.35">
      <c r="P6433" s="8"/>
    </row>
    <row r="6434" spans="16:16" x14ac:dyDescent="0.35">
      <c r="P6434" s="8"/>
    </row>
    <row r="6435" spans="16:16" x14ac:dyDescent="0.35">
      <c r="P6435" s="8"/>
    </row>
    <row r="6436" spans="16:16" x14ac:dyDescent="0.35">
      <c r="P6436" s="8"/>
    </row>
    <row r="6437" spans="16:16" x14ac:dyDescent="0.35">
      <c r="P6437" s="8"/>
    </row>
    <row r="6438" spans="16:16" x14ac:dyDescent="0.35">
      <c r="P6438" s="8"/>
    </row>
    <row r="6439" spans="16:16" x14ac:dyDescent="0.35">
      <c r="P6439" s="8"/>
    </row>
    <row r="6440" spans="16:16" x14ac:dyDescent="0.35">
      <c r="P6440" s="8"/>
    </row>
    <row r="6441" spans="16:16" x14ac:dyDescent="0.35">
      <c r="P6441" s="8"/>
    </row>
    <row r="6442" spans="16:16" x14ac:dyDescent="0.35">
      <c r="P6442" s="8"/>
    </row>
    <row r="6443" spans="16:16" x14ac:dyDescent="0.35">
      <c r="P6443" s="8"/>
    </row>
    <row r="6444" spans="16:16" x14ac:dyDescent="0.35">
      <c r="P6444" s="8"/>
    </row>
    <row r="6445" spans="16:16" x14ac:dyDescent="0.35">
      <c r="P6445" s="8"/>
    </row>
    <row r="6446" spans="16:16" x14ac:dyDescent="0.35">
      <c r="P6446" s="8"/>
    </row>
    <row r="6447" spans="16:16" x14ac:dyDescent="0.35">
      <c r="P6447" s="8"/>
    </row>
    <row r="6448" spans="16:16" x14ac:dyDescent="0.35">
      <c r="P6448" s="8"/>
    </row>
    <row r="6449" spans="16:16" x14ac:dyDescent="0.35">
      <c r="P6449" s="8"/>
    </row>
    <row r="6450" spans="16:16" x14ac:dyDescent="0.35">
      <c r="P6450" s="8"/>
    </row>
    <row r="6451" spans="16:16" x14ac:dyDescent="0.35">
      <c r="P6451" s="8"/>
    </row>
    <row r="6452" spans="16:16" x14ac:dyDescent="0.35">
      <c r="P6452" s="8"/>
    </row>
    <row r="6453" spans="16:16" x14ac:dyDescent="0.35">
      <c r="P6453" s="8"/>
    </row>
    <row r="6454" spans="16:16" x14ac:dyDescent="0.35">
      <c r="P6454" s="8"/>
    </row>
    <row r="6455" spans="16:16" x14ac:dyDescent="0.35">
      <c r="P6455" s="8"/>
    </row>
    <row r="6456" spans="16:16" x14ac:dyDescent="0.35">
      <c r="P6456" s="8"/>
    </row>
    <row r="6457" spans="16:16" x14ac:dyDescent="0.35">
      <c r="P6457" s="8"/>
    </row>
    <row r="6458" spans="16:16" x14ac:dyDescent="0.35">
      <c r="P6458" s="8"/>
    </row>
    <row r="6459" spans="16:16" x14ac:dyDescent="0.35">
      <c r="P6459" s="8"/>
    </row>
    <row r="6460" spans="16:16" x14ac:dyDescent="0.35">
      <c r="P6460" s="8"/>
    </row>
    <row r="6461" spans="16:16" x14ac:dyDescent="0.35">
      <c r="P6461" s="8"/>
    </row>
    <row r="6462" spans="16:16" x14ac:dyDescent="0.35">
      <c r="P6462" s="8"/>
    </row>
    <row r="6463" spans="16:16" x14ac:dyDescent="0.35">
      <c r="P6463" s="8"/>
    </row>
    <row r="6464" spans="16:16" x14ac:dyDescent="0.35">
      <c r="P6464" s="8"/>
    </row>
    <row r="6465" spans="16:16" x14ac:dyDescent="0.35">
      <c r="P6465" s="8"/>
    </row>
    <row r="6466" spans="16:16" x14ac:dyDescent="0.35">
      <c r="P6466" s="8"/>
    </row>
    <row r="6467" spans="16:16" x14ac:dyDescent="0.35">
      <c r="P6467" s="8"/>
    </row>
    <row r="6468" spans="16:16" x14ac:dyDescent="0.35">
      <c r="P6468" s="8"/>
    </row>
    <row r="6469" spans="16:16" x14ac:dyDescent="0.35">
      <c r="P6469" s="8"/>
    </row>
    <row r="6470" spans="16:16" x14ac:dyDescent="0.35">
      <c r="P6470" s="8"/>
    </row>
    <row r="6471" spans="16:16" x14ac:dyDescent="0.35">
      <c r="P6471" s="8"/>
    </row>
    <row r="6472" spans="16:16" x14ac:dyDescent="0.35">
      <c r="P6472" s="8"/>
    </row>
    <row r="6473" spans="16:16" x14ac:dyDescent="0.35">
      <c r="P6473" s="8"/>
    </row>
    <row r="6474" spans="16:16" x14ac:dyDescent="0.35">
      <c r="P6474" s="8"/>
    </row>
    <row r="6475" spans="16:16" x14ac:dyDescent="0.35">
      <c r="P6475" s="8"/>
    </row>
    <row r="6476" spans="16:16" x14ac:dyDescent="0.35">
      <c r="P6476" s="8"/>
    </row>
    <row r="6477" spans="16:16" x14ac:dyDescent="0.35">
      <c r="P6477" s="8"/>
    </row>
    <row r="6478" spans="16:16" x14ac:dyDescent="0.35">
      <c r="P6478" s="8"/>
    </row>
    <row r="6479" spans="16:16" x14ac:dyDescent="0.35">
      <c r="P6479" s="8"/>
    </row>
    <row r="6480" spans="16:16" x14ac:dyDescent="0.35">
      <c r="P6480" s="8"/>
    </row>
    <row r="6481" spans="16:16" x14ac:dyDescent="0.35">
      <c r="P6481" s="8"/>
    </row>
    <row r="6482" spans="16:16" x14ac:dyDescent="0.35">
      <c r="P6482" s="8"/>
    </row>
    <row r="6483" spans="16:16" x14ac:dyDescent="0.35">
      <c r="P6483" s="8"/>
    </row>
    <row r="6484" spans="16:16" x14ac:dyDescent="0.35">
      <c r="P6484" s="8"/>
    </row>
    <row r="6485" spans="16:16" x14ac:dyDescent="0.35">
      <c r="P6485" s="8"/>
    </row>
    <row r="6486" spans="16:16" x14ac:dyDescent="0.35">
      <c r="P6486" s="8"/>
    </row>
    <row r="6487" spans="16:16" x14ac:dyDescent="0.35">
      <c r="P6487" s="8"/>
    </row>
    <row r="6488" spans="16:16" x14ac:dyDescent="0.35">
      <c r="P6488" s="8"/>
    </row>
    <row r="6489" spans="16:16" x14ac:dyDescent="0.35">
      <c r="P6489" s="8"/>
    </row>
    <row r="6490" spans="16:16" x14ac:dyDescent="0.35">
      <c r="P6490" s="8"/>
    </row>
    <row r="6491" spans="16:16" x14ac:dyDescent="0.35">
      <c r="P6491" s="8"/>
    </row>
    <row r="6492" spans="16:16" x14ac:dyDescent="0.35">
      <c r="P6492" s="8"/>
    </row>
    <row r="6493" spans="16:16" x14ac:dyDescent="0.35">
      <c r="P6493" s="8"/>
    </row>
    <row r="6494" spans="16:16" x14ac:dyDescent="0.35">
      <c r="P6494" s="8"/>
    </row>
    <row r="6495" spans="16:16" x14ac:dyDescent="0.35">
      <c r="P6495" s="8"/>
    </row>
    <row r="6496" spans="16:16" x14ac:dyDescent="0.35">
      <c r="P6496" s="8"/>
    </row>
    <row r="6497" spans="16:16" x14ac:dyDescent="0.35">
      <c r="P6497" s="8"/>
    </row>
    <row r="6498" spans="16:16" x14ac:dyDescent="0.35">
      <c r="P6498" s="8"/>
    </row>
    <row r="6499" spans="16:16" x14ac:dyDescent="0.35">
      <c r="P6499" s="8"/>
    </row>
    <row r="6500" spans="16:16" x14ac:dyDescent="0.35">
      <c r="P6500" s="8"/>
    </row>
    <row r="6501" spans="16:16" x14ac:dyDescent="0.35">
      <c r="P6501" s="8"/>
    </row>
    <row r="6502" spans="16:16" x14ac:dyDescent="0.35">
      <c r="P6502" s="8"/>
    </row>
    <row r="6503" spans="16:16" x14ac:dyDescent="0.35">
      <c r="P6503" s="8"/>
    </row>
    <row r="6504" spans="16:16" x14ac:dyDescent="0.35">
      <c r="P6504" s="8"/>
    </row>
    <row r="6505" spans="16:16" x14ac:dyDescent="0.35">
      <c r="P6505" s="8"/>
    </row>
    <row r="6506" spans="16:16" x14ac:dyDescent="0.35">
      <c r="P6506" s="8"/>
    </row>
    <row r="6507" spans="16:16" x14ac:dyDescent="0.35">
      <c r="P6507" s="8"/>
    </row>
    <row r="6508" spans="16:16" x14ac:dyDescent="0.35">
      <c r="P6508" s="8"/>
    </row>
    <row r="6509" spans="16:16" x14ac:dyDescent="0.35">
      <c r="P6509" s="8"/>
    </row>
    <row r="6510" spans="16:16" x14ac:dyDescent="0.35">
      <c r="P6510" s="8"/>
    </row>
    <row r="6511" spans="16:16" x14ac:dyDescent="0.35">
      <c r="P6511" s="8"/>
    </row>
    <row r="6512" spans="16:16" x14ac:dyDescent="0.35">
      <c r="P6512" s="8"/>
    </row>
    <row r="6513" spans="16:16" x14ac:dyDescent="0.35">
      <c r="P6513" s="8"/>
    </row>
    <row r="6514" spans="16:16" x14ac:dyDescent="0.35">
      <c r="P6514" s="8"/>
    </row>
    <row r="6515" spans="16:16" x14ac:dyDescent="0.35">
      <c r="P6515" s="8"/>
    </row>
    <row r="6516" spans="16:16" x14ac:dyDescent="0.35">
      <c r="P6516" s="8"/>
    </row>
    <row r="6517" spans="16:16" x14ac:dyDescent="0.35">
      <c r="P6517" s="8"/>
    </row>
    <row r="6518" spans="16:16" x14ac:dyDescent="0.35">
      <c r="P6518" s="8"/>
    </row>
    <row r="6519" spans="16:16" x14ac:dyDescent="0.35">
      <c r="P6519" s="8"/>
    </row>
    <row r="6520" spans="16:16" x14ac:dyDescent="0.35">
      <c r="P6520" s="8"/>
    </row>
    <row r="6521" spans="16:16" x14ac:dyDescent="0.35">
      <c r="P6521" s="8"/>
    </row>
    <row r="6522" spans="16:16" x14ac:dyDescent="0.35">
      <c r="P6522" s="8"/>
    </row>
    <row r="6523" spans="16:16" x14ac:dyDescent="0.35">
      <c r="P6523" s="8"/>
    </row>
    <row r="6524" spans="16:16" x14ac:dyDescent="0.35">
      <c r="P6524" s="8"/>
    </row>
    <row r="6525" spans="16:16" x14ac:dyDescent="0.35">
      <c r="P6525" s="8"/>
    </row>
    <row r="6526" spans="16:16" x14ac:dyDescent="0.35">
      <c r="P6526" s="8"/>
    </row>
    <row r="6527" spans="16:16" x14ac:dyDescent="0.35">
      <c r="P6527" s="8"/>
    </row>
    <row r="6528" spans="16:16" x14ac:dyDescent="0.35">
      <c r="P6528" s="8"/>
    </row>
    <row r="6529" spans="16:16" x14ac:dyDescent="0.35">
      <c r="P6529" s="8"/>
    </row>
    <row r="6530" spans="16:16" x14ac:dyDescent="0.35">
      <c r="P6530" s="8"/>
    </row>
    <row r="6531" spans="16:16" x14ac:dyDescent="0.35">
      <c r="P6531" s="8"/>
    </row>
    <row r="6532" spans="16:16" x14ac:dyDescent="0.35">
      <c r="P6532" s="8"/>
    </row>
    <row r="6533" spans="16:16" x14ac:dyDescent="0.35">
      <c r="P6533" s="8"/>
    </row>
    <row r="6534" spans="16:16" x14ac:dyDescent="0.35">
      <c r="P6534" s="8"/>
    </row>
    <row r="6535" spans="16:16" x14ac:dyDescent="0.35">
      <c r="P6535" s="8"/>
    </row>
    <row r="6536" spans="16:16" x14ac:dyDescent="0.35">
      <c r="P6536" s="8"/>
    </row>
    <row r="6537" spans="16:16" x14ac:dyDescent="0.35">
      <c r="P6537" s="8"/>
    </row>
    <row r="6538" spans="16:16" x14ac:dyDescent="0.35">
      <c r="P6538" s="8"/>
    </row>
    <row r="6539" spans="16:16" x14ac:dyDescent="0.35">
      <c r="P6539" s="8"/>
    </row>
    <row r="6540" spans="16:16" x14ac:dyDescent="0.35">
      <c r="P6540" s="8"/>
    </row>
    <row r="6541" spans="16:16" x14ac:dyDescent="0.35">
      <c r="P6541" s="8"/>
    </row>
    <row r="6542" spans="16:16" x14ac:dyDescent="0.35">
      <c r="P6542" s="8"/>
    </row>
    <row r="6543" spans="16:16" x14ac:dyDescent="0.35">
      <c r="P6543" s="8"/>
    </row>
    <row r="6544" spans="16:16" x14ac:dyDescent="0.35">
      <c r="P6544" s="8"/>
    </row>
    <row r="6545" spans="16:16" x14ac:dyDescent="0.35">
      <c r="P6545" s="8"/>
    </row>
    <row r="6546" spans="16:16" x14ac:dyDescent="0.35">
      <c r="P6546" s="8"/>
    </row>
    <row r="6547" spans="16:16" x14ac:dyDescent="0.35">
      <c r="P6547" s="8"/>
    </row>
    <row r="6548" spans="16:16" x14ac:dyDescent="0.35">
      <c r="P6548" s="8"/>
    </row>
    <row r="6549" spans="16:16" x14ac:dyDescent="0.35">
      <c r="P6549" s="8"/>
    </row>
    <row r="6550" spans="16:16" x14ac:dyDescent="0.35">
      <c r="P6550" s="8"/>
    </row>
    <row r="6551" spans="16:16" x14ac:dyDescent="0.35">
      <c r="P6551" s="8"/>
    </row>
    <row r="6552" spans="16:16" x14ac:dyDescent="0.35">
      <c r="P6552" s="8"/>
    </row>
    <row r="6553" spans="16:16" x14ac:dyDescent="0.35">
      <c r="P6553" s="8"/>
    </row>
    <row r="6554" spans="16:16" x14ac:dyDescent="0.35">
      <c r="P6554" s="8"/>
    </row>
    <row r="6555" spans="16:16" x14ac:dyDescent="0.35">
      <c r="P6555" s="8"/>
    </row>
    <row r="6556" spans="16:16" x14ac:dyDescent="0.35">
      <c r="P6556" s="8"/>
    </row>
    <row r="6557" spans="16:16" x14ac:dyDescent="0.35">
      <c r="P6557" s="8"/>
    </row>
    <row r="6558" spans="16:16" x14ac:dyDescent="0.35">
      <c r="P6558" s="8"/>
    </row>
    <row r="6559" spans="16:16" x14ac:dyDescent="0.35">
      <c r="P6559" s="8"/>
    </row>
    <row r="6560" spans="16:16" x14ac:dyDescent="0.35">
      <c r="P6560" s="8"/>
    </row>
    <row r="6561" spans="16:16" x14ac:dyDescent="0.35">
      <c r="P6561" s="8"/>
    </row>
    <row r="6562" spans="16:16" x14ac:dyDescent="0.35">
      <c r="P6562" s="8"/>
    </row>
    <row r="6563" spans="16:16" x14ac:dyDescent="0.35">
      <c r="P6563" s="8"/>
    </row>
    <row r="6564" spans="16:16" x14ac:dyDescent="0.35">
      <c r="P6564" s="8"/>
    </row>
    <row r="6565" spans="16:16" x14ac:dyDescent="0.35">
      <c r="P6565" s="8"/>
    </row>
    <row r="6566" spans="16:16" x14ac:dyDescent="0.35">
      <c r="P6566" s="8"/>
    </row>
    <row r="6567" spans="16:16" x14ac:dyDescent="0.35">
      <c r="P6567" s="8"/>
    </row>
    <row r="6568" spans="16:16" x14ac:dyDescent="0.35">
      <c r="P6568" s="8"/>
    </row>
    <row r="6569" spans="16:16" x14ac:dyDescent="0.35">
      <c r="P6569" s="8"/>
    </row>
    <row r="6570" spans="16:16" x14ac:dyDescent="0.35">
      <c r="P6570" s="8"/>
    </row>
    <row r="6571" spans="16:16" x14ac:dyDescent="0.35">
      <c r="P6571" s="8"/>
    </row>
    <row r="6572" spans="16:16" x14ac:dyDescent="0.35">
      <c r="P6572" s="8"/>
    </row>
    <row r="6573" spans="16:16" x14ac:dyDescent="0.35">
      <c r="P6573" s="8"/>
    </row>
    <row r="6574" spans="16:16" x14ac:dyDescent="0.35">
      <c r="P6574" s="8"/>
    </row>
    <row r="6575" spans="16:16" x14ac:dyDescent="0.35">
      <c r="P6575" s="8"/>
    </row>
    <row r="6576" spans="16:16" x14ac:dyDescent="0.35">
      <c r="P6576" s="8"/>
    </row>
    <row r="6577" spans="16:16" x14ac:dyDescent="0.35">
      <c r="P6577" s="8"/>
    </row>
    <row r="6578" spans="16:16" x14ac:dyDescent="0.35">
      <c r="P6578" s="8"/>
    </row>
    <row r="6579" spans="16:16" x14ac:dyDescent="0.35">
      <c r="P6579" s="8"/>
    </row>
    <row r="6580" spans="16:16" x14ac:dyDescent="0.35">
      <c r="P6580" s="8"/>
    </row>
    <row r="6581" spans="16:16" x14ac:dyDescent="0.35">
      <c r="P6581" s="8"/>
    </row>
    <row r="6582" spans="16:16" x14ac:dyDescent="0.35">
      <c r="P6582" s="8"/>
    </row>
    <row r="6583" spans="16:16" x14ac:dyDescent="0.35">
      <c r="P6583" s="8"/>
    </row>
    <row r="6584" spans="16:16" x14ac:dyDescent="0.35">
      <c r="P6584" s="8"/>
    </row>
    <row r="6585" spans="16:16" x14ac:dyDescent="0.35">
      <c r="P6585" s="8"/>
    </row>
    <row r="6586" spans="16:16" x14ac:dyDescent="0.35">
      <c r="P6586" s="8"/>
    </row>
    <row r="6587" spans="16:16" x14ac:dyDescent="0.35">
      <c r="P6587" s="8"/>
    </row>
    <row r="6588" spans="16:16" x14ac:dyDescent="0.35">
      <c r="P6588" s="8"/>
    </row>
    <row r="6589" spans="16:16" x14ac:dyDescent="0.35">
      <c r="P6589" s="8"/>
    </row>
    <row r="6590" spans="16:16" x14ac:dyDescent="0.35">
      <c r="P6590" s="8"/>
    </row>
    <row r="6591" spans="16:16" x14ac:dyDescent="0.35">
      <c r="P6591" s="8"/>
    </row>
    <row r="6592" spans="16:16" x14ac:dyDescent="0.35">
      <c r="P6592" s="8"/>
    </row>
    <row r="6593" spans="16:16" x14ac:dyDescent="0.35">
      <c r="P6593" s="8"/>
    </row>
    <row r="6594" spans="16:16" x14ac:dyDescent="0.35">
      <c r="P6594" s="8"/>
    </row>
    <row r="6595" spans="16:16" x14ac:dyDescent="0.35">
      <c r="P6595" s="8"/>
    </row>
    <row r="6596" spans="16:16" x14ac:dyDescent="0.35">
      <c r="P6596" s="8"/>
    </row>
    <row r="6597" spans="16:16" x14ac:dyDescent="0.35">
      <c r="P6597" s="8"/>
    </row>
    <row r="6598" spans="16:16" x14ac:dyDescent="0.35">
      <c r="P6598" s="8"/>
    </row>
    <row r="6599" spans="16:16" x14ac:dyDescent="0.35">
      <c r="P6599" s="8"/>
    </row>
    <row r="6600" spans="16:16" x14ac:dyDescent="0.35">
      <c r="P6600" s="8"/>
    </row>
    <row r="6601" spans="16:16" x14ac:dyDescent="0.35">
      <c r="P6601" s="8"/>
    </row>
    <row r="6602" spans="16:16" x14ac:dyDescent="0.35">
      <c r="P6602" s="8"/>
    </row>
    <row r="6603" spans="16:16" x14ac:dyDescent="0.35">
      <c r="P6603" s="8"/>
    </row>
    <row r="6604" spans="16:16" x14ac:dyDescent="0.35">
      <c r="P6604" s="8"/>
    </row>
    <row r="6605" spans="16:16" x14ac:dyDescent="0.35">
      <c r="P6605" s="8"/>
    </row>
    <row r="6606" spans="16:16" x14ac:dyDescent="0.35">
      <c r="P6606" s="8"/>
    </row>
    <row r="6607" spans="16:16" x14ac:dyDescent="0.35">
      <c r="P6607" s="8"/>
    </row>
    <row r="6608" spans="16:16" x14ac:dyDescent="0.35">
      <c r="P6608" s="8"/>
    </row>
    <row r="6609" spans="16:16" x14ac:dyDescent="0.35">
      <c r="P6609" s="8"/>
    </row>
    <row r="6610" spans="16:16" x14ac:dyDescent="0.35">
      <c r="P6610" s="8"/>
    </row>
    <row r="6611" spans="16:16" x14ac:dyDescent="0.35">
      <c r="P6611" s="8"/>
    </row>
    <row r="6612" spans="16:16" x14ac:dyDescent="0.35">
      <c r="P6612" s="8"/>
    </row>
    <row r="6613" spans="16:16" x14ac:dyDescent="0.35">
      <c r="P6613" s="8"/>
    </row>
    <row r="6614" spans="16:16" x14ac:dyDescent="0.35">
      <c r="P6614" s="8"/>
    </row>
    <row r="6615" spans="16:16" x14ac:dyDescent="0.35">
      <c r="P6615" s="8"/>
    </row>
    <row r="6616" spans="16:16" x14ac:dyDescent="0.35">
      <c r="P6616" s="8"/>
    </row>
    <row r="6617" spans="16:16" x14ac:dyDescent="0.35">
      <c r="P6617" s="8"/>
    </row>
    <row r="6618" spans="16:16" x14ac:dyDescent="0.35">
      <c r="P6618" s="8"/>
    </row>
    <row r="6619" spans="16:16" x14ac:dyDescent="0.35">
      <c r="P6619" s="8"/>
    </row>
    <row r="6620" spans="16:16" x14ac:dyDescent="0.35">
      <c r="P6620" s="8"/>
    </row>
    <row r="6621" spans="16:16" x14ac:dyDescent="0.35">
      <c r="P6621" s="8"/>
    </row>
    <row r="6622" spans="16:16" x14ac:dyDescent="0.35">
      <c r="P6622" s="8"/>
    </row>
    <row r="6623" spans="16:16" x14ac:dyDescent="0.35">
      <c r="P6623" s="8"/>
    </row>
    <row r="6624" spans="16:16" x14ac:dyDescent="0.35">
      <c r="P6624" s="8"/>
    </row>
    <row r="6625" spans="16:16" x14ac:dyDescent="0.35">
      <c r="P6625" s="8"/>
    </row>
    <row r="6626" spans="16:16" x14ac:dyDescent="0.35">
      <c r="P6626" s="8"/>
    </row>
    <row r="6627" spans="16:16" x14ac:dyDescent="0.35">
      <c r="P6627" s="8"/>
    </row>
    <row r="6628" spans="16:16" x14ac:dyDescent="0.35">
      <c r="P6628" s="8"/>
    </row>
    <row r="6629" spans="16:16" x14ac:dyDescent="0.35">
      <c r="P6629" s="8"/>
    </row>
    <row r="6630" spans="16:16" x14ac:dyDescent="0.35">
      <c r="P6630" s="8"/>
    </row>
    <row r="6631" spans="16:16" x14ac:dyDescent="0.35">
      <c r="P6631" s="8"/>
    </row>
    <row r="6632" spans="16:16" x14ac:dyDescent="0.35">
      <c r="P6632" s="8"/>
    </row>
    <row r="6633" spans="16:16" x14ac:dyDescent="0.35">
      <c r="P6633" s="8"/>
    </row>
    <row r="6634" spans="16:16" x14ac:dyDescent="0.35">
      <c r="P6634" s="8"/>
    </row>
    <row r="6635" spans="16:16" x14ac:dyDescent="0.35">
      <c r="P6635" s="8"/>
    </row>
    <row r="6636" spans="16:16" x14ac:dyDescent="0.35">
      <c r="P6636" s="8"/>
    </row>
    <row r="6637" spans="16:16" x14ac:dyDescent="0.35">
      <c r="P6637" s="8"/>
    </row>
    <row r="6638" spans="16:16" x14ac:dyDescent="0.35">
      <c r="P6638" s="8"/>
    </row>
    <row r="6639" spans="16:16" x14ac:dyDescent="0.35">
      <c r="P6639" s="8"/>
    </row>
    <row r="6640" spans="16:16" x14ac:dyDescent="0.35">
      <c r="P6640" s="8"/>
    </row>
    <row r="6641" spans="16:16" x14ac:dyDescent="0.35">
      <c r="P6641" s="8"/>
    </row>
    <row r="6642" spans="16:16" x14ac:dyDescent="0.35">
      <c r="P6642" s="8"/>
    </row>
    <row r="6643" spans="16:16" x14ac:dyDescent="0.35">
      <c r="P6643" s="8"/>
    </row>
    <row r="6644" spans="16:16" x14ac:dyDescent="0.35">
      <c r="P6644" s="8"/>
    </row>
    <row r="6645" spans="16:16" x14ac:dyDescent="0.35">
      <c r="P6645" s="8"/>
    </row>
    <row r="6646" spans="16:16" x14ac:dyDescent="0.35">
      <c r="P6646" s="8"/>
    </row>
    <row r="6647" spans="16:16" x14ac:dyDescent="0.35">
      <c r="P6647" s="8"/>
    </row>
    <row r="6648" spans="16:16" x14ac:dyDescent="0.35">
      <c r="P6648" s="8"/>
    </row>
    <row r="6649" spans="16:16" x14ac:dyDescent="0.35">
      <c r="P6649" s="8"/>
    </row>
    <row r="6650" spans="16:16" x14ac:dyDescent="0.35">
      <c r="P6650" s="8"/>
    </row>
    <row r="6651" spans="16:16" x14ac:dyDescent="0.35">
      <c r="P6651" s="8"/>
    </row>
    <row r="6652" spans="16:16" x14ac:dyDescent="0.35">
      <c r="P6652" s="8"/>
    </row>
    <row r="6653" spans="16:16" x14ac:dyDescent="0.35">
      <c r="P6653" s="8"/>
    </row>
    <row r="6654" spans="16:16" x14ac:dyDescent="0.35">
      <c r="P6654" s="8"/>
    </row>
    <row r="6655" spans="16:16" x14ac:dyDescent="0.35">
      <c r="P6655" s="8"/>
    </row>
    <row r="6656" spans="16:16" x14ac:dyDescent="0.35">
      <c r="P6656" s="8"/>
    </row>
    <row r="6657" spans="16:16" x14ac:dyDescent="0.35">
      <c r="P6657" s="8"/>
    </row>
    <row r="6658" spans="16:16" x14ac:dyDescent="0.35">
      <c r="P6658" s="8"/>
    </row>
    <row r="6659" spans="16:16" x14ac:dyDescent="0.35">
      <c r="P6659" s="8"/>
    </row>
    <row r="6660" spans="16:16" x14ac:dyDescent="0.35">
      <c r="P6660" s="8"/>
    </row>
    <row r="6661" spans="16:16" x14ac:dyDescent="0.35">
      <c r="P6661" s="8"/>
    </row>
    <row r="6662" spans="16:16" x14ac:dyDescent="0.35">
      <c r="P6662" s="8"/>
    </row>
    <row r="6663" spans="16:16" x14ac:dyDescent="0.35">
      <c r="P6663" s="8"/>
    </row>
    <row r="6664" spans="16:16" x14ac:dyDescent="0.35">
      <c r="P6664" s="8"/>
    </row>
    <row r="6665" spans="16:16" x14ac:dyDescent="0.35">
      <c r="P6665" s="8"/>
    </row>
    <row r="6666" spans="16:16" x14ac:dyDescent="0.35">
      <c r="P6666" s="8"/>
    </row>
    <row r="6667" spans="16:16" x14ac:dyDescent="0.35">
      <c r="P6667" s="8"/>
    </row>
    <row r="6668" spans="16:16" x14ac:dyDescent="0.35">
      <c r="P6668" s="8"/>
    </row>
    <row r="6669" spans="16:16" x14ac:dyDescent="0.35">
      <c r="P6669" s="8"/>
    </row>
    <row r="6670" spans="16:16" x14ac:dyDescent="0.35">
      <c r="P6670" s="8"/>
    </row>
    <row r="6671" spans="16:16" x14ac:dyDescent="0.35">
      <c r="P6671" s="8"/>
    </row>
    <row r="6672" spans="16:16" x14ac:dyDescent="0.35">
      <c r="P6672" s="8"/>
    </row>
    <row r="6673" spans="16:16" x14ac:dyDescent="0.35">
      <c r="P6673" s="8"/>
    </row>
    <row r="6674" spans="16:16" x14ac:dyDescent="0.35">
      <c r="P6674" s="8"/>
    </row>
    <row r="6675" spans="16:16" x14ac:dyDescent="0.35">
      <c r="P6675" s="8"/>
    </row>
    <row r="6676" spans="16:16" x14ac:dyDescent="0.35">
      <c r="P6676" s="8"/>
    </row>
    <row r="6677" spans="16:16" x14ac:dyDescent="0.35">
      <c r="P6677" s="8"/>
    </row>
    <row r="6678" spans="16:16" x14ac:dyDescent="0.35">
      <c r="P6678" s="8"/>
    </row>
    <row r="6679" spans="16:16" x14ac:dyDescent="0.35">
      <c r="P6679" s="8"/>
    </row>
    <row r="6680" spans="16:16" x14ac:dyDescent="0.35">
      <c r="P6680" s="8"/>
    </row>
    <row r="6681" spans="16:16" x14ac:dyDescent="0.35">
      <c r="P6681" s="8"/>
    </row>
    <row r="6682" spans="16:16" x14ac:dyDescent="0.35">
      <c r="P6682" s="8"/>
    </row>
    <row r="6683" spans="16:16" x14ac:dyDescent="0.35">
      <c r="P6683" s="8"/>
    </row>
    <row r="6684" spans="16:16" x14ac:dyDescent="0.35">
      <c r="P6684" s="8"/>
    </row>
    <row r="6685" spans="16:16" x14ac:dyDescent="0.35">
      <c r="P6685" s="8"/>
    </row>
    <row r="6686" spans="16:16" x14ac:dyDescent="0.35">
      <c r="P6686" s="8"/>
    </row>
    <row r="6687" spans="16:16" x14ac:dyDescent="0.35">
      <c r="P6687" s="8"/>
    </row>
    <row r="6688" spans="16:16" x14ac:dyDescent="0.35">
      <c r="P6688" s="8"/>
    </row>
    <row r="6689" spans="16:16" x14ac:dyDescent="0.35">
      <c r="P6689" s="8"/>
    </row>
    <row r="6690" spans="16:16" x14ac:dyDescent="0.35">
      <c r="P6690" s="8"/>
    </row>
    <row r="6691" spans="16:16" x14ac:dyDescent="0.35">
      <c r="P6691" s="8"/>
    </row>
    <row r="6692" spans="16:16" x14ac:dyDescent="0.35">
      <c r="P6692" s="8"/>
    </row>
    <row r="6693" spans="16:16" x14ac:dyDescent="0.35">
      <c r="P6693" s="8"/>
    </row>
    <row r="6694" spans="16:16" x14ac:dyDescent="0.35">
      <c r="P6694" s="8"/>
    </row>
    <row r="6695" spans="16:16" x14ac:dyDescent="0.35">
      <c r="P6695" s="8"/>
    </row>
    <row r="6696" spans="16:16" x14ac:dyDescent="0.35">
      <c r="P6696" s="8"/>
    </row>
    <row r="6697" spans="16:16" x14ac:dyDescent="0.35">
      <c r="P6697" s="8"/>
    </row>
    <row r="6698" spans="16:16" x14ac:dyDescent="0.35">
      <c r="P6698" s="8"/>
    </row>
    <row r="6699" spans="16:16" x14ac:dyDescent="0.35">
      <c r="P6699" s="8"/>
    </row>
    <row r="6700" spans="16:16" x14ac:dyDescent="0.35">
      <c r="P6700" s="8"/>
    </row>
    <row r="6701" spans="16:16" x14ac:dyDescent="0.35">
      <c r="P6701" s="8"/>
    </row>
    <row r="6702" spans="16:16" x14ac:dyDescent="0.35">
      <c r="P6702" s="8"/>
    </row>
    <row r="6703" spans="16:16" x14ac:dyDescent="0.35">
      <c r="P6703" s="8"/>
    </row>
    <row r="6704" spans="16:16" x14ac:dyDescent="0.35">
      <c r="P6704" s="8"/>
    </row>
    <row r="6705" spans="16:16" x14ac:dyDescent="0.35">
      <c r="P6705" s="8"/>
    </row>
    <row r="6706" spans="16:16" x14ac:dyDescent="0.35">
      <c r="P6706" s="8"/>
    </row>
    <row r="6707" spans="16:16" x14ac:dyDescent="0.35">
      <c r="P6707" s="8"/>
    </row>
    <row r="6708" spans="16:16" x14ac:dyDescent="0.35">
      <c r="P6708" s="8"/>
    </row>
    <row r="6709" spans="16:16" x14ac:dyDescent="0.35">
      <c r="P6709" s="8"/>
    </row>
    <row r="6710" spans="16:16" x14ac:dyDescent="0.35">
      <c r="P6710" s="8"/>
    </row>
    <row r="6711" spans="16:16" x14ac:dyDescent="0.35">
      <c r="P6711" s="8"/>
    </row>
    <row r="6712" spans="16:16" x14ac:dyDescent="0.35">
      <c r="P6712" s="8"/>
    </row>
    <row r="6713" spans="16:16" x14ac:dyDescent="0.35">
      <c r="P6713" s="8"/>
    </row>
    <row r="6714" spans="16:16" x14ac:dyDescent="0.35">
      <c r="P6714" s="8"/>
    </row>
    <row r="6715" spans="16:16" x14ac:dyDescent="0.35">
      <c r="P6715" s="8"/>
    </row>
    <row r="6716" spans="16:16" x14ac:dyDescent="0.35">
      <c r="P6716" s="8"/>
    </row>
    <row r="6717" spans="16:16" x14ac:dyDescent="0.35">
      <c r="P6717" s="8"/>
    </row>
    <row r="6718" spans="16:16" x14ac:dyDescent="0.35">
      <c r="P6718" s="8"/>
    </row>
    <row r="6719" spans="16:16" x14ac:dyDescent="0.35">
      <c r="P6719" s="8"/>
    </row>
    <row r="6720" spans="16:16" x14ac:dyDescent="0.35">
      <c r="P6720" s="8"/>
    </row>
    <row r="6721" spans="16:16" x14ac:dyDescent="0.35">
      <c r="P6721" s="8"/>
    </row>
    <row r="6722" spans="16:16" x14ac:dyDescent="0.35">
      <c r="P6722" s="8"/>
    </row>
    <row r="6723" spans="16:16" x14ac:dyDescent="0.35">
      <c r="P6723" s="8"/>
    </row>
    <row r="6724" spans="16:16" x14ac:dyDescent="0.35">
      <c r="P6724" s="8"/>
    </row>
    <row r="6725" spans="16:16" x14ac:dyDescent="0.35">
      <c r="P6725" s="8"/>
    </row>
    <row r="6726" spans="16:16" x14ac:dyDescent="0.35">
      <c r="P6726" s="8"/>
    </row>
    <row r="6727" spans="16:16" x14ac:dyDescent="0.35">
      <c r="P6727" s="8"/>
    </row>
    <row r="6728" spans="16:16" x14ac:dyDescent="0.35">
      <c r="P6728" s="8"/>
    </row>
    <row r="6729" spans="16:16" x14ac:dyDescent="0.35">
      <c r="P6729" s="8"/>
    </row>
    <row r="6730" spans="16:16" x14ac:dyDescent="0.35">
      <c r="P6730" s="8"/>
    </row>
    <row r="6731" spans="16:16" x14ac:dyDescent="0.35">
      <c r="P6731" s="8"/>
    </row>
    <row r="6732" spans="16:16" x14ac:dyDescent="0.35">
      <c r="P6732" s="8"/>
    </row>
    <row r="6733" spans="16:16" x14ac:dyDescent="0.35">
      <c r="P6733" s="8"/>
    </row>
    <row r="6734" spans="16:16" x14ac:dyDescent="0.35">
      <c r="P6734" s="8"/>
    </row>
    <row r="6735" spans="16:16" x14ac:dyDescent="0.35">
      <c r="P6735" s="8"/>
    </row>
    <row r="6736" spans="16:16" x14ac:dyDescent="0.35">
      <c r="P6736" s="8"/>
    </row>
    <row r="6737" spans="16:16" x14ac:dyDescent="0.35">
      <c r="P6737" s="8"/>
    </row>
    <row r="6738" spans="16:16" x14ac:dyDescent="0.35">
      <c r="P6738" s="8"/>
    </row>
    <row r="6739" spans="16:16" x14ac:dyDescent="0.35">
      <c r="P6739" s="8"/>
    </row>
    <row r="6740" spans="16:16" x14ac:dyDescent="0.35">
      <c r="P6740" s="8"/>
    </row>
    <row r="6741" spans="16:16" x14ac:dyDescent="0.35">
      <c r="P6741" s="8"/>
    </row>
    <row r="6742" spans="16:16" x14ac:dyDescent="0.35">
      <c r="P6742" s="8"/>
    </row>
    <row r="6743" spans="16:16" x14ac:dyDescent="0.35">
      <c r="P6743" s="8"/>
    </row>
    <row r="6744" spans="16:16" x14ac:dyDescent="0.35">
      <c r="P6744" s="8"/>
    </row>
    <row r="6745" spans="16:16" x14ac:dyDescent="0.35">
      <c r="P6745" s="8"/>
    </row>
    <row r="6746" spans="16:16" x14ac:dyDescent="0.35">
      <c r="P6746" s="8"/>
    </row>
    <row r="6747" spans="16:16" x14ac:dyDescent="0.35">
      <c r="P6747" s="8"/>
    </row>
    <row r="6748" spans="16:16" x14ac:dyDescent="0.35">
      <c r="P6748" s="8"/>
    </row>
    <row r="6749" spans="16:16" x14ac:dyDescent="0.35">
      <c r="P6749" s="8"/>
    </row>
    <row r="6750" spans="16:16" x14ac:dyDescent="0.35">
      <c r="P6750" s="8"/>
    </row>
    <row r="6751" spans="16:16" x14ac:dyDescent="0.35">
      <c r="P6751" s="8"/>
    </row>
    <row r="6752" spans="16:16" x14ac:dyDescent="0.35">
      <c r="P6752" s="8"/>
    </row>
    <row r="6753" spans="16:16" x14ac:dyDescent="0.35">
      <c r="P6753" s="8"/>
    </row>
    <row r="6754" spans="16:16" x14ac:dyDescent="0.35">
      <c r="P6754" s="8"/>
    </row>
    <row r="6755" spans="16:16" x14ac:dyDescent="0.35">
      <c r="P6755" s="8"/>
    </row>
    <row r="6756" spans="16:16" x14ac:dyDescent="0.35">
      <c r="P6756" s="8"/>
    </row>
    <row r="6757" spans="16:16" x14ac:dyDescent="0.35">
      <c r="P6757" s="8"/>
    </row>
    <row r="6758" spans="16:16" x14ac:dyDescent="0.35">
      <c r="P6758" s="8"/>
    </row>
    <row r="6759" spans="16:16" x14ac:dyDescent="0.35">
      <c r="P6759" s="8"/>
    </row>
    <row r="6760" spans="16:16" x14ac:dyDescent="0.35">
      <c r="P6760" s="8"/>
    </row>
    <row r="6761" spans="16:16" x14ac:dyDescent="0.35">
      <c r="P6761" s="8"/>
    </row>
    <row r="6762" spans="16:16" x14ac:dyDescent="0.35">
      <c r="P6762" s="8"/>
    </row>
    <row r="6763" spans="16:16" x14ac:dyDescent="0.35">
      <c r="P6763" s="8"/>
    </row>
    <row r="6764" spans="16:16" x14ac:dyDescent="0.35">
      <c r="P6764" s="8"/>
    </row>
    <row r="6765" spans="16:16" x14ac:dyDescent="0.35">
      <c r="P6765" s="8"/>
    </row>
    <row r="6766" spans="16:16" x14ac:dyDescent="0.35">
      <c r="P6766" s="8"/>
    </row>
    <row r="6767" spans="16:16" x14ac:dyDescent="0.35">
      <c r="P6767" s="8"/>
    </row>
    <row r="6768" spans="16:16" x14ac:dyDescent="0.35">
      <c r="P6768" s="8"/>
    </row>
    <row r="6769" spans="16:16" x14ac:dyDescent="0.35">
      <c r="P6769" s="8"/>
    </row>
    <row r="6770" spans="16:16" x14ac:dyDescent="0.35">
      <c r="P6770" s="8"/>
    </row>
    <row r="6771" spans="16:16" x14ac:dyDescent="0.35">
      <c r="P6771" s="8"/>
    </row>
    <row r="6772" spans="16:16" x14ac:dyDescent="0.35">
      <c r="P6772" s="8"/>
    </row>
    <row r="6773" spans="16:16" x14ac:dyDescent="0.35">
      <c r="P6773" s="8"/>
    </row>
    <row r="6774" spans="16:16" x14ac:dyDescent="0.35">
      <c r="P6774" s="8"/>
    </row>
    <row r="6775" spans="16:16" x14ac:dyDescent="0.35">
      <c r="P6775" s="8"/>
    </row>
    <row r="6776" spans="16:16" x14ac:dyDescent="0.35">
      <c r="P6776" s="8"/>
    </row>
    <row r="6777" spans="16:16" x14ac:dyDescent="0.35">
      <c r="P6777" s="8"/>
    </row>
    <row r="6778" spans="16:16" x14ac:dyDescent="0.35">
      <c r="P6778" s="8"/>
    </row>
    <row r="6779" spans="16:16" x14ac:dyDescent="0.35">
      <c r="P6779" s="8"/>
    </row>
    <row r="6780" spans="16:16" x14ac:dyDescent="0.35">
      <c r="P6780" s="8"/>
    </row>
    <row r="6781" spans="16:16" x14ac:dyDescent="0.35">
      <c r="P6781" s="8"/>
    </row>
    <row r="6782" spans="16:16" x14ac:dyDescent="0.35">
      <c r="P6782" s="8"/>
    </row>
    <row r="6783" spans="16:16" x14ac:dyDescent="0.35">
      <c r="P6783" s="8"/>
    </row>
    <row r="6784" spans="16:16" x14ac:dyDescent="0.35">
      <c r="P6784" s="8"/>
    </row>
    <row r="6785" spans="16:16" x14ac:dyDescent="0.35">
      <c r="P6785" s="8"/>
    </row>
    <row r="6786" spans="16:16" x14ac:dyDescent="0.35">
      <c r="P6786" s="8"/>
    </row>
    <row r="6787" spans="16:16" x14ac:dyDescent="0.35">
      <c r="P6787" s="8"/>
    </row>
    <row r="6788" spans="16:16" x14ac:dyDescent="0.35">
      <c r="P6788" s="8"/>
    </row>
    <row r="6789" spans="16:16" x14ac:dyDescent="0.35">
      <c r="P6789" s="8"/>
    </row>
    <row r="6790" spans="16:16" x14ac:dyDescent="0.35">
      <c r="P6790" s="8"/>
    </row>
    <row r="6791" spans="16:16" x14ac:dyDescent="0.35">
      <c r="P6791" s="8"/>
    </row>
    <row r="6792" spans="16:16" x14ac:dyDescent="0.35">
      <c r="P6792" s="8"/>
    </row>
    <row r="6793" spans="16:16" x14ac:dyDescent="0.35">
      <c r="P6793" s="8"/>
    </row>
    <row r="6794" spans="16:16" x14ac:dyDescent="0.35">
      <c r="P6794" s="8"/>
    </row>
    <row r="6795" spans="16:16" x14ac:dyDescent="0.35">
      <c r="P6795" s="8"/>
    </row>
    <row r="6796" spans="16:16" x14ac:dyDescent="0.35">
      <c r="P6796" s="8"/>
    </row>
    <row r="6797" spans="16:16" x14ac:dyDescent="0.35">
      <c r="P6797" s="8"/>
    </row>
    <row r="6798" spans="16:16" x14ac:dyDescent="0.35">
      <c r="P6798" s="8"/>
    </row>
    <row r="6799" spans="16:16" x14ac:dyDescent="0.35">
      <c r="P6799" s="8"/>
    </row>
    <row r="6800" spans="16:16" x14ac:dyDescent="0.35">
      <c r="P6800" s="8"/>
    </row>
    <row r="6801" spans="16:16" x14ac:dyDescent="0.35">
      <c r="P6801" s="8"/>
    </row>
    <row r="6802" spans="16:16" x14ac:dyDescent="0.35">
      <c r="P6802" s="8"/>
    </row>
    <row r="6803" spans="16:16" x14ac:dyDescent="0.35">
      <c r="P6803" s="8"/>
    </row>
    <row r="6804" spans="16:16" x14ac:dyDescent="0.35">
      <c r="P6804" s="8"/>
    </row>
    <row r="6805" spans="16:16" x14ac:dyDescent="0.35">
      <c r="P6805" s="8"/>
    </row>
    <row r="6806" spans="16:16" x14ac:dyDescent="0.35">
      <c r="P6806" s="8"/>
    </row>
    <row r="6807" spans="16:16" x14ac:dyDescent="0.35">
      <c r="P6807" s="8"/>
    </row>
    <row r="6808" spans="16:16" x14ac:dyDescent="0.35">
      <c r="P6808" s="8"/>
    </row>
    <row r="6809" spans="16:16" x14ac:dyDescent="0.35">
      <c r="P6809" s="8"/>
    </row>
    <row r="6810" spans="16:16" x14ac:dyDescent="0.35">
      <c r="P6810" s="8"/>
    </row>
    <row r="6811" spans="16:16" x14ac:dyDescent="0.35">
      <c r="P6811" s="8"/>
    </row>
    <row r="6812" spans="16:16" x14ac:dyDescent="0.35">
      <c r="P6812" s="8"/>
    </row>
    <row r="6813" spans="16:16" x14ac:dyDescent="0.35">
      <c r="P6813" s="8"/>
    </row>
    <row r="6814" spans="16:16" x14ac:dyDescent="0.35">
      <c r="P6814" s="8"/>
    </row>
    <row r="6815" spans="16:16" x14ac:dyDescent="0.35">
      <c r="P6815" s="8"/>
    </row>
    <row r="6816" spans="16:16" x14ac:dyDescent="0.35">
      <c r="P6816" s="8"/>
    </row>
    <row r="6817" spans="16:16" x14ac:dyDescent="0.35">
      <c r="P6817" s="8"/>
    </row>
    <row r="6818" spans="16:16" x14ac:dyDescent="0.35">
      <c r="P6818" s="8"/>
    </row>
    <row r="6819" spans="16:16" x14ac:dyDescent="0.35">
      <c r="P6819" s="8"/>
    </row>
    <row r="6820" spans="16:16" x14ac:dyDescent="0.35">
      <c r="P6820" s="8"/>
    </row>
    <row r="6821" spans="16:16" x14ac:dyDescent="0.35">
      <c r="P6821" s="8"/>
    </row>
    <row r="6822" spans="16:16" x14ac:dyDescent="0.35">
      <c r="P6822" s="8"/>
    </row>
    <row r="6823" spans="16:16" x14ac:dyDescent="0.35">
      <c r="P6823" s="8"/>
    </row>
    <row r="6824" spans="16:16" x14ac:dyDescent="0.35">
      <c r="P6824" s="8"/>
    </row>
    <row r="6825" spans="16:16" x14ac:dyDescent="0.35">
      <c r="P6825" s="8"/>
    </row>
    <row r="6826" spans="16:16" x14ac:dyDescent="0.35">
      <c r="P6826" s="8"/>
    </row>
    <row r="6827" spans="16:16" x14ac:dyDescent="0.35">
      <c r="P6827" s="8"/>
    </row>
    <row r="6828" spans="16:16" x14ac:dyDescent="0.35">
      <c r="P6828" s="8"/>
    </row>
    <row r="6829" spans="16:16" x14ac:dyDescent="0.35">
      <c r="P6829" s="8"/>
    </row>
    <row r="6830" spans="16:16" x14ac:dyDescent="0.35">
      <c r="P6830" s="8"/>
    </row>
    <row r="6831" spans="16:16" x14ac:dyDescent="0.35">
      <c r="P6831" s="8"/>
    </row>
    <row r="6832" spans="16:16" x14ac:dyDescent="0.35">
      <c r="P6832" s="8"/>
    </row>
    <row r="6833" spans="16:16" x14ac:dyDescent="0.35">
      <c r="P6833" s="8"/>
    </row>
    <row r="6834" spans="16:16" x14ac:dyDescent="0.35">
      <c r="P6834" s="8"/>
    </row>
    <row r="6835" spans="16:16" x14ac:dyDescent="0.35">
      <c r="P6835" s="8"/>
    </row>
    <row r="6836" spans="16:16" x14ac:dyDescent="0.35">
      <c r="P6836" s="8"/>
    </row>
    <row r="6837" spans="16:16" x14ac:dyDescent="0.35">
      <c r="P6837" s="8"/>
    </row>
    <row r="6838" spans="16:16" x14ac:dyDescent="0.35">
      <c r="P6838" s="8"/>
    </row>
    <row r="6839" spans="16:16" x14ac:dyDescent="0.35">
      <c r="P6839" s="8"/>
    </row>
    <row r="6840" spans="16:16" x14ac:dyDescent="0.35">
      <c r="P6840" s="8"/>
    </row>
    <row r="6841" spans="16:16" x14ac:dyDescent="0.35">
      <c r="P6841" s="8"/>
    </row>
    <row r="6842" spans="16:16" x14ac:dyDescent="0.35">
      <c r="P6842" s="8"/>
    </row>
    <row r="6843" spans="16:16" x14ac:dyDescent="0.35">
      <c r="P6843" s="8"/>
    </row>
    <row r="6844" spans="16:16" x14ac:dyDescent="0.35">
      <c r="P6844" s="8"/>
    </row>
    <row r="6845" spans="16:16" x14ac:dyDescent="0.35">
      <c r="P6845" s="8"/>
    </row>
    <row r="6846" spans="16:16" x14ac:dyDescent="0.35">
      <c r="P6846" s="8"/>
    </row>
    <row r="6847" spans="16:16" x14ac:dyDescent="0.35">
      <c r="P6847" s="8"/>
    </row>
    <row r="6848" spans="16:16" x14ac:dyDescent="0.35">
      <c r="P6848" s="8"/>
    </row>
    <row r="6849" spans="16:16" x14ac:dyDescent="0.35">
      <c r="P6849" s="8"/>
    </row>
    <row r="6850" spans="16:16" x14ac:dyDescent="0.35">
      <c r="P6850" s="8"/>
    </row>
    <row r="6851" spans="16:16" x14ac:dyDescent="0.35">
      <c r="P6851" s="8"/>
    </row>
    <row r="6852" spans="16:16" x14ac:dyDescent="0.35">
      <c r="P6852" s="8"/>
    </row>
    <row r="6853" spans="16:16" x14ac:dyDescent="0.35">
      <c r="P6853" s="8"/>
    </row>
    <row r="6854" spans="16:16" x14ac:dyDescent="0.35">
      <c r="P6854" s="8"/>
    </row>
    <row r="6855" spans="16:16" x14ac:dyDescent="0.35">
      <c r="P6855" s="8"/>
    </row>
    <row r="6856" spans="16:16" x14ac:dyDescent="0.35">
      <c r="P6856" s="8"/>
    </row>
    <row r="6857" spans="16:16" x14ac:dyDescent="0.35">
      <c r="P6857" s="8"/>
    </row>
    <row r="6858" spans="16:16" x14ac:dyDescent="0.35">
      <c r="P6858" s="8"/>
    </row>
    <row r="6859" spans="16:16" x14ac:dyDescent="0.35">
      <c r="P6859" s="8"/>
    </row>
    <row r="6860" spans="16:16" x14ac:dyDescent="0.35">
      <c r="P6860" s="8"/>
    </row>
    <row r="6861" spans="16:16" x14ac:dyDescent="0.35">
      <c r="P6861" s="8"/>
    </row>
    <row r="6862" spans="16:16" x14ac:dyDescent="0.35">
      <c r="P6862" s="8"/>
    </row>
    <row r="6863" spans="16:16" x14ac:dyDescent="0.35">
      <c r="P6863" s="8"/>
    </row>
    <row r="6864" spans="16:16" x14ac:dyDescent="0.35">
      <c r="P6864" s="8"/>
    </row>
    <row r="6865" spans="16:16" x14ac:dyDescent="0.35">
      <c r="P6865" s="8"/>
    </row>
    <row r="6866" spans="16:16" x14ac:dyDescent="0.35">
      <c r="P6866" s="8"/>
    </row>
    <row r="6867" spans="16:16" x14ac:dyDescent="0.35">
      <c r="P6867" s="8"/>
    </row>
    <row r="6868" spans="16:16" x14ac:dyDescent="0.35">
      <c r="P6868" s="8"/>
    </row>
    <row r="6869" spans="16:16" x14ac:dyDescent="0.35">
      <c r="P6869" s="8"/>
    </row>
    <row r="6870" spans="16:16" x14ac:dyDescent="0.35">
      <c r="P6870" s="8"/>
    </row>
    <row r="6871" spans="16:16" x14ac:dyDescent="0.35">
      <c r="P6871" s="8"/>
    </row>
    <row r="6872" spans="16:16" x14ac:dyDescent="0.35">
      <c r="P6872" s="8"/>
    </row>
    <row r="6873" spans="16:16" x14ac:dyDescent="0.35">
      <c r="P6873" s="8"/>
    </row>
    <row r="6874" spans="16:16" x14ac:dyDescent="0.35">
      <c r="P6874" s="8"/>
    </row>
    <row r="6875" spans="16:16" x14ac:dyDescent="0.35">
      <c r="P6875" s="8"/>
    </row>
    <row r="6876" spans="16:16" x14ac:dyDescent="0.35">
      <c r="P6876" s="8"/>
    </row>
    <row r="6877" spans="16:16" x14ac:dyDescent="0.35">
      <c r="P6877" s="8"/>
    </row>
    <row r="6878" spans="16:16" x14ac:dyDescent="0.35">
      <c r="P6878" s="8"/>
    </row>
    <row r="6879" spans="16:16" x14ac:dyDescent="0.35">
      <c r="P6879" s="8"/>
    </row>
    <row r="6880" spans="16:16" x14ac:dyDescent="0.35">
      <c r="P6880" s="8"/>
    </row>
    <row r="6881" spans="16:16" x14ac:dyDescent="0.35">
      <c r="P6881" s="8"/>
    </row>
    <row r="6882" spans="16:16" x14ac:dyDescent="0.35">
      <c r="P6882" s="8"/>
    </row>
    <row r="6883" spans="16:16" x14ac:dyDescent="0.35">
      <c r="P6883" s="8"/>
    </row>
    <row r="6884" spans="16:16" x14ac:dyDescent="0.35">
      <c r="P6884" s="8"/>
    </row>
    <row r="6885" spans="16:16" x14ac:dyDescent="0.35">
      <c r="P6885" s="8"/>
    </row>
    <row r="6886" spans="16:16" x14ac:dyDescent="0.35">
      <c r="P6886" s="8"/>
    </row>
    <row r="6887" spans="16:16" x14ac:dyDescent="0.35">
      <c r="P6887" s="8"/>
    </row>
    <row r="6888" spans="16:16" x14ac:dyDescent="0.35">
      <c r="P6888" s="8"/>
    </row>
    <row r="6889" spans="16:16" x14ac:dyDescent="0.35">
      <c r="P6889" s="8"/>
    </row>
    <row r="6890" spans="16:16" x14ac:dyDescent="0.35">
      <c r="P6890" s="8"/>
    </row>
    <row r="6891" spans="16:16" x14ac:dyDescent="0.35">
      <c r="P6891" s="8"/>
    </row>
    <row r="6892" spans="16:16" x14ac:dyDescent="0.35">
      <c r="P6892" s="8"/>
    </row>
    <row r="6893" spans="16:16" x14ac:dyDescent="0.35">
      <c r="P6893" s="8"/>
    </row>
    <row r="6894" spans="16:16" x14ac:dyDescent="0.35">
      <c r="P6894" s="8"/>
    </row>
    <row r="6895" spans="16:16" x14ac:dyDescent="0.35">
      <c r="P6895" s="8"/>
    </row>
    <row r="6896" spans="16:16" x14ac:dyDescent="0.35">
      <c r="P6896" s="8"/>
    </row>
    <row r="6897" spans="16:16" x14ac:dyDescent="0.35">
      <c r="P6897" s="8"/>
    </row>
    <row r="6898" spans="16:16" x14ac:dyDescent="0.35">
      <c r="P6898" s="8"/>
    </row>
    <row r="6899" spans="16:16" x14ac:dyDescent="0.35">
      <c r="P6899" s="8"/>
    </row>
    <row r="6900" spans="16:16" x14ac:dyDescent="0.35">
      <c r="P6900" s="8"/>
    </row>
    <row r="6901" spans="16:16" x14ac:dyDescent="0.35">
      <c r="P6901" s="8"/>
    </row>
    <row r="6902" spans="16:16" x14ac:dyDescent="0.35">
      <c r="P6902" s="8"/>
    </row>
    <row r="6903" spans="16:16" x14ac:dyDescent="0.35">
      <c r="P6903" s="8"/>
    </row>
    <row r="6904" spans="16:16" x14ac:dyDescent="0.35">
      <c r="P6904" s="8"/>
    </row>
    <row r="6905" spans="16:16" x14ac:dyDescent="0.35">
      <c r="P6905" s="8"/>
    </row>
    <row r="6906" spans="16:16" x14ac:dyDescent="0.35">
      <c r="P6906" s="8"/>
    </row>
    <row r="6907" spans="16:16" x14ac:dyDescent="0.35">
      <c r="P6907" s="8"/>
    </row>
    <row r="6908" spans="16:16" x14ac:dyDescent="0.35">
      <c r="P6908" s="8"/>
    </row>
    <row r="6909" spans="16:16" x14ac:dyDescent="0.35">
      <c r="P6909" s="8"/>
    </row>
    <row r="6910" spans="16:16" x14ac:dyDescent="0.35">
      <c r="P6910" s="8"/>
    </row>
    <row r="6911" spans="16:16" x14ac:dyDescent="0.35">
      <c r="P6911" s="8"/>
    </row>
    <row r="6912" spans="16:16" x14ac:dyDescent="0.35">
      <c r="P6912" s="8"/>
    </row>
    <row r="6913" spans="16:16" x14ac:dyDescent="0.35">
      <c r="P6913" s="8"/>
    </row>
    <row r="6914" spans="16:16" x14ac:dyDescent="0.35">
      <c r="P6914" s="8"/>
    </row>
    <row r="6915" spans="16:16" x14ac:dyDescent="0.35">
      <c r="P6915" s="8"/>
    </row>
    <row r="6916" spans="16:16" x14ac:dyDescent="0.35">
      <c r="P6916" s="8"/>
    </row>
    <row r="6917" spans="16:16" x14ac:dyDescent="0.35">
      <c r="P6917" s="8"/>
    </row>
    <row r="6918" spans="16:16" x14ac:dyDescent="0.35">
      <c r="P6918" s="8"/>
    </row>
    <row r="6919" spans="16:16" x14ac:dyDescent="0.35">
      <c r="P6919" s="8"/>
    </row>
    <row r="6920" spans="16:16" x14ac:dyDescent="0.35">
      <c r="P6920" s="8"/>
    </row>
    <row r="6921" spans="16:16" x14ac:dyDescent="0.35">
      <c r="P6921" s="8"/>
    </row>
    <row r="6922" spans="16:16" x14ac:dyDescent="0.35">
      <c r="P6922" s="8"/>
    </row>
    <row r="6923" spans="16:16" x14ac:dyDescent="0.35">
      <c r="P6923" s="8"/>
    </row>
    <row r="6924" spans="16:16" x14ac:dyDescent="0.35">
      <c r="P6924" s="8"/>
    </row>
    <row r="6925" spans="16:16" x14ac:dyDescent="0.35">
      <c r="P6925" s="8"/>
    </row>
    <row r="6926" spans="16:16" x14ac:dyDescent="0.35">
      <c r="P6926" s="8"/>
    </row>
    <row r="6927" spans="16:16" x14ac:dyDescent="0.35">
      <c r="P6927" s="8"/>
    </row>
    <row r="6928" spans="16:16" x14ac:dyDescent="0.35">
      <c r="P6928" s="8"/>
    </row>
    <row r="6929" spans="16:16" x14ac:dyDescent="0.35">
      <c r="P6929" s="8"/>
    </row>
    <row r="6930" spans="16:16" x14ac:dyDescent="0.35">
      <c r="P6930" s="8"/>
    </row>
    <row r="6931" spans="16:16" x14ac:dyDescent="0.35">
      <c r="P6931" s="8"/>
    </row>
    <row r="6932" spans="16:16" x14ac:dyDescent="0.35">
      <c r="P6932" s="8"/>
    </row>
    <row r="6933" spans="16:16" x14ac:dyDescent="0.35">
      <c r="P6933" s="8"/>
    </row>
    <row r="6934" spans="16:16" x14ac:dyDescent="0.35">
      <c r="P6934" s="8"/>
    </row>
    <row r="6935" spans="16:16" x14ac:dyDescent="0.35">
      <c r="P6935" s="8"/>
    </row>
    <row r="6936" spans="16:16" x14ac:dyDescent="0.35">
      <c r="P6936" s="8"/>
    </row>
    <row r="6937" spans="16:16" x14ac:dyDescent="0.35">
      <c r="P6937" s="8"/>
    </row>
    <row r="6938" spans="16:16" x14ac:dyDescent="0.35">
      <c r="P6938" s="8"/>
    </row>
    <row r="6939" spans="16:16" x14ac:dyDescent="0.35">
      <c r="P6939" s="8"/>
    </row>
    <row r="6940" spans="16:16" x14ac:dyDescent="0.35">
      <c r="P6940" s="8"/>
    </row>
    <row r="6941" spans="16:16" x14ac:dyDescent="0.35">
      <c r="P6941" s="8"/>
    </row>
    <row r="6942" spans="16:16" x14ac:dyDescent="0.35">
      <c r="P6942" s="8"/>
    </row>
    <row r="6943" spans="16:16" x14ac:dyDescent="0.35">
      <c r="P6943" s="8"/>
    </row>
    <row r="6944" spans="16:16" x14ac:dyDescent="0.35">
      <c r="P6944" s="8"/>
    </row>
    <row r="6945" spans="16:16" x14ac:dyDescent="0.35">
      <c r="P6945" s="8"/>
    </row>
    <row r="6946" spans="16:16" x14ac:dyDescent="0.35">
      <c r="P6946" s="8"/>
    </row>
    <row r="6947" spans="16:16" x14ac:dyDescent="0.35">
      <c r="P6947" s="8"/>
    </row>
    <row r="6948" spans="16:16" x14ac:dyDescent="0.35">
      <c r="P6948" s="8"/>
    </row>
    <row r="6949" spans="16:16" x14ac:dyDescent="0.35">
      <c r="P6949" s="8"/>
    </row>
    <row r="6950" spans="16:16" x14ac:dyDescent="0.35">
      <c r="P6950" s="8"/>
    </row>
    <row r="6951" spans="16:16" x14ac:dyDescent="0.35">
      <c r="P6951" s="8"/>
    </row>
    <row r="6952" spans="16:16" x14ac:dyDescent="0.35">
      <c r="P6952" s="8"/>
    </row>
    <row r="6953" spans="16:16" x14ac:dyDescent="0.35">
      <c r="P6953" s="8"/>
    </row>
    <row r="6954" spans="16:16" x14ac:dyDescent="0.35">
      <c r="P6954" s="8"/>
    </row>
    <row r="6955" spans="16:16" x14ac:dyDescent="0.35">
      <c r="P6955" s="8"/>
    </row>
    <row r="6956" spans="16:16" x14ac:dyDescent="0.35">
      <c r="P6956" s="8"/>
    </row>
    <row r="6957" spans="16:16" x14ac:dyDescent="0.35">
      <c r="P6957" s="8"/>
    </row>
    <row r="6958" spans="16:16" x14ac:dyDescent="0.35">
      <c r="P6958" s="8"/>
    </row>
    <row r="6959" spans="16:16" x14ac:dyDescent="0.35">
      <c r="P6959" s="8"/>
    </row>
    <row r="6960" spans="16:16" x14ac:dyDescent="0.35">
      <c r="P6960" s="8"/>
    </row>
    <row r="6961" spans="16:16" x14ac:dyDescent="0.35">
      <c r="P6961" s="8"/>
    </row>
    <row r="6962" spans="16:16" x14ac:dyDescent="0.35">
      <c r="P6962" s="8"/>
    </row>
    <row r="6963" spans="16:16" x14ac:dyDescent="0.35">
      <c r="P6963" s="8"/>
    </row>
    <row r="6964" spans="16:16" x14ac:dyDescent="0.35">
      <c r="P6964" s="8"/>
    </row>
    <row r="6965" spans="16:16" x14ac:dyDescent="0.35">
      <c r="P6965" s="8"/>
    </row>
    <row r="6966" spans="16:16" x14ac:dyDescent="0.35">
      <c r="P6966" s="8"/>
    </row>
    <row r="6967" spans="16:16" x14ac:dyDescent="0.35">
      <c r="P6967" s="8"/>
    </row>
    <row r="6968" spans="16:16" x14ac:dyDescent="0.35">
      <c r="P6968" s="8"/>
    </row>
    <row r="6969" spans="16:16" x14ac:dyDescent="0.35">
      <c r="P6969" s="8"/>
    </row>
    <row r="6970" spans="16:16" x14ac:dyDescent="0.35">
      <c r="P6970" s="8"/>
    </row>
    <row r="6971" spans="16:16" x14ac:dyDescent="0.35">
      <c r="P6971" s="8"/>
    </row>
    <row r="6972" spans="16:16" x14ac:dyDescent="0.35">
      <c r="P6972" s="8"/>
    </row>
    <row r="6973" spans="16:16" x14ac:dyDescent="0.35">
      <c r="P6973" s="8"/>
    </row>
    <row r="6974" spans="16:16" x14ac:dyDescent="0.35">
      <c r="P6974" s="8"/>
    </row>
    <row r="6975" spans="16:16" x14ac:dyDescent="0.35">
      <c r="P6975" s="8"/>
    </row>
    <row r="6976" spans="16:16" x14ac:dyDescent="0.35">
      <c r="P6976" s="8"/>
    </row>
    <row r="6977" spans="16:16" x14ac:dyDescent="0.35">
      <c r="P6977" s="8"/>
    </row>
    <row r="6978" spans="16:16" x14ac:dyDescent="0.35">
      <c r="P6978" s="8"/>
    </row>
    <row r="6979" spans="16:16" x14ac:dyDescent="0.35">
      <c r="P6979" s="8"/>
    </row>
    <row r="6980" spans="16:16" x14ac:dyDescent="0.35">
      <c r="P6980" s="8"/>
    </row>
    <row r="6981" spans="16:16" x14ac:dyDescent="0.35">
      <c r="P6981" s="8"/>
    </row>
    <row r="6982" spans="16:16" x14ac:dyDescent="0.35">
      <c r="P6982" s="8"/>
    </row>
    <row r="6983" spans="16:16" x14ac:dyDescent="0.35">
      <c r="P6983" s="8"/>
    </row>
    <row r="6984" spans="16:16" x14ac:dyDescent="0.35">
      <c r="P6984" s="8"/>
    </row>
    <row r="6985" spans="16:16" x14ac:dyDescent="0.35">
      <c r="P6985" s="8"/>
    </row>
    <row r="6986" spans="16:16" x14ac:dyDescent="0.35">
      <c r="P6986" s="8"/>
    </row>
    <row r="6987" spans="16:16" x14ac:dyDescent="0.35">
      <c r="P6987" s="8"/>
    </row>
    <row r="6988" spans="16:16" x14ac:dyDescent="0.35">
      <c r="P6988" s="8"/>
    </row>
    <row r="6989" spans="16:16" x14ac:dyDescent="0.35">
      <c r="P6989" s="8"/>
    </row>
    <row r="6990" spans="16:16" x14ac:dyDescent="0.35">
      <c r="P6990" s="8"/>
    </row>
    <row r="6991" spans="16:16" x14ac:dyDescent="0.35">
      <c r="P6991" s="8"/>
    </row>
    <row r="6992" spans="16:16" x14ac:dyDescent="0.35">
      <c r="P6992" s="8"/>
    </row>
    <row r="6993" spans="16:16" x14ac:dyDescent="0.35">
      <c r="P6993" s="8"/>
    </row>
    <row r="6994" spans="16:16" x14ac:dyDescent="0.35">
      <c r="P6994" s="8"/>
    </row>
    <row r="6995" spans="16:16" x14ac:dyDescent="0.35">
      <c r="P6995" s="8"/>
    </row>
    <row r="6996" spans="16:16" x14ac:dyDescent="0.35">
      <c r="P6996" s="8"/>
    </row>
    <row r="6997" spans="16:16" x14ac:dyDescent="0.35">
      <c r="P6997" s="8"/>
    </row>
    <row r="6998" spans="16:16" x14ac:dyDescent="0.35">
      <c r="P6998" s="8"/>
    </row>
    <row r="6999" spans="16:16" x14ac:dyDescent="0.35">
      <c r="P6999" s="8"/>
    </row>
    <row r="7000" spans="16:16" x14ac:dyDescent="0.35">
      <c r="P7000" s="8"/>
    </row>
    <row r="7001" spans="16:16" x14ac:dyDescent="0.35">
      <c r="P7001" s="8"/>
    </row>
    <row r="7002" spans="16:16" x14ac:dyDescent="0.35">
      <c r="P7002" s="8"/>
    </row>
    <row r="7003" spans="16:16" x14ac:dyDescent="0.35">
      <c r="P7003" s="8"/>
    </row>
    <row r="7004" spans="16:16" x14ac:dyDescent="0.35">
      <c r="P7004" s="8"/>
    </row>
    <row r="7005" spans="16:16" x14ac:dyDescent="0.35">
      <c r="P7005" s="8"/>
    </row>
    <row r="7006" spans="16:16" x14ac:dyDescent="0.35">
      <c r="P7006" s="8"/>
    </row>
    <row r="7007" spans="16:16" x14ac:dyDescent="0.35">
      <c r="P7007" s="8"/>
    </row>
    <row r="7008" spans="16:16" x14ac:dyDescent="0.35">
      <c r="P7008" s="8"/>
    </row>
    <row r="7009" spans="16:16" x14ac:dyDescent="0.35">
      <c r="P7009" s="8"/>
    </row>
    <row r="7010" spans="16:16" x14ac:dyDescent="0.35">
      <c r="P7010" s="8"/>
    </row>
    <row r="7011" spans="16:16" x14ac:dyDescent="0.35">
      <c r="P7011" s="8"/>
    </row>
    <row r="7012" spans="16:16" x14ac:dyDescent="0.35">
      <c r="P7012" s="8"/>
    </row>
    <row r="7013" spans="16:16" x14ac:dyDescent="0.35">
      <c r="P7013" s="8"/>
    </row>
    <row r="7014" spans="16:16" x14ac:dyDescent="0.35">
      <c r="P7014" s="8"/>
    </row>
    <row r="7015" spans="16:16" x14ac:dyDescent="0.35">
      <c r="P7015" s="8"/>
    </row>
    <row r="7016" spans="16:16" x14ac:dyDescent="0.35">
      <c r="P7016" s="8"/>
    </row>
    <row r="7017" spans="16:16" x14ac:dyDescent="0.35">
      <c r="P7017" s="8"/>
    </row>
    <row r="7018" spans="16:16" x14ac:dyDescent="0.35">
      <c r="P7018" s="8"/>
    </row>
    <row r="7019" spans="16:16" x14ac:dyDescent="0.35">
      <c r="P7019" s="8"/>
    </row>
    <row r="7020" spans="16:16" x14ac:dyDescent="0.35">
      <c r="P7020" s="8"/>
    </row>
    <row r="7021" spans="16:16" x14ac:dyDescent="0.35">
      <c r="P7021" s="8"/>
    </row>
    <row r="7022" spans="16:16" x14ac:dyDescent="0.35">
      <c r="P7022" s="8"/>
    </row>
    <row r="7023" spans="16:16" x14ac:dyDescent="0.35">
      <c r="P7023" s="8"/>
    </row>
    <row r="7024" spans="16:16" x14ac:dyDescent="0.35">
      <c r="P7024" s="8"/>
    </row>
    <row r="7025" spans="16:16" x14ac:dyDescent="0.35">
      <c r="P7025" s="8"/>
    </row>
    <row r="7026" spans="16:16" x14ac:dyDescent="0.35">
      <c r="P7026" s="8"/>
    </row>
    <row r="7027" spans="16:16" x14ac:dyDescent="0.35">
      <c r="P7027" s="8"/>
    </row>
    <row r="7028" spans="16:16" x14ac:dyDescent="0.35">
      <c r="P7028" s="8"/>
    </row>
    <row r="7029" spans="16:16" x14ac:dyDescent="0.35">
      <c r="P7029" s="8"/>
    </row>
    <row r="7030" spans="16:16" x14ac:dyDescent="0.35">
      <c r="P7030" s="8"/>
    </row>
    <row r="7031" spans="16:16" x14ac:dyDescent="0.35">
      <c r="P7031" s="8"/>
    </row>
    <row r="7032" spans="16:16" x14ac:dyDescent="0.35">
      <c r="P7032" s="8"/>
    </row>
    <row r="7033" spans="16:16" x14ac:dyDescent="0.35">
      <c r="P7033" s="8"/>
    </row>
    <row r="7034" spans="16:16" x14ac:dyDescent="0.35">
      <c r="P7034" s="8"/>
    </row>
    <row r="7035" spans="16:16" x14ac:dyDescent="0.35">
      <c r="P7035" s="8"/>
    </row>
    <row r="7036" spans="16:16" x14ac:dyDescent="0.35">
      <c r="P7036" s="8"/>
    </row>
    <row r="7037" spans="16:16" x14ac:dyDescent="0.35">
      <c r="P7037" s="8"/>
    </row>
    <row r="7038" spans="16:16" x14ac:dyDescent="0.35">
      <c r="P7038" s="8"/>
    </row>
    <row r="7039" spans="16:16" x14ac:dyDescent="0.35">
      <c r="P7039" s="8"/>
    </row>
    <row r="7040" spans="16:16" x14ac:dyDescent="0.35">
      <c r="P7040" s="8"/>
    </row>
    <row r="7041" spans="16:16" x14ac:dyDescent="0.35">
      <c r="P7041" s="8"/>
    </row>
    <row r="7042" spans="16:16" x14ac:dyDescent="0.35">
      <c r="P7042" s="8"/>
    </row>
    <row r="7043" spans="16:16" x14ac:dyDescent="0.35">
      <c r="P7043" s="8"/>
    </row>
    <row r="7044" spans="16:16" x14ac:dyDescent="0.35">
      <c r="P7044" s="8"/>
    </row>
    <row r="7045" spans="16:16" x14ac:dyDescent="0.35">
      <c r="P7045" s="8"/>
    </row>
    <row r="7046" spans="16:16" x14ac:dyDescent="0.35">
      <c r="P7046" s="8"/>
    </row>
    <row r="7047" spans="16:16" x14ac:dyDescent="0.35">
      <c r="P7047" s="8"/>
    </row>
    <row r="7048" spans="16:16" x14ac:dyDescent="0.35">
      <c r="P7048" s="8"/>
    </row>
    <row r="7049" spans="16:16" x14ac:dyDescent="0.35">
      <c r="P7049" s="8"/>
    </row>
    <row r="7050" spans="16:16" x14ac:dyDescent="0.35">
      <c r="P7050" s="8"/>
    </row>
    <row r="7051" spans="16:16" x14ac:dyDescent="0.35">
      <c r="P7051" s="8"/>
    </row>
    <row r="7052" spans="16:16" x14ac:dyDescent="0.35">
      <c r="P7052" s="8"/>
    </row>
    <row r="7053" spans="16:16" x14ac:dyDescent="0.35">
      <c r="P7053" s="8"/>
    </row>
    <row r="7054" spans="16:16" x14ac:dyDescent="0.35">
      <c r="P7054" s="8"/>
    </row>
    <row r="7055" spans="16:16" x14ac:dyDescent="0.35">
      <c r="P7055" s="8"/>
    </row>
    <row r="7056" spans="16:16" x14ac:dyDescent="0.35">
      <c r="P7056" s="8"/>
    </row>
    <row r="7057" spans="16:16" x14ac:dyDescent="0.35">
      <c r="P7057" s="8"/>
    </row>
    <row r="7058" spans="16:16" x14ac:dyDescent="0.35">
      <c r="P7058" s="8"/>
    </row>
    <row r="7059" spans="16:16" x14ac:dyDescent="0.35">
      <c r="P7059" s="8"/>
    </row>
    <row r="7060" spans="16:16" x14ac:dyDescent="0.35">
      <c r="P7060" s="8"/>
    </row>
    <row r="7061" spans="16:16" x14ac:dyDescent="0.35">
      <c r="P7061" s="8"/>
    </row>
    <row r="7062" spans="16:16" x14ac:dyDescent="0.35">
      <c r="P7062" s="8"/>
    </row>
    <row r="7063" spans="16:16" x14ac:dyDescent="0.35">
      <c r="P7063" s="8"/>
    </row>
    <row r="7064" spans="16:16" x14ac:dyDescent="0.35">
      <c r="P7064" s="8"/>
    </row>
    <row r="7065" spans="16:16" x14ac:dyDescent="0.35">
      <c r="P7065" s="8"/>
    </row>
    <row r="7066" spans="16:16" x14ac:dyDescent="0.35">
      <c r="P7066" s="8"/>
    </row>
    <row r="7067" spans="16:16" x14ac:dyDescent="0.35">
      <c r="P7067" s="8"/>
    </row>
    <row r="7068" spans="16:16" x14ac:dyDescent="0.35">
      <c r="P7068" s="8"/>
    </row>
    <row r="7069" spans="16:16" x14ac:dyDescent="0.35">
      <c r="P7069" s="8"/>
    </row>
    <row r="7070" spans="16:16" x14ac:dyDescent="0.35">
      <c r="P7070" s="8"/>
    </row>
    <row r="7071" spans="16:16" x14ac:dyDescent="0.35">
      <c r="P7071" s="8"/>
    </row>
    <row r="7072" spans="16:16" x14ac:dyDescent="0.35">
      <c r="P7072" s="8"/>
    </row>
    <row r="7073" spans="16:16" x14ac:dyDescent="0.35">
      <c r="P7073" s="8"/>
    </row>
    <row r="7074" spans="16:16" x14ac:dyDescent="0.35">
      <c r="P7074" s="8"/>
    </row>
    <row r="7075" spans="16:16" x14ac:dyDescent="0.35">
      <c r="P7075" s="8"/>
    </row>
    <row r="7076" spans="16:16" x14ac:dyDescent="0.35">
      <c r="P7076" s="8"/>
    </row>
    <row r="7077" spans="16:16" x14ac:dyDescent="0.35">
      <c r="P7077" s="8"/>
    </row>
    <row r="7078" spans="16:16" x14ac:dyDescent="0.35">
      <c r="P7078" s="8"/>
    </row>
    <row r="7079" spans="16:16" x14ac:dyDescent="0.35">
      <c r="P7079" s="8"/>
    </row>
    <row r="7080" spans="16:16" x14ac:dyDescent="0.35">
      <c r="P7080" s="8"/>
    </row>
    <row r="7081" spans="16:16" x14ac:dyDescent="0.35">
      <c r="P7081" s="8"/>
    </row>
    <row r="7082" spans="16:16" x14ac:dyDescent="0.35">
      <c r="P7082" s="8"/>
    </row>
    <row r="7083" spans="16:16" x14ac:dyDescent="0.35">
      <c r="P7083" s="8"/>
    </row>
    <row r="7084" spans="16:16" x14ac:dyDescent="0.35">
      <c r="P7084" s="8"/>
    </row>
    <row r="7085" spans="16:16" x14ac:dyDescent="0.35">
      <c r="P7085" s="8"/>
    </row>
    <row r="7086" spans="16:16" x14ac:dyDescent="0.35">
      <c r="P7086" s="8"/>
    </row>
    <row r="7087" spans="16:16" x14ac:dyDescent="0.35">
      <c r="P7087" s="8"/>
    </row>
    <row r="7088" spans="16:16" x14ac:dyDescent="0.35">
      <c r="P7088" s="8"/>
    </row>
    <row r="7089" spans="16:16" x14ac:dyDescent="0.35">
      <c r="P7089" s="8"/>
    </row>
    <row r="7090" spans="16:16" x14ac:dyDescent="0.35">
      <c r="P7090" s="8"/>
    </row>
    <row r="7091" spans="16:16" x14ac:dyDescent="0.35">
      <c r="P7091" s="8"/>
    </row>
    <row r="7092" spans="16:16" x14ac:dyDescent="0.35">
      <c r="P7092" s="8"/>
    </row>
    <row r="7093" spans="16:16" x14ac:dyDescent="0.35">
      <c r="P7093" s="8"/>
    </row>
    <row r="7094" spans="16:16" x14ac:dyDescent="0.35">
      <c r="P7094" s="8"/>
    </row>
    <row r="7095" spans="16:16" x14ac:dyDescent="0.35">
      <c r="P7095" s="8"/>
    </row>
    <row r="7096" spans="16:16" x14ac:dyDescent="0.35">
      <c r="P7096" s="8"/>
    </row>
    <row r="7097" spans="16:16" x14ac:dyDescent="0.35">
      <c r="P7097" s="8"/>
    </row>
    <row r="7098" spans="16:16" x14ac:dyDescent="0.35">
      <c r="P7098" s="8"/>
    </row>
    <row r="7099" spans="16:16" x14ac:dyDescent="0.35">
      <c r="P7099" s="8"/>
    </row>
    <row r="7100" spans="16:16" x14ac:dyDescent="0.35">
      <c r="P7100" s="8"/>
    </row>
    <row r="7101" spans="16:16" x14ac:dyDescent="0.35">
      <c r="P7101" s="8"/>
    </row>
    <row r="7102" spans="16:16" x14ac:dyDescent="0.35">
      <c r="P7102" s="8"/>
    </row>
    <row r="7103" spans="16:16" x14ac:dyDescent="0.35">
      <c r="P7103" s="8"/>
    </row>
    <row r="7104" spans="16:16" x14ac:dyDescent="0.35">
      <c r="P7104" s="8"/>
    </row>
    <row r="7105" spans="16:16" x14ac:dyDescent="0.35">
      <c r="P7105" s="8"/>
    </row>
    <row r="7106" spans="16:16" x14ac:dyDescent="0.35">
      <c r="P7106" s="8"/>
    </row>
    <row r="7107" spans="16:16" x14ac:dyDescent="0.35">
      <c r="P7107" s="8"/>
    </row>
    <row r="7108" spans="16:16" x14ac:dyDescent="0.35">
      <c r="P7108" s="8"/>
    </row>
    <row r="7109" spans="16:16" x14ac:dyDescent="0.35">
      <c r="P7109" s="8"/>
    </row>
    <row r="7110" spans="16:16" x14ac:dyDescent="0.35">
      <c r="P7110" s="8"/>
    </row>
    <row r="7111" spans="16:16" x14ac:dyDescent="0.35">
      <c r="P7111" s="8"/>
    </row>
    <row r="7112" spans="16:16" x14ac:dyDescent="0.35">
      <c r="P7112" s="8"/>
    </row>
    <row r="7113" spans="16:16" x14ac:dyDescent="0.35">
      <c r="P7113" s="8"/>
    </row>
    <row r="7114" spans="16:16" x14ac:dyDescent="0.35">
      <c r="P7114" s="8"/>
    </row>
    <row r="7115" spans="16:16" x14ac:dyDescent="0.35">
      <c r="P7115" s="8"/>
    </row>
    <row r="7116" spans="16:16" x14ac:dyDescent="0.35">
      <c r="P7116" s="8"/>
    </row>
    <row r="7117" spans="16:16" x14ac:dyDescent="0.35">
      <c r="P7117" s="8"/>
    </row>
    <row r="7118" spans="16:16" x14ac:dyDescent="0.35">
      <c r="P7118" s="8"/>
    </row>
    <row r="7119" spans="16:16" x14ac:dyDescent="0.35">
      <c r="P7119" s="8"/>
    </row>
    <row r="7120" spans="16:16" x14ac:dyDescent="0.35">
      <c r="P7120" s="8"/>
    </row>
    <row r="7121" spans="16:16" x14ac:dyDescent="0.35">
      <c r="P7121" s="8"/>
    </row>
    <row r="7122" spans="16:16" x14ac:dyDescent="0.35">
      <c r="P7122" s="8"/>
    </row>
    <row r="7123" spans="16:16" x14ac:dyDescent="0.35">
      <c r="P7123" s="8"/>
    </row>
    <row r="7124" spans="16:16" x14ac:dyDescent="0.35">
      <c r="P7124" s="8"/>
    </row>
    <row r="7125" spans="16:16" x14ac:dyDescent="0.35">
      <c r="P7125" s="8"/>
    </row>
    <row r="7126" spans="16:16" x14ac:dyDescent="0.35">
      <c r="P7126" s="8"/>
    </row>
    <row r="7127" spans="16:16" x14ac:dyDescent="0.35">
      <c r="P7127" s="8"/>
    </row>
    <row r="7128" spans="16:16" x14ac:dyDescent="0.35">
      <c r="P7128" s="8"/>
    </row>
    <row r="7129" spans="16:16" x14ac:dyDescent="0.35">
      <c r="P7129" s="8"/>
    </row>
    <row r="7130" spans="16:16" x14ac:dyDescent="0.35">
      <c r="P7130" s="8"/>
    </row>
    <row r="7131" spans="16:16" x14ac:dyDescent="0.35">
      <c r="P7131" s="8"/>
    </row>
    <row r="7132" spans="16:16" x14ac:dyDescent="0.35">
      <c r="P7132" s="8"/>
    </row>
    <row r="7133" spans="16:16" x14ac:dyDescent="0.35">
      <c r="P7133" s="8"/>
    </row>
    <row r="7134" spans="16:16" x14ac:dyDescent="0.35">
      <c r="P7134" s="8"/>
    </row>
    <row r="7135" spans="16:16" x14ac:dyDescent="0.35">
      <c r="P7135" s="8"/>
    </row>
    <row r="7136" spans="16:16" x14ac:dyDescent="0.35">
      <c r="P7136" s="8"/>
    </row>
    <row r="7137" spans="16:16" x14ac:dyDescent="0.35">
      <c r="P7137" s="8"/>
    </row>
    <row r="7138" spans="16:16" x14ac:dyDescent="0.35">
      <c r="P7138" s="8"/>
    </row>
    <row r="7139" spans="16:16" x14ac:dyDescent="0.35">
      <c r="P7139" s="8"/>
    </row>
    <row r="7140" spans="16:16" x14ac:dyDescent="0.35">
      <c r="P7140" s="8"/>
    </row>
    <row r="7141" spans="16:16" x14ac:dyDescent="0.35">
      <c r="P7141" s="8"/>
    </row>
    <row r="7142" spans="16:16" x14ac:dyDescent="0.35">
      <c r="P7142" s="8"/>
    </row>
    <row r="7143" spans="16:16" x14ac:dyDescent="0.35">
      <c r="P7143" s="8"/>
    </row>
    <row r="7144" spans="16:16" x14ac:dyDescent="0.35">
      <c r="P7144" s="8"/>
    </row>
    <row r="7145" spans="16:16" x14ac:dyDescent="0.35">
      <c r="P7145" s="8"/>
    </row>
    <row r="7146" spans="16:16" x14ac:dyDescent="0.35">
      <c r="P7146" s="8"/>
    </row>
    <row r="7147" spans="16:16" x14ac:dyDescent="0.35">
      <c r="P7147" s="8"/>
    </row>
    <row r="7148" spans="16:16" x14ac:dyDescent="0.35">
      <c r="P7148" s="8"/>
    </row>
    <row r="7149" spans="16:16" x14ac:dyDescent="0.35">
      <c r="P7149" s="8"/>
    </row>
    <row r="7150" spans="16:16" x14ac:dyDescent="0.35">
      <c r="P7150" s="8"/>
    </row>
    <row r="7151" spans="16:16" x14ac:dyDescent="0.35">
      <c r="P7151" s="8"/>
    </row>
    <row r="7152" spans="16:16" x14ac:dyDescent="0.35">
      <c r="P7152" s="8"/>
    </row>
    <row r="7153" spans="16:16" x14ac:dyDescent="0.35">
      <c r="P7153" s="8"/>
    </row>
    <row r="7154" spans="16:16" x14ac:dyDescent="0.35">
      <c r="P7154" s="8"/>
    </row>
    <row r="7155" spans="16:16" x14ac:dyDescent="0.35">
      <c r="P7155" s="8"/>
    </row>
    <row r="7156" spans="16:16" x14ac:dyDescent="0.35">
      <c r="P7156" s="8"/>
    </row>
    <row r="7157" spans="16:16" x14ac:dyDescent="0.35">
      <c r="P7157" s="8"/>
    </row>
    <row r="7158" spans="16:16" x14ac:dyDescent="0.35">
      <c r="P7158" s="8"/>
    </row>
    <row r="7159" spans="16:16" x14ac:dyDescent="0.35">
      <c r="P7159" s="8"/>
    </row>
    <row r="7160" spans="16:16" x14ac:dyDescent="0.35">
      <c r="P7160" s="8"/>
    </row>
    <row r="7161" spans="16:16" x14ac:dyDescent="0.35">
      <c r="P7161" s="8"/>
    </row>
    <row r="7162" spans="16:16" x14ac:dyDescent="0.35">
      <c r="P7162" s="8"/>
    </row>
    <row r="7163" spans="16:16" x14ac:dyDescent="0.35">
      <c r="P7163" s="8"/>
    </row>
    <row r="7164" spans="16:16" x14ac:dyDescent="0.35">
      <c r="P7164" s="8"/>
    </row>
    <row r="7165" spans="16:16" x14ac:dyDescent="0.35">
      <c r="P7165" s="8"/>
    </row>
    <row r="7166" spans="16:16" x14ac:dyDescent="0.35">
      <c r="P7166" s="8"/>
    </row>
    <row r="7167" spans="16:16" x14ac:dyDescent="0.35">
      <c r="P7167" s="8"/>
    </row>
    <row r="7168" spans="16:16" x14ac:dyDescent="0.35">
      <c r="P7168" s="8"/>
    </row>
    <row r="7169" spans="16:16" x14ac:dyDescent="0.35">
      <c r="P7169" s="8"/>
    </row>
    <row r="7170" spans="16:16" x14ac:dyDescent="0.35">
      <c r="P7170" s="8"/>
    </row>
    <row r="7171" spans="16:16" x14ac:dyDescent="0.35">
      <c r="P7171" s="8"/>
    </row>
    <row r="7172" spans="16:16" x14ac:dyDescent="0.35">
      <c r="P7172" s="8"/>
    </row>
    <row r="7173" spans="16:16" x14ac:dyDescent="0.35">
      <c r="P7173" s="8"/>
    </row>
    <row r="7174" spans="16:16" x14ac:dyDescent="0.35">
      <c r="P7174" s="8"/>
    </row>
    <row r="7175" spans="16:16" x14ac:dyDescent="0.35">
      <c r="P7175" s="8"/>
    </row>
    <row r="7176" spans="16:16" x14ac:dyDescent="0.35">
      <c r="P7176" s="8"/>
    </row>
    <row r="7177" spans="16:16" x14ac:dyDescent="0.35">
      <c r="P7177" s="8"/>
    </row>
    <row r="7178" spans="16:16" x14ac:dyDescent="0.35">
      <c r="P7178" s="8"/>
    </row>
    <row r="7179" spans="16:16" x14ac:dyDescent="0.35">
      <c r="P7179" s="8"/>
    </row>
    <row r="7180" spans="16:16" x14ac:dyDescent="0.35">
      <c r="P7180" s="8"/>
    </row>
    <row r="7181" spans="16:16" x14ac:dyDescent="0.35">
      <c r="P7181" s="8"/>
    </row>
    <row r="7182" spans="16:16" x14ac:dyDescent="0.35">
      <c r="P7182" s="8"/>
    </row>
    <row r="7183" spans="16:16" x14ac:dyDescent="0.35">
      <c r="P7183" s="8"/>
    </row>
    <row r="7184" spans="16:16" x14ac:dyDescent="0.35">
      <c r="P7184" s="8"/>
    </row>
    <row r="7185" spans="16:16" x14ac:dyDescent="0.35">
      <c r="P7185" s="8"/>
    </row>
    <row r="7186" spans="16:16" x14ac:dyDescent="0.35">
      <c r="P7186" s="8"/>
    </row>
    <row r="7187" spans="16:16" x14ac:dyDescent="0.35">
      <c r="P7187" s="8"/>
    </row>
    <row r="7188" spans="16:16" x14ac:dyDescent="0.35">
      <c r="P7188" s="8"/>
    </row>
    <row r="7189" spans="16:16" x14ac:dyDescent="0.35">
      <c r="P7189" s="8"/>
    </row>
    <row r="7190" spans="16:16" x14ac:dyDescent="0.35">
      <c r="P7190" s="8"/>
    </row>
    <row r="7191" spans="16:16" x14ac:dyDescent="0.35">
      <c r="P7191" s="8"/>
    </row>
    <row r="7192" spans="16:16" x14ac:dyDescent="0.35">
      <c r="P7192" s="8"/>
    </row>
    <row r="7193" spans="16:16" x14ac:dyDescent="0.35">
      <c r="P7193" s="8"/>
    </row>
    <row r="7194" spans="16:16" x14ac:dyDescent="0.35">
      <c r="P7194" s="8"/>
    </row>
    <row r="7195" spans="16:16" x14ac:dyDescent="0.35">
      <c r="P7195" s="8"/>
    </row>
    <row r="7196" spans="16:16" x14ac:dyDescent="0.35">
      <c r="P7196" s="8"/>
    </row>
    <row r="7197" spans="16:16" x14ac:dyDescent="0.35">
      <c r="P7197" s="8"/>
    </row>
    <row r="7198" spans="16:16" x14ac:dyDescent="0.35">
      <c r="P7198" s="8"/>
    </row>
    <row r="7199" spans="16:16" x14ac:dyDescent="0.35">
      <c r="P7199" s="8"/>
    </row>
    <row r="7200" spans="16:16" x14ac:dyDescent="0.35">
      <c r="P7200" s="8"/>
    </row>
    <row r="7201" spans="16:16" x14ac:dyDescent="0.35">
      <c r="P7201" s="8"/>
    </row>
    <row r="7202" spans="16:16" x14ac:dyDescent="0.35">
      <c r="P7202" s="8"/>
    </row>
    <row r="7203" spans="16:16" x14ac:dyDescent="0.35">
      <c r="P7203" s="8"/>
    </row>
    <row r="7204" spans="16:16" x14ac:dyDescent="0.35">
      <c r="P7204" s="8"/>
    </row>
    <row r="7205" spans="16:16" x14ac:dyDescent="0.35">
      <c r="P7205" s="8"/>
    </row>
    <row r="7206" spans="16:16" x14ac:dyDescent="0.35">
      <c r="P7206" s="8"/>
    </row>
    <row r="7207" spans="16:16" x14ac:dyDescent="0.35">
      <c r="P7207" s="8"/>
    </row>
    <row r="7208" spans="16:16" x14ac:dyDescent="0.35">
      <c r="P7208" s="8"/>
    </row>
    <row r="7209" spans="16:16" x14ac:dyDescent="0.35">
      <c r="P7209" s="8"/>
    </row>
    <row r="7210" spans="16:16" x14ac:dyDescent="0.35">
      <c r="P7210" s="8"/>
    </row>
    <row r="7211" spans="16:16" x14ac:dyDescent="0.35">
      <c r="P7211" s="8"/>
    </row>
    <row r="7212" spans="16:16" x14ac:dyDescent="0.35">
      <c r="P7212" s="8"/>
    </row>
    <row r="7213" spans="16:16" x14ac:dyDescent="0.35">
      <c r="P7213" s="8"/>
    </row>
    <row r="7214" spans="16:16" x14ac:dyDescent="0.35">
      <c r="P7214" s="8"/>
    </row>
    <row r="7215" spans="16:16" x14ac:dyDescent="0.35">
      <c r="P7215" s="8"/>
    </row>
    <row r="7216" spans="16:16" x14ac:dyDescent="0.35">
      <c r="P7216" s="8"/>
    </row>
    <row r="7217" spans="16:16" x14ac:dyDescent="0.35">
      <c r="P7217" s="8"/>
    </row>
    <row r="7218" spans="16:16" x14ac:dyDescent="0.35">
      <c r="P7218" s="8"/>
    </row>
    <row r="7219" spans="16:16" x14ac:dyDescent="0.35">
      <c r="P7219" s="8"/>
    </row>
    <row r="7220" spans="16:16" x14ac:dyDescent="0.35">
      <c r="P7220" s="8"/>
    </row>
    <row r="7221" spans="16:16" x14ac:dyDescent="0.35">
      <c r="P7221" s="8"/>
    </row>
    <row r="7222" spans="16:16" x14ac:dyDescent="0.35">
      <c r="P7222" s="8"/>
    </row>
    <row r="7223" spans="16:16" x14ac:dyDescent="0.35">
      <c r="P7223" s="8"/>
    </row>
    <row r="7224" spans="16:16" x14ac:dyDescent="0.35">
      <c r="P7224" s="8"/>
    </row>
    <row r="7225" spans="16:16" x14ac:dyDescent="0.35">
      <c r="P7225" s="8"/>
    </row>
    <row r="7226" spans="16:16" x14ac:dyDescent="0.35">
      <c r="P7226" s="8"/>
    </row>
    <row r="7227" spans="16:16" x14ac:dyDescent="0.35">
      <c r="P7227" s="8"/>
    </row>
    <row r="7228" spans="16:16" x14ac:dyDescent="0.35">
      <c r="P7228" s="8"/>
    </row>
    <row r="7229" spans="16:16" x14ac:dyDescent="0.35">
      <c r="P7229" s="8"/>
    </row>
    <row r="7230" spans="16:16" x14ac:dyDescent="0.35">
      <c r="P7230" s="8"/>
    </row>
    <row r="7231" spans="16:16" x14ac:dyDescent="0.35">
      <c r="P7231" s="8"/>
    </row>
    <row r="7232" spans="16:16" x14ac:dyDescent="0.35">
      <c r="P7232" s="8"/>
    </row>
    <row r="7233" spans="16:16" x14ac:dyDescent="0.35">
      <c r="P7233" s="8"/>
    </row>
    <row r="7234" spans="16:16" x14ac:dyDescent="0.35">
      <c r="P7234" s="8"/>
    </row>
    <row r="7235" spans="16:16" x14ac:dyDescent="0.35">
      <c r="P7235" s="8"/>
    </row>
    <row r="7236" spans="16:16" x14ac:dyDescent="0.35">
      <c r="P7236" s="8"/>
    </row>
    <row r="7237" spans="16:16" x14ac:dyDescent="0.35">
      <c r="P7237" s="8"/>
    </row>
    <row r="7238" spans="16:16" x14ac:dyDescent="0.35">
      <c r="P7238" s="8"/>
    </row>
    <row r="7239" spans="16:16" x14ac:dyDescent="0.35">
      <c r="P7239" s="8"/>
    </row>
    <row r="7240" spans="16:16" x14ac:dyDescent="0.35">
      <c r="P7240" s="8"/>
    </row>
    <row r="7241" spans="16:16" x14ac:dyDescent="0.35">
      <c r="P7241" s="8"/>
    </row>
    <row r="7242" spans="16:16" x14ac:dyDescent="0.35">
      <c r="P7242" s="8"/>
    </row>
    <row r="7243" spans="16:16" x14ac:dyDescent="0.35">
      <c r="P7243" s="8"/>
    </row>
    <row r="7244" spans="16:16" x14ac:dyDescent="0.35">
      <c r="P7244" s="8"/>
    </row>
    <row r="7245" spans="16:16" x14ac:dyDescent="0.35">
      <c r="P7245" s="8"/>
    </row>
    <row r="7246" spans="16:16" x14ac:dyDescent="0.35">
      <c r="P7246" s="8"/>
    </row>
    <row r="7247" spans="16:16" x14ac:dyDescent="0.35">
      <c r="P7247" s="8"/>
    </row>
    <row r="7248" spans="16:16" x14ac:dyDescent="0.35">
      <c r="P7248" s="8"/>
    </row>
    <row r="7249" spans="16:16" x14ac:dyDescent="0.35">
      <c r="P7249" s="8"/>
    </row>
    <row r="7250" spans="16:16" x14ac:dyDescent="0.35">
      <c r="P7250" s="8"/>
    </row>
    <row r="7251" spans="16:16" x14ac:dyDescent="0.35">
      <c r="P7251" s="8"/>
    </row>
    <row r="7252" spans="16:16" x14ac:dyDescent="0.35">
      <c r="P7252" s="8"/>
    </row>
    <row r="7253" spans="16:16" x14ac:dyDescent="0.35">
      <c r="P7253" s="8"/>
    </row>
    <row r="7254" spans="16:16" x14ac:dyDescent="0.35">
      <c r="P7254" s="8"/>
    </row>
    <row r="7255" spans="16:16" x14ac:dyDescent="0.35">
      <c r="P7255" s="8"/>
    </row>
    <row r="7256" spans="16:16" x14ac:dyDescent="0.35">
      <c r="P7256" s="8"/>
    </row>
    <row r="7257" spans="16:16" x14ac:dyDescent="0.35">
      <c r="P7257" s="8"/>
    </row>
    <row r="7258" spans="16:16" x14ac:dyDescent="0.35">
      <c r="P7258" s="8"/>
    </row>
    <row r="7259" spans="16:16" x14ac:dyDescent="0.35">
      <c r="P7259" s="8"/>
    </row>
    <row r="7260" spans="16:16" x14ac:dyDescent="0.35">
      <c r="P7260" s="8"/>
    </row>
    <row r="7261" spans="16:16" x14ac:dyDescent="0.35">
      <c r="P7261" s="8"/>
    </row>
    <row r="7262" spans="16:16" x14ac:dyDescent="0.35">
      <c r="P7262" s="8"/>
    </row>
    <row r="7263" spans="16:16" x14ac:dyDescent="0.35">
      <c r="P7263" s="8"/>
    </row>
    <row r="7264" spans="16:16" x14ac:dyDescent="0.35">
      <c r="P7264" s="8"/>
    </row>
    <row r="7265" spans="16:16" x14ac:dyDescent="0.35">
      <c r="P7265" s="8"/>
    </row>
    <row r="7266" spans="16:16" x14ac:dyDescent="0.35">
      <c r="P7266" s="8"/>
    </row>
    <row r="7267" spans="16:16" x14ac:dyDescent="0.35">
      <c r="P7267" s="8"/>
    </row>
    <row r="7268" spans="16:16" x14ac:dyDescent="0.35">
      <c r="P7268" s="8"/>
    </row>
    <row r="7269" spans="16:16" x14ac:dyDescent="0.35">
      <c r="P7269" s="8"/>
    </row>
    <row r="7270" spans="16:16" x14ac:dyDescent="0.35">
      <c r="P7270" s="8"/>
    </row>
    <row r="7271" spans="16:16" x14ac:dyDescent="0.35">
      <c r="P7271" s="8"/>
    </row>
    <row r="7272" spans="16:16" x14ac:dyDescent="0.35">
      <c r="P7272" s="8"/>
    </row>
    <row r="7273" spans="16:16" x14ac:dyDescent="0.35">
      <c r="P7273" s="8"/>
    </row>
    <row r="7274" spans="16:16" x14ac:dyDescent="0.35">
      <c r="P7274" s="8"/>
    </row>
    <row r="7275" spans="16:16" x14ac:dyDescent="0.35">
      <c r="P7275" s="8"/>
    </row>
    <row r="7276" spans="16:16" x14ac:dyDescent="0.35">
      <c r="P7276" s="8"/>
    </row>
    <row r="7277" spans="16:16" x14ac:dyDescent="0.35">
      <c r="P7277" s="8"/>
    </row>
    <row r="7278" spans="16:16" x14ac:dyDescent="0.35">
      <c r="P7278" s="8"/>
    </row>
    <row r="7279" spans="16:16" x14ac:dyDescent="0.35">
      <c r="P7279" s="8"/>
    </row>
    <row r="7280" spans="16:16" x14ac:dyDescent="0.35">
      <c r="P7280" s="8"/>
    </row>
    <row r="7281" spans="16:16" x14ac:dyDescent="0.35">
      <c r="P7281" s="8"/>
    </row>
    <row r="7282" spans="16:16" x14ac:dyDescent="0.35">
      <c r="P7282" s="8"/>
    </row>
    <row r="7283" spans="16:16" x14ac:dyDescent="0.35">
      <c r="P7283" s="8"/>
    </row>
    <row r="7284" spans="16:16" x14ac:dyDescent="0.35">
      <c r="P7284" s="8"/>
    </row>
    <row r="7285" spans="16:16" x14ac:dyDescent="0.35">
      <c r="P7285" s="8"/>
    </row>
    <row r="7286" spans="16:16" x14ac:dyDescent="0.35">
      <c r="P7286" s="8"/>
    </row>
    <row r="7287" spans="16:16" x14ac:dyDescent="0.35">
      <c r="P7287" s="8"/>
    </row>
    <row r="7288" spans="16:16" x14ac:dyDescent="0.35">
      <c r="P7288" s="8"/>
    </row>
    <row r="7289" spans="16:16" x14ac:dyDescent="0.35">
      <c r="P7289" s="8"/>
    </row>
    <row r="7290" spans="16:16" x14ac:dyDescent="0.35">
      <c r="P7290" s="8"/>
    </row>
    <row r="7291" spans="16:16" x14ac:dyDescent="0.35">
      <c r="P7291" s="8"/>
    </row>
    <row r="7292" spans="16:16" x14ac:dyDescent="0.35">
      <c r="P7292" s="8"/>
    </row>
    <row r="7293" spans="16:16" x14ac:dyDescent="0.35">
      <c r="P7293" s="8"/>
    </row>
    <row r="7294" spans="16:16" x14ac:dyDescent="0.35">
      <c r="P7294" s="8"/>
    </row>
    <row r="7295" spans="16:16" x14ac:dyDescent="0.35">
      <c r="P7295" s="8"/>
    </row>
    <row r="7296" spans="16:16" x14ac:dyDescent="0.35">
      <c r="P7296" s="8"/>
    </row>
    <row r="7297" spans="16:16" x14ac:dyDescent="0.35">
      <c r="P7297" s="8"/>
    </row>
    <row r="7298" spans="16:16" x14ac:dyDescent="0.35">
      <c r="P7298" s="8"/>
    </row>
    <row r="7299" spans="16:16" x14ac:dyDescent="0.35">
      <c r="P7299" s="8"/>
    </row>
    <row r="7300" spans="16:16" x14ac:dyDescent="0.35">
      <c r="P7300" s="8"/>
    </row>
    <row r="7301" spans="16:16" x14ac:dyDescent="0.35">
      <c r="P7301" s="8"/>
    </row>
    <row r="7302" spans="16:16" x14ac:dyDescent="0.35">
      <c r="P7302" s="8"/>
    </row>
    <row r="7303" spans="16:16" x14ac:dyDescent="0.35">
      <c r="P7303" s="8"/>
    </row>
    <row r="7304" spans="16:16" x14ac:dyDescent="0.35">
      <c r="P7304" s="8"/>
    </row>
    <row r="7305" spans="16:16" x14ac:dyDescent="0.35">
      <c r="P7305" s="8"/>
    </row>
    <row r="7306" spans="16:16" x14ac:dyDescent="0.35">
      <c r="P7306" s="8"/>
    </row>
    <row r="7307" spans="16:16" x14ac:dyDescent="0.35">
      <c r="P7307" s="8"/>
    </row>
    <row r="7308" spans="16:16" x14ac:dyDescent="0.35">
      <c r="P7308" s="8"/>
    </row>
    <row r="7309" spans="16:16" x14ac:dyDescent="0.35">
      <c r="P7309" s="8"/>
    </row>
    <row r="7310" spans="16:16" x14ac:dyDescent="0.35">
      <c r="P7310" s="8"/>
    </row>
    <row r="7311" spans="16:16" x14ac:dyDescent="0.35">
      <c r="P7311" s="8"/>
    </row>
    <row r="7312" spans="16:16" x14ac:dyDescent="0.35">
      <c r="P7312" s="8"/>
    </row>
    <row r="7313" spans="16:16" x14ac:dyDescent="0.35">
      <c r="P7313" s="8"/>
    </row>
    <row r="7314" spans="16:16" x14ac:dyDescent="0.35">
      <c r="P7314" s="8"/>
    </row>
    <row r="7315" spans="16:16" x14ac:dyDescent="0.35">
      <c r="P7315" s="8"/>
    </row>
    <row r="7316" spans="16:16" x14ac:dyDescent="0.35">
      <c r="P7316" s="8"/>
    </row>
    <row r="7317" spans="16:16" x14ac:dyDescent="0.35">
      <c r="P7317" s="8"/>
    </row>
    <row r="7318" spans="16:16" x14ac:dyDescent="0.35">
      <c r="P7318" s="8"/>
    </row>
    <row r="7319" spans="16:16" x14ac:dyDescent="0.35">
      <c r="P7319" s="8"/>
    </row>
    <row r="7320" spans="16:16" x14ac:dyDescent="0.35">
      <c r="P7320" s="8"/>
    </row>
    <row r="7321" spans="16:16" x14ac:dyDescent="0.35">
      <c r="P7321" s="8"/>
    </row>
    <row r="7322" spans="16:16" x14ac:dyDescent="0.35">
      <c r="P7322" s="8"/>
    </row>
    <row r="7323" spans="16:16" x14ac:dyDescent="0.35">
      <c r="P7323" s="8"/>
    </row>
    <row r="7324" spans="16:16" x14ac:dyDescent="0.35">
      <c r="P7324" s="8"/>
    </row>
    <row r="7325" spans="16:16" x14ac:dyDescent="0.35">
      <c r="P7325" s="8"/>
    </row>
    <row r="7326" spans="16:16" x14ac:dyDescent="0.35">
      <c r="P7326" s="8"/>
    </row>
    <row r="7327" spans="16:16" x14ac:dyDescent="0.35">
      <c r="P7327" s="8"/>
    </row>
    <row r="7328" spans="16:16" x14ac:dyDescent="0.35">
      <c r="P7328" s="8"/>
    </row>
    <row r="7329" spans="16:16" x14ac:dyDescent="0.35">
      <c r="P7329" s="8"/>
    </row>
    <row r="7330" spans="16:16" x14ac:dyDescent="0.35">
      <c r="P7330" s="8"/>
    </row>
    <row r="7331" spans="16:16" x14ac:dyDescent="0.35">
      <c r="P7331" s="8"/>
    </row>
    <row r="7332" spans="16:16" x14ac:dyDescent="0.35">
      <c r="P7332" s="8"/>
    </row>
    <row r="7333" spans="16:16" x14ac:dyDescent="0.35">
      <c r="P7333" s="8"/>
    </row>
    <row r="7334" spans="16:16" x14ac:dyDescent="0.35">
      <c r="P7334" s="8"/>
    </row>
    <row r="7335" spans="16:16" x14ac:dyDescent="0.35">
      <c r="P7335" s="8"/>
    </row>
    <row r="7336" spans="16:16" x14ac:dyDescent="0.35">
      <c r="P7336" s="8"/>
    </row>
    <row r="7337" spans="16:16" x14ac:dyDescent="0.35">
      <c r="P7337" s="8"/>
    </row>
    <row r="7338" spans="16:16" x14ac:dyDescent="0.35">
      <c r="P7338" s="8"/>
    </row>
    <row r="7339" spans="16:16" x14ac:dyDescent="0.35">
      <c r="P7339" s="8"/>
    </row>
    <row r="7340" spans="16:16" x14ac:dyDescent="0.35">
      <c r="P7340" s="8"/>
    </row>
    <row r="7341" spans="16:16" x14ac:dyDescent="0.35">
      <c r="P7341" s="8"/>
    </row>
    <row r="7342" spans="16:16" x14ac:dyDescent="0.35">
      <c r="P7342" s="8"/>
    </row>
    <row r="7343" spans="16:16" x14ac:dyDescent="0.35">
      <c r="P7343" s="8"/>
    </row>
    <row r="7344" spans="16:16" x14ac:dyDescent="0.35">
      <c r="P7344" s="8"/>
    </row>
    <row r="7345" spans="16:16" x14ac:dyDescent="0.35">
      <c r="P7345" s="8"/>
    </row>
    <row r="7346" spans="16:16" x14ac:dyDescent="0.35">
      <c r="P7346" s="8"/>
    </row>
    <row r="7347" spans="16:16" x14ac:dyDescent="0.35">
      <c r="P7347" s="8"/>
    </row>
    <row r="7348" spans="16:16" x14ac:dyDescent="0.35">
      <c r="P7348" s="8"/>
    </row>
    <row r="7349" spans="16:16" x14ac:dyDescent="0.35">
      <c r="P7349" s="8"/>
    </row>
    <row r="7350" spans="16:16" x14ac:dyDescent="0.35">
      <c r="P7350" s="8"/>
    </row>
    <row r="7351" spans="16:16" x14ac:dyDescent="0.35">
      <c r="P7351" s="8"/>
    </row>
    <row r="7352" spans="16:16" x14ac:dyDescent="0.35">
      <c r="P7352" s="8"/>
    </row>
    <row r="7353" spans="16:16" x14ac:dyDescent="0.35">
      <c r="P7353" s="8"/>
    </row>
    <row r="7354" spans="16:16" x14ac:dyDescent="0.35">
      <c r="P7354" s="8"/>
    </row>
    <row r="7355" spans="16:16" x14ac:dyDescent="0.35">
      <c r="P7355" s="8"/>
    </row>
    <row r="7356" spans="16:16" x14ac:dyDescent="0.35">
      <c r="P7356" s="8"/>
    </row>
    <row r="7357" spans="16:16" x14ac:dyDescent="0.35">
      <c r="P7357" s="8"/>
    </row>
    <row r="7358" spans="16:16" x14ac:dyDescent="0.35">
      <c r="P7358" s="8"/>
    </row>
    <row r="7359" spans="16:16" x14ac:dyDescent="0.35">
      <c r="P7359" s="8"/>
    </row>
    <row r="7360" spans="16:16" x14ac:dyDescent="0.35">
      <c r="P7360" s="8"/>
    </row>
    <row r="7361" spans="16:16" x14ac:dyDescent="0.35">
      <c r="P7361" s="8"/>
    </row>
    <row r="7362" spans="16:16" x14ac:dyDescent="0.35">
      <c r="P7362" s="8"/>
    </row>
    <row r="7363" spans="16:16" x14ac:dyDescent="0.35">
      <c r="P7363" s="8"/>
    </row>
    <row r="7364" spans="16:16" x14ac:dyDescent="0.35">
      <c r="P7364" s="8"/>
    </row>
    <row r="7365" spans="16:16" x14ac:dyDescent="0.35">
      <c r="P7365" s="8"/>
    </row>
    <row r="7366" spans="16:16" x14ac:dyDescent="0.35">
      <c r="P7366" s="8"/>
    </row>
    <row r="7367" spans="16:16" x14ac:dyDescent="0.35">
      <c r="P7367" s="8"/>
    </row>
    <row r="7368" spans="16:16" x14ac:dyDescent="0.35">
      <c r="P7368" s="8"/>
    </row>
    <row r="7369" spans="16:16" x14ac:dyDescent="0.35">
      <c r="P7369" s="8"/>
    </row>
    <row r="7370" spans="16:16" x14ac:dyDescent="0.35">
      <c r="P7370" s="8"/>
    </row>
    <row r="7371" spans="16:16" x14ac:dyDescent="0.35">
      <c r="P7371" s="8"/>
    </row>
    <row r="7372" spans="16:16" x14ac:dyDescent="0.35">
      <c r="P7372" s="8"/>
    </row>
    <row r="7373" spans="16:16" x14ac:dyDescent="0.35">
      <c r="P7373" s="8"/>
    </row>
    <row r="7374" spans="16:16" x14ac:dyDescent="0.35">
      <c r="P7374" s="8"/>
    </row>
    <row r="7375" spans="16:16" x14ac:dyDescent="0.35">
      <c r="P7375" s="8"/>
    </row>
    <row r="7376" spans="16:16" x14ac:dyDescent="0.35">
      <c r="P7376" s="8"/>
    </row>
    <row r="7377" spans="16:16" x14ac:dyDescent="0.35">
      <c r="P7377" s="8"/>
    </row>
    <row r="7378" spans="16:16" x14ac:dyDescent="0.35">
      <c r="P7378" s="8"/>
    </row>
    <row r="7379" spans="16:16" x14ac:dyDescent="0.35">
      <c r="P7379" s="8"/>
    </row>
    <row r="7380" spans="16:16" x14ac:dyDescent="0.35">
      <c r="P7380" s="8"/>
    </row>
    <row r="7381" spans="16:16" x14ac:dyDescent="0.35">
      <c r="P7381" s="8"/>
    </row>
    <row r="7382" spans="16:16" x14ac:dyDescent="0.35">
      <c r="P7382" s="8"/>
    </row>
    <row r="7383" spans="16:16" x14ac:dyDescent="0.35">
      <c r="P7383" s="8"/>
    </row>
    <row r="7384" spans="16:16" x14ac:dyDescent="0.35">
      <c r="P7384" s="8"/>
    </row>
    <row r="7385" spans="16:16" x14ac:dyDescent="0.35">
      <c r="P7385" s="8"/>
    </row>
    <row r="7386" spans="16:16" x14ac:dyDescent="0.35">
      <c r="P7386" s="8"/>
    </row>
    <row r="7387" spans="16:16" x14ac:dyDescent="0.35">
      <c r="P7387" s="8"/>
    </row>
    <row r="7388" spans="16:16" x14ac:dyDescent="0.35">
      <c r="P7388" s="8"/>
    </row>
    <row r="7389" spans="16:16" x14ac:dyDescent="0.35">
      <c r="P7389" s="8"/>
    </row>
    <row r="7390" spans="16:16" x14ac:dyDescent="0.35">
      <c r="P7390" s="8"/>
    </row>
    <row r="7391" spans="16:16" x14ac:dyDescent="0.35">
      <c r="P7391" s="8"/>
    </row>
    <row r="7392" spans="16:16" x14ac:dyDescent="0.35">
      <c r="P7392" s="8"/>
    </row>
    <row r="7393" spans="16:16" x14ac:dyDescent="0.35">
      <c r="P7393" s="8"/>
    </row>
    <row r="7394" spans="16:16" x14ac:dyDescent="0.35">
      <c r="P7394" s="8"/>
    </row>
    <row r="7395" spans="16:16" x14ac:dyDescent="0.35">
      <c r="P7395" s="8"/>
    </row>
    <row r="7396" spans="16:16" x14ac:dyDescent="0.35">
      <c r="P7396" s="8"/>
    </row>
    <row r="7397" spans="16:16" x14ac:dyDescent="0.35">
      <c r="P7397" s="8"/>
    </row>
    <row r="7398" spans="16:16" x14ac:dyDescent="0.35">
      <c r="P7398" s="8"/>
    </row>
    <row r="7399" spans="16:16" x14ac:dyDescent="0.35">
      <c r="P7399" s="8"/>
    </row>
    <row r="7400" spans="16:16" x14ac:dyDescent="0.35">
      <c r="P7400" s="8"/>
    </row>
    <row r="7401" spans="16:16" x14ac:dyDescent="0.35">
      <c r="P7401" s="8"/>
    </row>
    <row r="7402" spans="16:16" x14ac:dyDescent="0.35">
      <c r="P7402" s="8"/>
    </row>
    <row r="7403" spans="16:16" x14ac:dyDescent="0.35">
      <c r="P7403" s="8"/>
    </row>
    <row r="7404" spans="16:16" x14ac:dyDescent="0.35">
      <c r="P7404" s="8"/>
    </row>
    <row r="7405" spans="16:16" x14ac:dyDescent="0.35">
      <c r="P7405" s="8"/>
    </row>
    <row r="7406" spans="16:16" x14ac:dyDescent="0.35">
      <c r="P7406" s="8"/>
    </row>
    <row r="7407" spans="16:16" x14ac:dyDescent="0.35">
      <c r="P7407" s="8"/>
    </row>
    <row r="7408" spans="16:16" x14ac:dyDescent="0.35">
      <c r="P7408" s="8"/>
    </row>
    <row r="7409" spans="16:16" x14ac:dyDescent="0.35">
      <c r="P7409" s="8"/>
    </row>
    <row r="7410" spans="16:16" x14ac:dyDescent="0.35">
      <c r="P7410" s="8"/>
    </row>
    <row r="7411" spans="16:16" x14ac:dyDescent="0.35">
      <c r="P7411" s="8"/>
    </row>
    <row r="7412" spans="16:16" x14ac:dyDescent="0.35">
      <c r="P7412" s="8"/>
    </row>
    <row r="7413" spans="16:16" x14ac:dyDescent="0.35">
      <c r="P7413" s="8"/>
    </row>
    <row r="7414" spans="16:16" x14ac:dyDescent="0.35">
      <c r="P7414" s="8"/>
    </row>
    <row r="7415" spans="16:16" x14ac:dyDescent="0.35">
      <c r="P7415" s="8"/>
    </row>
    <row r="7416" spans="16:16" x14ac:dyDescent="0.35">
      <c r="P7416" s="8"/>
    </row>
    <row r="7417" spans="16:16" x14ac:dyDescent="0.35">
      <c r="P7417" s="8"/>
    </row>
    <row r="7418" spans="16:16" x14ac:dyDescent="0.35">
      <c r="P7418" s="8"/>
    </row>
    <row r="7419" spans="16:16" x14ac:dyDescent="0.35">
      <c r="P7419" s="8"/>
    </row>
    <row r="7420" spans="16:16" x14ac:dyDescent="0.35">
      <c r="P7420" s="8"/>
    </row>
    <row r="7421" spans="16:16" x14ac:dyDescent="0.35">
      <c r="P7421" s="8"/>
    </row>
    <row r="7422" spans="16:16" x14ac:dyDescent="0.35">
      <c r="P7422" s="8"/>
    </row>
    <row r="7423" spans="16:16" x14ac:dyDescent="0.35">
      <c r="P7423" s="8"/>
    </row>
    <row r="7424" spans="16:16" x14ac:dyDescent="0.35">
      <c r="P7424" s="8"/>
    </row>
    <row r="7425" spans="16:16" x14ac:dyDescent="0.35">
      <c r="P7425" s="8"/>
    </row>
    <row r="7426" spans="16:16" x14ac:dyDescent="0.35">
      <c r="P7426" s="8"/>
    </row>
    <row r="7427" spans="16:16" x14ac:dyDescent="0.35">
      <c r="P7427" s="8"/>
    </row>
    <row r="7428" spans="16:16" x14ac:dyDescent="0.35">
      <c r="P7428" s="8"/>
    </row>
    <row r="7429" spans="16:16" x14ac:dyDescent="0.35">
      <c r="P7429" s="8"/>
    </row>
    <row r="7430" spans="16:16" x14ac:dyDescent="0.35">
      <c r="P7430" s="8"/>
    </row>
    <row r="7431" spans="16:16" x14ac:dyDescent="0.35">
      <c r="P7431" s="8"/>
    </row>
    <row r="7432" spans="16:16" x14ac:dyDescent="0.35">
      <c r="P7432" s="8"/>
    </row>
    <row r="7433" spans="16:16" x14ac:dyDescent="0.35">
      <c r="P7433" s="8"/>
    </row>
    <row r="7434" spans="16:16" x14ac:dyDescent="0.35">
      <c r="P7434" s="8"/>
    </row>
    <row r="7435" spans="16:16" x14ac:dyDescent="0.35">
      <c r="P7435" s="8"/>
    </row>
    <row r="7436" spans="16:16" x14ac:dyDescent="0.35">
      <c r="P7436" s="8"/>
    </row>
    <row r="7437" spans="16:16" x14ac:dyDescent="0.35">
      <c r="P7437" s="8"/>
    </row>
    <row r="7438" spans="16:16" x14ac:dyDescent="0.35">
      <c r="P7438" s="8"/>
    </row>
    <row r="7439" spans="16:16" x14ac:dyDescent="0.35">
      <c r="P7439" s="8"/>
    </row>
    <row r="7440" spans="16:16" x14ac:dyDescent="0.35">
      <c r="P7440" s="8"/>
    </row>
    <row r="7441" spans="16:16" x14ac:dyDescent="0.35">
      <c r="P7441" s="8"/>
    </row>
    <row r="7442" spans="16:16" x14ac:dyDescent="0.35">
      <c r="P7442" s="8"/>
    </row>
    <row r="7443" spans="16:16" x14ac:dyDescent="0.35">
      <c r="P7443" s="8"/>
    </row>
    <row r="7444" spans="16:16" x14ac:dyDescent="0.35">
      <c r="P7444" s="8"/>
    </row>
    <row r="7445" spans="16:16" x14ac:dyDescent="0.35">
      <c r="P7445" s="8"/>
    </row>
    <row r="7446" spans="16:16" x14ac:dyDescent="0.35">
      <c r="P7446" s="8"/>
    </row>
    <row r="7447" spans="16:16" x14ac:dyDescent="0.35">
      <c r="P7447" s="8"/>
    </row>
    <row r="7448" spans="16:16" x14ac:dyDescent="0.35">
      <c r="P7448" s="8"/>
    </row>
    <row r="7449" spans="16:16" x14ac:dyDescent="0.35">
      <c r="P7449" s="8"/>
    </row>
    <row r="7450" spans="16:16" x14ac:dyDescent="0.35">
      <c r="P7450" s="8"/>
    </row>
    <row r="7451" spans="16:16" x14ac:dyDescent="0.35">
      <c r="P7451" s="8"/>
    </row>
    <row r="7452" spans="16:16" x14ac:dyDescent="0.35">
      <c r="P7452" s="8"/>
    </row>
    <row r="7453" spans="16:16" x14ac:dyDescent="0.35">
      <c r="P7453" s="8"/>
    </row>
    <row r="7454" spans="16:16" x14ac:dyDescent="0.35">
      <c r="P7454" s="8"/>
    </row>
    <row r="7455" spans="16:16" x14ac:dyDescent="0.35">
      <c r="P7455" s="8"/>
    </row>
    <row r="7456" spans="16:16" x14ac:dyDescent="0.35">
      <c r="P7456" s="8"/>
    </row>
    <row r="7457" spans="16:16" x14ac:dyDescent="0.35">
      <c r="P7457" s="8"/>
    </row>
    <row r="7458" spans="16:16" x14ac:dyDescent="0.35">
      <c r="P7458" s="8"/>
    </row>
    <row r="7459" spans="16:16" x14ac:dyDescent="0.35">
      <c r="P7459" s="8"/>
    </row>
    <row r="7460" spans="16:16" x14ac:dyDescent="0.35">
      <c r="P7460" s="8"/>
    </row>
    <row r="7461" spans="16:16" x14ac:dyDescent="0.35">
      <c r="P7461" s="8"/>
    </row>
    <row r="7462" spans="16:16" x14ac:dyDescent="0.35">
      <c r="P7462" s="8"/>
    </row>
    <row r="7463" spans="16:16" x14ac:dyDescent="0.35">
      <c r="P7463" s="8"/>
    </row>
    <row r="7464" spans="16:16" x14ac:dyDescent="0.35">
      <c r="P7464" s="8"/>
    </row>
    <row r="7465" spans="16:16" x14ac:dyDescent="0.35">
      <c r="P7465" s="8"/>
    </row>
    <row r="7466" spans="16:16" x14ac:dyDescent="0.35">
      <c r="P7466" s="8"/>
    </row>
    <row r="7467" spans="16:16" x14ac:dyDescent="0.35">
      <c r="P7467" s="8"/>
    </row>
    <row r="7468" spans="16:16" x14ac:dyDescent="0.35">
      <c r="P7468" s="8"/>
    </row>
    <row r="7469" spans="16:16" x14ac:dyDescent="0.35">
      <c r="P7469" s="8"/>
    </row>
    <row r="7470" spans="16:16" x14ac:dyDescent="0.35">
      <c r="P7470" s="8"/>
    </row>
    <row r="7471" spans="16:16" x14ac:dyDescent="0.35">
      <c r="P7471" s="8"/>
    </row>
    <row r="7472" spans="16:16" x14ac:dyDescent="0.35">
      <c r="P7472" s="8"/>
    </row>
    <row r="7473" spans="16:16" x14ac:dyDescent="0.35">
      <c r="P7473" s="8"/>
    </row>
    <row r="7474" spans="16:16" x14ac:dyDescent="0.35">
      <c r="P7474" s="8"/>
    </row>
    <row r="7475" spans="16:16" x14ac:dyDescent="0.35">
      <c r="P7475" s="8"/>
    </row>
    <row r="7476" spans="16:16" x14ac:dyDescent="0.35">
      <c r="P7476" s="8"/>
    </row>
    <row r="7477" spans="16:16" x14ac:dyDescent="0.35">
      <c r="P7477" s="8"/>
    </row>
    <row r="7478" spans="16:16" x14ac:dyDescent="0.35">
      <c r="P7478" s="8"/>
    </row>
    <row r="7479" spans="16:16" x14ac:dyDescent="0.35">
      <c r="P7479" s="8"/>
    </row>
    <row r="7480" spans="16:16" x14ac:dyDescent="0.35">
      <c r="P7480" s="8"/>
    </row>
    <row r="7481" spans="16:16" x14ac:dyDescent="0.35">
      <c r="P7481" s="8"/>
    </row>
    <row r="7482" spans="16:16" x14ac:dyDescent="0.35">
      <c r="P7482" s="8"/>
    </row>
    <row r="7483" spans="16:16" x14ac:dyDescent="0.35">
      <c r="P7483" s="8"/>
    </row>
    <row r="7484" spans="16:16" x14ac:dyDescent="0.35">
      <c r="P7484" s="8"/>
    </row>
    <row r="7485" spans="16:16" x14ac:dyDescent="0.35">
      <c r="P7485" s="8"/>
    </row>
    <row r="7486" spans="16:16" x14ac:dyDescent="0.35">
      <c r="P7486" s="8"/>
    </row>
    <row r="7487" spans="16:16" x14ac:dyDescent="0.35">
      <c r="P7487" s="8"/>
    </row>
    <row r="7488" spans="16:16" x14ac:dyDescent="0.35">
      <c r="P7488" s="8"/>
    </row>
    <row r="7489" spans="16:16" x14ac:dyDescent="0.35">
      <c r="P7489" s="8"/>
    </row>
    <row r="7490" spans="16:16" x14ac:dyDescent="0.35">
      <c r="P7490" s="8"/>
    </row>
    <row r="7491" spans="16:16" x14ac:dyDescent="0.35">
      <c r="P7491" s="8"/>
    </row>
    <row r="7492" spans="16:16" x14ac:dyDescent="0.35">
      <c r="P7492" s="8"/>
    </row>
    <row r="7493" spans="16:16" x14ac:dyDescent="0.35">
      <c r="P7493" s="8"/>
    </row>
    <row r="7494" spans="16:16" x14ac:dyDescent="0.35">
      <c r="P7494" s="8"/>
    </row>
    <row r="7495" spans="16:16" x14ac:dyDescent="0.35">
      <c r="P7495" s="8"/>
    </row>
    <row r="7496" spans="16:16" x14ac:dyDescent="0.35">
      <c r="P7496" s="8"/>
    </row>
    <row r="7497" spans="16:16" x14ac:dyDescent="0.35">
      <c r="P7497" s="8"/>
    </row>
    <row r="7498" spans="16:16" x14ac:dyDescent="0.35">
      <c r="P7498" s="8"/>
    </row>
    <row r="7499" spans="16:16" x14ac:dyDescent="0.35">
      <c r="P7499" s="8"/>
    </row>
    <row r="7500" spans="16:16" x14ac:dyDescent="0.35">
      <c r="P7500" s="8"/>
    </row>
    <row r="7501" spans="16:16" x14ac:dyDescent="0.35">
      <c r="P7501" s="8"/>
    </row>
    <row r="7502" spans="16:16" x14ac:dyDescent="0.35">
      <c r="P7502" s="8"/>
    </row>
    <row r="7503" spans="16:16" x14ac:dyDescent="0.35">
      <c r="P7503" s="8"/>
    </row>
    <row r="7504" spans="16:16" x14ac:dyDescent="0.35">
      <c r="P7504" s="8"/>
    </row>
    <row r="7505" spans="16:16" x14ac:dyDescent="0.35">
      <c r="P7505" s="8"/>
    </row>
    <row r="7506" spans="16:16" x14ac:dyDescent="0.35">
      <c r="P7506" s="8"/>
    </row>
    <row r="7507" spans="16:16" x14ac:dyDescent="0.35">
      <c r="P7507" s="8"/>
    </row>
    <row r="7508" spans="16:16" x14ac:dyDescent="0.35">
      <c r="P7508" s="8"/>
    </row>
    <row r="7509" spans="16:16" x14ac:dyDescent="0.35">
      <c r="P7509" s="8"/>
    </row>
    <row r="7510" spans="16:16" x14ac:dyDescent="0.35">
      <c r="P7510" s="8"/>
    </row>
    <row r="7511" spans="16:16" x14ac:dyDescent="0.35">
      <c r="P7511" s="8"/>
    </row>
    <row r="7512" spans="16:16" x14ac:dyDescent="0.35">
      <c r="P7512" s="8"/>
    </row>
    <row r="7513" spans="16:16" x14ac:dyDescent="0.35">
      <c r="P7513" s="8"/>
    </row>
    <row r="7514" spans="16:16" x14ac:dyDescent="0.35">
      <c r="P7514" s="8"/>
    </row>
    <row r="7515" spans="16:16" x14ac:dyDescent="0.35">
      <c r="P7515" s="8"/>
    </row>
    <row r="7516" spans="16:16" x14ac:dyDescent="0.35">
      <c r="P7516" s="8"/>
    </row>
    <row r="7517" spans="16:16" x14ac:dyDescent="0.35">
      <c r="P7517" s="8"/>
    </row>
    <row r="7518" spans="16:16" x14ac:dyDescent="0.35">
      <c r="P7518" s="8"/>
    </row>
    <row r="7519" spans="16:16" x14ac:dyDescent="0.35">
      <c r="P7519" s="8"/>
    </row>
    <row r="7520" spans="16:16" x14ac:dyDescent="0.35">
      <c r="P7520" s="8"/>
    </row>
    <row r="7521" spans="16:16" x14ac:dyDescent="0.35">
      <c r="P7521" s="8"/>
    </row>
    <row r="7522" spans="16:16" x14ac:dyDescent="0.35">
      <c r="P7522" s="8"/>
    </row>
    <row r="7523" spans="16:16" x14ac:dyDescent="0.35">
      <c r="P7523" s="8"/>
    </row>
    <row r="7524" spans="16:16" x14ac:dyDescent="0.35">
      <c r="P7524" s="8"/>
    </row>
    <row r="7525" spans="16:16" x14ac:dyDescent="0.35">
      <c r="P7525" s="8"/>
    </row>
    <row r="7526" spans="16:16" x14ac:dyDescent="0.35">
      <c r="P7526" s="8"/>
    </row>
    <row r="7527" spans="16:16" x14ac:dyDescent="0.35">
      <c r="P7527" s="8"/>
    </row>
    <row r="7528" spans="16:16" x14ac:dyDescent="0.35">
      <c r="P7528" s="8"/>
    </row>
    <row r="7529" spans="16:16" x14ac:dyDescent="0.35">
      <c r="P7529" s="8"/>
    </row>
    <row r="7530" spans="16:16" x14ac:dyDescent="0.35">
      <c r="P7530" s="8"/>
    </row>
    <row r="7531" spans="16:16" x14ac:dyDescent="0.35">
      <c r="P7531" s="8"/>
    </row>
    <row r="7532" spans="16:16" x14ac:dyDescent="0.35">
      <c r="P7532" s="8"/>
    </row>
    <row r="7533" spans="16:16" x14ac:dyDescent="0.35">
      <c r="P7533" s="8"/>
    </row>
    <row r="7534" spans="16:16" x14ac:dyDescent="0.35">
      <c r="P7534" s="8"/>
    </row>
    <row r="7535" spans="16:16" x14ac:dyDescent="0.35">
      <c r="P7535" s="8"/>
    </row>
    <row r="7536" spans="16:16" x14ac:dyDescent="0.35">
      <c r="P7536" s="8"/>
    </row>
    <row r="7537" spans="16:16" x14ac:dyDescent="0.35">
      <c r="P7537" s="8"/>
    </row>
    <row r="7538" spans="16:16" x14ac:dyDescent="0.35">
      <c r="P7538" s="8"/>
    </row>
    <row r="7539" spans="16:16" x14ac:dyDescent="0.35">
      <c r="P7539" s="8"/>
    </row>
    <row r="7540" spans="16:16" x14ac:dyDescent="0.35">
      <c r="P7540" s="8"/>
    </row>
    <row r="7541" spans="16:16" x14ac:dyDescent="0.35">
      <c r="P7541" s="8"/>
    </row>
    <row r="7542" spans="16:16" x14ac:dyDescent="0.35">
      <c r="P7542" s="8"/>
    </row>
    <row r="7543" spans="16:16" x14ac:dyDescent="0.35">
      <c r="P7543" s="8"/>
    </row>
    <row r="7544" spans="16:16" x14ac:dyDescent="0.35">
      <c r="P7544" s="8"/>
    </row>
    <row r="7545" spans="16:16" x14ac:dyDescent="0.35">
      <c r="P7545" s="8"/>
    </row>
    <row r="7546" spans="16:16" x14ac:dyDescent="0.35">
      <c r="P7546" s="8"/>
    </row>
    <row r="7547" spans="16:16" x14ac:dyDescent="0.35">
      <c r="P7547" s="8"/>
    </row>
    <row r="7548" spans="16:16" x14ac:dyDescent="0.35">
      <c r="P7548" s="8"/>
    </row>
    <row r="7549" spans="16:16" x14ac:dyDescent="0.35">
      <c r="P7549" s="8"/>
    </row>
    <row r="7550" spans="16:16" x14ac:dyDescent="0.35">
      <c r="P7550" s="8"/>
    </row>
    <row r="7551" spans="16:16" x14ac:dyDescent="0.35">
      <c r="P7551" s="8"/>
    </row>
    <row r="7552" spans="16:16" x14ac:dyDescent="0.35">
      <c r="P7552" s="8"/>
    </row>
    <row r="7553" spans="16:16" x14ac:dyDescent="0.35">
      <c r="P7553" s="8"/>
    </row>
    <row r="7554" spans="16:16" x14ac:dyDescent="0.35">
      <c r="P7554" s="8"/>
    </row>
    <row r="7555" spans="16:16" x14ac:dyDescent="0.35">
      <c r="P7555" s="8"/>
    </row>
    <row r="7556" spans="16:16" x14ac:dyDescent="0.35">
      <c r="P7556" s="8"/>
    </row>
    <row r="7557" spans="16:16" x14ac:dyDescent="0.35">
      <c r="P7557" s="8"/>
    </row>
    <row r="7558" spans="16:16" x14ac:dyDescent="0.35">
      <c r="P7558" s="8"/>
    </row>
    <row r="7559" spans="16:16" x14ac:dyDescent="0.35">
      <c r="P7559" s="8"/>
    </row>
    <row r="7560" spans="16:16" x14ac:dyDescent="0.35">
      <c r="P7560" s="8"/>
    </row>
    <row r="7561" spans="16:16" x14ac:dyDescent="0.35">
      <c r="P7561" s="8"/>
    </row>
    <row r="7562" spans="16:16" x14ac:dyDescent="0.35">
      <c r="P7562" s="8"/>
    </row>
    <row r="7563" spans="16:16" x14ac:dyDescent="0.35">
      <c r="P7563" s="8"/>
    </row>
    <row r="7564" spans="16:16" x14ac:dyDescent="0.35">
      <c r="P7564" s="8"/>
    </row>
    <row r="7565" spans="16:16" x14ac:dyDescent="0.35">
      <c r="P7565" s="8"/>
    </row>
    <row r="7566" spans="16:16" x14ac:dyDescent="0.35">
      <c r="P7566" s="8"/>
    </row>
    <row r="7567" spans="16:16" x14ac:dyDescent="0.35">
      <c r="P7567" s="8"/>
    </row>
    <row r="7568" spans="16:16" x14ac:dyDescent="0.35">
      <c r="P7568" s="8"/>
    </row>
    <row r="7569" spans="16:16" x14ac:dyDescent="0.35">
      <c r="P7569" s="8"/>
    </row>
    <row r="7570" spans="16:16" x14ac:dyDescent="0.35">
      <c r="P7570" s="8"/>
    </row>
    <row r="7571" spans="16:16" x14ac:dyDescent="0.35">
      <c r="P7571" s="8"/>
    </row>
    <row r="7572" spans="16:16" x14ac:dyDescent="0.35">
      <c r="P7572" s="8"/>
    </row>
    <row r="7573" spans="16:16" x14ac:dyDescent="0.35">
      <c r="P7573" s="8"/>
    </row>
    <row r="7574" spans="16:16" x14ac:dyDescent="0.35">
      <c r="P7574" s="8"/>
    </row>
    <row r="7575" spans="16:16" x14ac:dyDescent="0.35">
      <c r="P7575" s="8"/>
    </row>
    <row r="7576" spans="16:16" x14ac:dyDescent="0.35">
      <c r="P7576" s="8"/>
    </row>
    <row r="7577" spans="16:16" x14ac:dyDescent="0.35">
      <c r="P7577" s="8"/>
    </row>
    <row r="7578" spans="16:16" x14ac:dyDescent="0.35">
      <c r="P7578" s="8"/>
    </row>
    <row r="7579" spans="16:16" x14ac:dyDescent="0.35">
      <c r="P7579" s="8"/>
    </row>
    <row r="7580" spans="16:16" x14ac:dyDescent="0.35">
      <c r="P7580" s="8"/>
    </row>
    <row r="7581" spans="16:16" x14ac:dyDescent="0.35">
      <c r="P7581" s="8"/>
    </row>
    <row r="7582" spans="16:16" x14ac:dyDescent="0.35">
      <c r="P7582" s="8"/>
    </row>
    <row r="7583" spans="16:16" x14ac:dyDescent="0.35">
      <c r="P7583" s="8"/>
    </row>
    <row r="7584" spans="16:16" x14ac:dyDescent="0.35">
      <c r="P7584" s="8"/>
    </row>
    <row r="7585" spans="16:16" x14ac:dyDescent="0.35">
      <c r="P7585" s="8"/>
    </row>
    <row r="7586" spans="16:16" x14ac:dyDescent="0.35">
      <c r="P7586" s="8"/>
    </row>
    <row r="7587" spans="16:16" x14ac:dyDescent="0.35">
      <c r="P7587" s="8"/>
    </row>
    <row r="7588" spans="16:16" x14ac:dyDescent="0.35">
      <c r="P7588" s="8"/>
    </row>
    <row r="7589" spans="16:16" x14ac:dyDescent="0.35">
      <c r="P7589" s="8"/>
    </row>
    <row r="7590" spans="16:16" x14ac:dyDescent="0.35">
      <c r="P7590" s="8"/>
    </row>
    <row r="7591" spans="16:16" x14ac:dyDescent="0.35">
      <c r="P7591" s="8"/>
    </row>
    <row r="7592" spans="16:16" x14ac:dyDescent="0.35">
      <c r="P7592" s="8"/>
    </row>
    <row r="7593" spans="16:16" x14ac:dyDescent="0.35">
      <c r="P7593" s="8"/>
    </row>
    <row r="7594" spans="16:16" x14ac:dyDescent="0.35">
      <c r="P7594" s="8"/>
    </row>
    <row r="7595" spans="16:16" x14ac:dyDescent="0.35">
      <c r="P7595" s="8"/>
    </row>
    <row r="7596" spans="16:16" x14ac:dyDescent="0.35">
      <c r="P7596" s="8"/>
    </row>
    <row r="7597" spans="16:16" x14ac:dyDescent="0.35">
      <c r="P7597" s="8"/>
    </row>
    <row r="7598" spans="16:16" x14ac:dyDescent="0.35">
      <c r="P7598" s="8"/>
    </row>
    <row r="7599" spans="16:16" x14ac:dyDescent="0.35">
      <c r="P7599" s="8"/>
    </row>
    <row r="7600" spans="16:16" x14ac:dyDescent="0.35">
      <c r="P7600" s="8"/>
    </row>
    <row r="7601" spans="16:16" x14ac:dyDescent="0.35">
      <c r="P7601" s="8"/>
    </row>
    <row r="7602" spans="16:16" x14ac:dyDescent="0.35">
      <c r="P7602" s="8"/>
    </row>
    <row r="7603" spans="16:16" x14ac:dyDescent="0.35">
      <c r="P7603" s="8"/>
    </row>
    <row r="7604" spans="16:16" x14ac:dyDescent="0.35">
      <c r="P7604" s="8"/>
    </row>
    <row r="7605" spans="16:16" x14ac:dyDescent="0.35">
      <c r="P7605" s="8"/>
    </row>
    <row r="7606" spans="16:16" x14ac:dyDescent="0.35">
      <c r="P7606" s="8"/>
    </row>
    <row r="7607" spans="16:16" x14ac:dyDescent="0.35">
      <c r="P7607" s="8"/>
    </row>
    <row r="7608" spans="16:16" x14ac:dyDescent="0.35">
      <c r="P7608" s="8"/>
    </row>
    <row r="7609" spans="16:16" x14ac:dyDescent="0.35">
      <c r="P7609" s="8"/>
    </row>
    <row r="7610" spans="16:16" x14ac:dyDescent="0.35">
      <c r="P7610" s="8"/>
    </row>
    <row r="7611" spans="16:16" x14ac:dyDescent="0.35">
      <c r="P7611" s="8"/>
    </row>
    <row r="7612" spans="16:16" x14ac:dyDescent="0.35">
      <c r="P7612" s="8"/>
    </row>
    <row r="7613" spans="16:16" x14ac:dyDescent="0.35">
      <c r="P7613" s="8"/>
    </row>
    <row r="7614" spans="16:16" x14ac:dyDescent="0.35">
      <c r="P7614" s="8"/>
    </row>
    <row r="7615" spans="16:16" x14ac:dyDescent="0.35">
      <c r="P7615" s="8"/>
    </row>
    <row r="7616" spans="16:16" x14ac:dyDescent="0.35">
      <c r="P7616" s="8"/>
    </row>
    <row r="7617" spans="16:16" x14ac:dyDescent="0.35">
      <c r="P7617" s="8"/>
    </row>
    <row r="7618" spans="16:16" x14ac:dyDescent="0.35">
      <c r="P7618" s="8"/>
    </row>
    <row r="7619" spans="16:16" x14ac:dyDescent="0.35">
      <c r="P7619" s="8"/>
    </row>
    <row r="7620" spans="16:16" x14ac:dyDescent="0.35">
      <c r="P7620" s="8"/>
    </row>
    <row r="7621" spans="16:16" x14ac:dyDescent="0.35">
      <c r="P7621" s="8"/>
    </row>
    <row r="7622" spans="16:16" x14ac:dyDescent="0.35">
      <c r="P7622" s="8"/>
    </row>
    <row r="7623" spans="16:16" x14ac:dyDescent="0.35">
      <c r="P7623" s="8"/>
    </row>
    <row r="7624" spans="16:16" x14ac:dyDescent="0.35">
      <c r="P7624" s="8"/>
    </row>
    <row r="7625" spans="16:16" x14ac:dyDescent="0.35">
      <c r="P7625" s="8"/>
    </row>
    <row r="7626" spans="16:16" x14ac:dyDescent="0.35">
      <c r="P7626" s="8"/>
    </row>
    <row r="7627" spans="16:16" x14ac:dyDescent="0.35">
      <c r="P7627" s="8"/>
    </row>
    <row r="7628" spans="16:16" x14ac:dyDescent="0.35">
      <c r="P7628" s="8"/>
    </row>
    <row r="7629" spans="16:16" x14ac:dyDescent="0.35">
      <c r="P7629" s="8"/>
    </row>
    <row r="7630" spans="16:16" x14ac:dyDescent="0.35">
      <c r="P7630" s="8"/>
    </row>
    <row r="7631" spans="16:16" x14ac:dyDescent="0.35">
      <c r="P7631" s="8"/>
    </row>
    <row r="7632" spans="16:16" x14ac:dyDescent="0.35">
      <c r="P7632" s="8"/>
    </row>
    <row r="7633" spans="16:16" x14ac:dyDescent="0.35">
      <c r="P7633" s="8"/>
    </row>
    <row r="7634" spans="16:16" x14ac:dyDescent="0.35">
      <c r="P7634" s="8"/>
    </row>
    <row r="7635" spans="16:16" x14ac:dyDescent="0.35">
      <c r="P7635" s="8"/>
    </row>
    <row r="7636" spans="16:16" x14ac:dyDescent="0.35">
      <c r="P7636" s="8"/>
    </row>
    <row r="7637" spans="16:16" x14ac:dyDescent="0.35">
      <c r="P7637" s="8"/>
    </row>
    <row r="7638" spans="16:16" x14ac:dyDescent="0.35">
      <c r="P7638" s="8"/>
    </row>
    <row r="7639" spans="16:16" x14ac:dyDescent="0.35">
      <c r="P7639" s="8"/>
    </row>
    <row r="7640" spans="16:16" x14ac:dyDescent="0.35">
      <c r="P7640" s="8"/>
    </row>
    <row r="7641" spans="16:16" x14ac:dyDescent="0.35">
      <c r="P7641" s="8"/>
    </row>
    <row r="7642" spans="16:16" x14ac:dyDescent="0.35">
      <c r="P7642" s="8"/>
    </row>
    <row r="7643" spans="16:16" x14ac:dyDescent="0.35">
      <c r="P7643" s="8"/>
    </row>
    <row r="7644" spans="16:16" x14ac:dyDescent="0.35">
      <c r="P7644" s="8"/>
    </row>
    <row r="7645" spans="16:16" x14ac:dyDescent="0.35">
      <c r="P7645" s="8"/>
    </row>
    <row r="7646" spans="16:16" x14ac:dyDescent="0.35">
      <c r="P7646" s="8"/>
    </row>
    <row r="7647" spans="16:16" x14ac:dyDescent="0.35">
      <c r="P7647" s="8"/>
    </row>
    <row r="7648" spans="16:16" x14ac:dyDescent="0.35">
      <c r="P7648" s="8"/>
    </row>
    <row r="7649" spans="16:16" x14ac:dyDescent="0.35">
      <c r="P7649" s="8"/>
    </row>
    <row r="7650" spans="16:16" x14ac:dyDescent="0.35">
      <c r="P7650" s="8"/>
    </row>
    <row r="7651" spans="16:16" x14ac:dyDescent="0.35">
      <c r="P7651" s="8"/>
    </row>
    <row r="7652" spans="16:16" x14ac:dyDescent="0.35">
      <c r="P7652" s="8"/>
    </row>
    <row r="7653" spans="16:16" x14ac:dyDescent="0.35">
      <c r="P7653" s="8"/>
    </row>
    <row r="7654" spans="16:16" x14ac:dyDescent="0.35">
      <c r="P7654" s="8"/>
    </row>
    <row r="7655" spans="16:16" x14ac:dyDescent="0.35">
      <c r="P7655" s="8"/>
    </row>
    <row r="7656" spans="16:16" x14ac:dyDescent="0.35">
      <c r="P7656" s="8"/>
    </row>
    <row r="7657" spans="16:16" x14ac:dyDescent="0.35">
      <c r="P7657" s="8"/>
    </row>
    <row r="7658" spans="16:16" x14ac:dyDescent="0.35">
      <c r="P7658" s="8"/>
    </row>
    <row r="7659" spans="16:16" x14ac:dyDescent="0.35">
      <c r="P7659" s="8"/>
    </row>
    <row r="7660" spans="16:16" x14ac:dyDescent="0.35">
      <c r="P7660" s="8"/>
    </row>
    <row r="7661" spans="16:16" x14ac:dyDescent="0.35">
      <c r="P7661" s="8"/>
    </row>
    <row r="7662" spans="16:16" x14ac:dyDescent="0.35">
      <c r="P7662" s="8"/>
    </row>
    <row r="7663" spans="16:16" x14ac:dyDescent="0.35">
      <c r="P7663" s="8"/>
    </row>
    <row r="7664" spans="16:16" x14ac:dyDescent="0.35">
      <c r="P7664" s="8"/>
    </row>
    <row r="7665" spans="16:16" x14ac:dyDescent="0.35">
      <c r="P7665" s="8"/>
    </row>
    <row r="7666" spans="16:16" x14ac:dyDescent="0.35">
      <c r="P7666" s="8"/>
    </row>
    <row r="7667" spans="16:16" x14ac:dyDescent="0.35">
      <c r="P7667" s="8"/>
    </row>
    <row r="7668" spans="16:16" x14ac:dyDescent="0.35">
      <c r="P7668" s="8"/>
    </row>
    <row r="7669" spans="16:16" x14ac:dyDescent="0.35">
      <c r="P7669" s="8"/>
    </row>
    <row r="7670" spans="16:16" x14ac:dyDescent="0.35">
      <c r="P7670" s="8"/>
    </row>
    <row r="7671" spans="16:16" x14ac:dyDescent="0.35">
      <c r="P7671" s="8"/>
    </row>
    <row r="7672" spans="16:16" x14ac:dyDescent="0.35">
      <c r="P7672" s="8"/>
    </row>
    <row r="7673" spans="16:16" x14ac:dyDescent="0.35">
      <c r="P7673" s="8"/>
    </row>
    <row r="7674" spans="16:16" x14ac:dyDescent="0.35">
      <c r="P7674" s="8"/>
    </row>
    <row r="7675" spans="16:16" x14ac:dyDescent="0.35">
      <c r="P7675" s="8"/>
    </row>
    <row r="7676" spans="16:16" x14ac:dyDescent="0.35">
      <c r="P7676" s="8"/>
    </row>
    <row r="7677" spans="16:16" x14ac:dyDescent="0.35">
      <c r="P7677" s="8"/>
    </row>
    <row r="7678" spans="16:16" x14ac:dyDescent="0.35">
      <c r="P7678" s="8"/>
    </row>
    <row r="7679" spans="16:16" x14ac:dyDescent="0.35">
      <c r="P7679" s="8"/>
    </row>
    <row r="7680" spans="16:16" x14ac:dyDescent="0.35">
      <c r="P7680" s="8"/>
    </row>
    <row r="7681" spans="16:16" x14ac:dyDescent="0.35">
      <c r="P7681" s="8"/>
    </row>
    <row r="7682" spans="16:16" x14ac:dyDescent="0.35">
      <c r="P7682" s="8"/>
    </row>
    <row r="7683" spans="16:16" x14ac:dyDescent="0.35">
      <c r="P7683" s="8"/>
    </row>
    <row r="7684" spans="16:16" x14ac:dyDescent="0.35">
      <c r="P7684" s="8"/>
    </row>
    <row r="7685" spans="16:16" x14ac:dyDescent="0.35">
      <c r="P7685" s="8"/>
    </row>
    <row r="7686" spans="16:16" x14ac:dyDescent="0.35">
      <c r="P7686" s="8"/>
    </row>
    <row r="7687" spans="16:16" x14ac:dyDescent="0.35">
      <c r="P7687" s="8"/>
    </row>
    <row r="7688" spans="16:16" x14ac:dyDescent="0.35">
      <c r="P7688" s="8"/>
    </row>
    <row r="7689" spans="16:16" x14ac:dyDescent="0.35">
      <c r="P7689" s="8"/>
    </row>
    <row r="7690" spans="16:16" x14ac:dyDescent="0.35">
      <c r="P7690" s="8"/>
    </row>
    <row r="7691" spans="16:16" x14ac:dyDescent="0.35">
      <c r="P7691" s="8"/>
    </row>
    <row r="7692" spans="16:16" x14ac:dyDescent="0.35">
      <c r="P7692" s="8"/>
    </row>
    <row r="7693" spans="16:16" x14ac:dyDescent="0.35">
      <c r="P7693" s="8"/>
    </row>
    <row r="7694" spans="16:16" x14ac:dyDescent="0.35">
      <c r="P7694" s="8"/>
    </row>
    <row r="7695" spans="16:16" x14ac:dyDescent="0.35">
      <c r="P7695" s="8"/>
    </row>
    <row r="7696" spans="16:16" x14ac:dyDescent="0.35">
      <c r="P7696" s="8"/>
    </row>
    <row r="7697" spans="16:16" x14ac:dyDescent="0.35">
      <c r="P7697" s="8"/>
    </row>
    <row r="7698" spans="16:16" x14ac:dyDescent="0.35">
      <c r="P7698" s="8"/>
    </row>
    <row r="7699" spans="16:16" x14ac:dyDescent="0.35">
      <c r="P7699" s="8"/>
    </row>
    <row r="7700" spans="16:16" x14ac:dyDescent="0.35">
      <c r="P7700" s="8"/>
    </row>
    <row r="7701" spans="16:16" x14ac:dyDescent="0.35">
      <c r="P7701" s="8"/>
    </row>
    <row r="7702" spans="16:16" x14ac:dyDescent="0.35">
      <c r="P7702" s="8"/>
    </row>
    <row r="7703" spans="16:16" x14ac:dyDescent="0.35">
      <c r="P7703" s="8"/>
    </row>
    <row r="7704" spans="16:16" x14ac:dyDescent="0.35">
      <c r="P7704" s="8"/>
    </row>
    <row r="7705" spans="16:16" x14ac:dyDescent="0.35">
      <c r="P7705" s="8"/>
    </row>
    <row r="7706" spans="16:16" x14ac:dyDescent="0.35">
      <c r="P7706" s="8"/>
    </row>
    <row r="7707" spans="16:16" x14ac:dyDescent="0.35">
      <c r="P7707" s="8"/>
    </row>
    <row r="7708" spans="16:16" x14ac:dyDescent="0.35">
      <c r="P7708" s="8"/>
    </row>
    <row r="7709" spans="16:16" x14ac:dyDescent="0.35">
      <c r="P7709" s="8"/>
    </row>
    <row r="7710" spans="16:16" x14ac:dyDescent="0.35">
      <c r="P7710" s="8"/>
    </row>
    <row r="7711" spans="16:16" x14ac:dyDescent="0.35">
      <c r="P7711" s="8"/>
    </row>
    <row r="7712" spans="16:16" x14ac:dyDescent="0.35">
      <c r="P7712" s="8"/>
    </row>
    <row r="7713" spans="16:16" x14ac:dyDescent="0.35">
      <c r="P7713" s="8"/>
    </row>
    <row r="7714" spans="16:16" x14ac:dyDescent="0.35">
      <c r="P7714" s="8"/>
    </row>
    <row r="7715" spans="16:16" x14ac:dyDescent="0.35">
      <c r="P7715" s="8"/>
    </row>
    <row r="7716" spans="16:16" x14ac:dyDescent="0.35">
      <c r="P7716" s="8"/>
    </row>
    <row r="7717" spans="16:16" x14ac:dyDescent="0.35">
      <c r="P7717" s="8"/>
    </row>
    <row r="7718" spans="16:16" x14ac:dyDescent="0.35">
      <c r="P7718" s="8"/>
    </row>
    <row r="7719" spans="16:16" x14ac:dyDescent="0.35">
      <c r="P7719" s="8"/>
    </row>
    <row r="7720" spans="16:16" x14ac:dyDescent="0.35">
      <c r="P7720" s="8"/>
    </row>
    <row r="7721" spans="16:16" x14ac:dyDescent="0.35">
      <c r="P7721" s="8"/>
    </row>
    <row r="7722" spans="16:16" x14ac:dyDescent="0.35">
      <c r="P7722" s="8"/>
    </row>
    <row r="7723" spans="16:16" x14ac:dyDescent="0.35">
      <c r="P7723" s="8"/>
    </row>
    <row r="7724" spans="16:16" x14ac:dyDescent="0.35">
      <c r="P7724" s="8"/>
    </row>
    <row r="7725" spans="16:16" x14ac:dyDescent="0.35">
      <c r="P7725" s="8"/>
    </row>
    <row r="7726" spans="16:16" x14ac:dyDescent="0.35">
      <c r="P7726" s="8"/>
    </row>
    <row r="7727" spans="16:16" x14ac:dyDescent="0.35">
      <c r="P7727" s="8"/>
    </row>
    <row r="7728" spans="16:16" x14ac:dyDescent="0.35">
      <c r="P7728" s="8"/>
    </row>
    <row r="7729" spans="16:16" x14ac:dyDescent="0.35">
      <c r="P7729" s="8"/>
    </row>
    <row r="7730" spans="16:16" x14ac:dyDescent="0.35">
      <c r="P7730" s="8"/>
    </row>
    <row r="7731" spans="16:16" x14ac:dyDescent="0.35">
      <c r="P7731" s="8"/>
    </row>
    <row r="7732" spans="16:16" x14ac:dyDescent="0.35">
      <c r="P7732" s="8"/>
    </row>
    <row r="7733" spans="16:16" x14ac:dyDescent="0.35">
      <c r="P7733" s="8"/>
    </row>
    <row r="7734" spans="16:16" x14ac:dyDescent="0.35">
      <c r="P7734" s="8"/>
    </row>
    <row r="7735" spans="16:16" x14ac:dyDescent="0.35">
      <c r="P7735" s="8"/>
    </row>
    <row r="7736" spans="16:16" x14ac:dyDescent="0.35">
      <c r="P7736" s="8"/>
    </row>
    <row r="7737" spans="16:16" x14ac:dyDescent="0.35">
      <c r="P7737" s="8"/>
    </row>
    <row r="7738" spans="16:16" x14ac:dyDescent="0.35">
      <c r="P7738" s="8"/>
    </row>
    <row r="7739" spans="16:16" x14ac:dyDescent="0.35">
      <c r="P7739" s="8"/>
    </row>
    <row r="7740" spans="16:16" x14ac:dyDescent="0.35">
      <c r="P7740" s="8"/>
    </row>
    <row r="7741" spans="16:16" x14ac:dyDescent="0.35">
      <c r="P7741" s="8"/>
    </row>
    <row r="7742" spans="16:16" x14ac:dyDescent="0.35">
      <c r="P7742" s="8"/>
    </row>
    <row r="7743" spans="16:16" x14ac:dyDescent="0.35">
      <c r="P7743" s="8"/>
    </row>
    <row r="7744" spans="16:16" x14ac:dyDescent="0.35">
      <c r="P7744" s="8"/>
    </row>
    <row r="7745" spans="16:16" x14ac:dyDescent="0.35">
      <c r="P7745" s="8"/>
    </row>
    <row r="7746" spans="16:16" x14ac:dyDescent="0.35">
      <c r="P7746" s="8"/>
    </row>
    <row r="7747" spans="16:16" x14ac:dyDescent="0.35">
      <c r="P7747" s="8"/>
    </row>
    <row r="7748" spans="16:16" x14ac:dyDescent="0.35">
      <c r="P7748" s="8"/>
    </row>
    <row r="7749" spans="16:16" x14ac:dyDescent="0.35">
      <c r="P7749" s="8"/>
    </row>
    <row r="7750" spans="16:16" x14ac:dyDescent="0.35">
      <c r="P7750" s="8"/>
    </row>
    <row r="7751" spans="16:16" x14ac:dyDescent="0.35">
      <c r="P7751" s="8"/>
    </row>
    <row r="7752" spans="16:16" x14ac:dyDescent="0.35">
      <c r="P7752" s="8"/>
    </row>
    <row r="7753" spans="16:16" x14ac:dyDescent="0.35">
      <c r="P7753" s="8"/>
    </row>
    <row r="7754" spans="16:16" x14ac:dyDescent="0.35">
      <c r="P7754" s="8"/>
    </row>
    <row r="7755" spans="16:16" x14ac:dyDescent="0.35">
      <c r="P7755" s="8"/>
    </row>
    <row r="7756" spans="16:16" x14ac:dyDescent="0.35">
      <c r="P7756" s="8"/>
    </row>
    <row r="7757" spans="16:16" x14ac:dyDescent="0.35">
      <c r="P7757" s="8"/>
    </row>
    <row r="7758" spans="16:16" x14ac:dyDescent="0.35">
      <c r="P7758" s="8"/>
    </row>
    <row r="7759" spans="16:16" x14ac:dyDescent="0.35">
      <c r="P7759" s="8"/>
    </row>
    <row r="7760" spans="16:16" x14ac:dyDescent="0.35">
      <c r="P7760" s="8"/>
    </row>
    <row r="7761" spans="16:16" x14ac:dyDescent="0.35">
      <c r="P7761" s="8"/>
    </row>
    <row r="7762" spans="16:16" x14ac:dyDescent="0.35">
      <c r="P7762" s="8"/>
    </row>
    <row r="7763" spans="16:16" x14ac:dyDescent="0.35">
      <c r="P7763" s="8"/>
    </row>
    <row r="7764" spans="16:16" x14ac:dyDescent="0.35">
      <c r="P7764" s="8"/>
    </row>
    <row r="7765" spans="16:16" x14ac:dyDescent="0.35">
      <c r="P7765" s="8"/>
    </row>
    <row r="7766" spans="16:16" x14ac:dyDescent="0.35">
      <c r="P7766" s="8"/>
    </row>
    <row r="7767" spans="16:16" x14ac:dyDescent="0.35">
      <c r="P7767" s="8"/>
    </row>
    <row r="7768" spans="16:16" x14ac:dyDescent="0.35">
      <c r="P7768" s="8"/>
    </row>
    <row r="7769" spans="16:16" x14ac:dyDescent="0.35">
      <c r="P7769" s="8"/>
    </row>
    <row r="7770" spans="16:16" x14ac:dyDescent="0.35">
      <c r="P7770" s="8"/>
    </row>
    <row r="7771" spans="16:16" x14ac:dyDescent="0.35">
      <c r="P7771" s="8"/>
    </row>
    <row r="7772" spans="16:16" x14ac:dyDescent="0.35">
      <c r="P7772" s="8"/>
    </row>
    <row r="7773" spans="16:16" x14ac:dyDescent="0.35">
      <c r="P7773" s="8"/>
    </row>
    <row r="7774" spans="16:16" x14ac:dyDescent="0.35">
      <c r="P7774" s="8"/>
    </row>
    <row r="7775" spans="16:16" x14ac:dyDescent="0.35">
      <c r="P7775" s="8"/>
    </row>
    <row r="7776" spans="16:16" x14ac:dyDescent="0.35">
      <c r="P7776" s="8"/>
    </row>
    <row r="7777" spans="16:16" x14ac:dyDescent="0.35">
      <c r="P7777" s="8"/>
    </row>
    <row r="7778" spans="16:16" x14ac:dyDescent="0.35">
      <c r="P7778" s="8"/>
    </row>
    <row r="7779" spans="16:16" x14ac:dyDescent="0.35">
      <c r="P7779" s="8"/>
    </row>
    <row r="7780" spans="16:16" x14ac:dyDescent="0.35">
      <c r="P7780" s="8"/>
    </row>
    <row r="7781" spans="16:16" x14ac:dyDescent="0.35">
      <c r="P7781" s="8"/>
    </row>
    <row r="7782" spans="16:16" x14ac:dyDescent="0.35">
      <c r="P7782" s="8"/>
    </row>
    <row r="7783" spans="16:16" x14ac:dyDescent="0.35">
      <c r="P7783" s="8"/>
    </row>
    <row r="7784" spans="16:16" x14ac:dyDescent="0.35">
      <c r="P7784" s="8"/>
    </row>
    <row r="7785" spans="16:16" x14ac:dyDescent="0.35">
      <c r="P7785" s="8"/>
    </row>
    <row r="7786" spans="16:16" x14ac:dyDescent="0.35">
      <c r="P7786" s="8"/>
    </row>
    <row r="7787" spans="16:16" x14ac:dyDescent="0.35">
      <c r="P7787" s="8"/>
    </row>
    <row r="7788" spans="16:16" x14ac:dyDescent="0.35">
      <c r="P7788" s="8"/>
    </row>
    <row r="7789" spans="16:16" x14ac:dyDescent="0.35">
      <c r="P7789" s="8"/>
    </row>
    <row r="7790" spans="16:16" x14ac:dyDescent="0.35">
      <c r="P7790" s="8"/>
    </row>
    <row r="7791" spans="16:16" x14ac:dyDescent="0.35">
      <c r="P7791" s="8"/>
    </row>
    <row r="7792" spans="16:16" x14ac:dyDescent="0.35">
      <c r="P7792" s="8"/>
    </row>
    <row r="7793" spans="16:16" x14ac:dyDescent="0.35">
      <c r="P7793" s="8"/>
    </row>
    <row r="7794" spans="16:16" x14ac:dyDescent="0.35">
      <c r="P7794" s="8"/>
    </row>
    <row r="7795" spans="16:16" x14ac:dyDescent="0.35">
      <c r="P7795" s="8"/>
    </row>
    <row r="7796" spans="16:16" x14ac:dyDescent="0.35">
      <c r="P7796" s="8"/>
    </row>
    <row r="7797" spans="16:16" x14ac:dyDescent="0.35">
      <c r="P7797" s="8"/>
    </row>
    <row r="7798" spans="16:16" x14ac:dyDescent="0.35">
      <c r="P7798" s="8"/>
    </row>
    <row r="7799" spans="16:16" x14ac:dyDescent="0.35">
      <c r="P7799" s="8"/>
    </row>
    <row r="7800" spans="16:16" x14ac:dyDescent="0.35">
      <c r="P7800" s="8"/>
    </row>
    <row r="7801" spans="16:16" x14ac:dyDescent="0.35">
      <c r="P7801" s="8"/>
    </row>
    <row r="7802" spans="16:16" x14ac:dyDescent="0.35">
      <c r="P7802" s="8"/>
    </row>
    <row r="7803" spans="16:16" x14ac:dyDescent="0.35">
      <c r="P7803" s="8"/>
    </row>
    <row r="7804" spans="16:16" x14ac:dyDescent="0.35">
      <c r="P7804" s="8"/>
    </row>
    <row r="7805" spans="16:16" x14ac:dyDescent="0.35">
      <c r="P7805" s="8"/>
    </row>
    <row r="7806" spans="16:16" x14ac:dyDescent="0.35">
      <c r="P7806" s="8"/>
    </row>
    <row r="7807" spans="16:16" x14ac:dyDescent="0.35">
      <c r="P7807" s="8"/>
    </row>
    <row r="7808" spans="16:16" x14ac:dyDescent="0.35">
      <c r="P7808" s="8"/>
    </row>
    <row r="7809" spans="16:16" x14ac:dyDescent="0.35">
      <c r="P7809" s="8"/>
    </row>
    <row r="7810" spans="16:16" x14ac:dyDescent="0.35">
      <c r="P7810" s="8"/>
    </row>
    <row r="7811" spans="16:16" x14ac:dyDescent="0.35">
      <c r="P7811" s="8"/>
    </row>
    <row r="7812" spans="16:16" x14ac:dyDescent="0.35">
      <c r="P7812" s="8"/>
    </row>
    <row r="7813" spans="16:16" x14ac:dyDescent="0.35">
      <c r="P7813" s="8"/>
    </row>
    <row r="7814" spans="16:16" x14ac:dyDescent="0.35">
      <c r="P7814" s="8"/>
    </row>
    <row r="7815" spans="16:16" x14ac:dyDescent="0.35">
      <c r="P7815" s="8"/>
    </row>
    <row r="7816" spans="16:16" x14ac:dyDescent="0.35">
      <c r="P7816" s="8"/>
    </row>
    <row r="7817" spans="16:16" x14ac:dyDescent="0.35">
      <c r="P7817" s="8"/>
    </row>
    <row r="7818" spans="16:16" x14ac:dyDescent="0.35">
      <c r="P7818" s="8"/>
    </row>
    <row r="7819" spans="16:16" x14ac:dyDescent="0.35">
      <c r="P7819" s="8"/>
    </row>
    <row r="7820" spans="16:16" x14ac:dyDescent="0.35">
      <c r="P7820" s="8"/>
    </row>
    <row r="7821" spans="16:16" x14ac:dyDescent="0.35">
      <c r="P7821" s="8"/>
    </row>
    <row r="7822" spans="16:16" x14ac:dyDescent="0.35">
      <c r="P7822" s="8"/>
    </row>
    <row r="7823" spans="16:16" x14ac:dyDescent="0.35">
      <c r="P7823" s="8"/>
    </row>
    <row r="7824" spans="16:16" x14ac:dyDescent="0.35">
      <c r="P7824" s="8"/>
    </row>
    <row r="7825" spans="16:16" x14ac:dyDescent="0.35">
      <c r="P7825" s="8"/>
    </row>
    <row r="7826" spans="16:16" x14ac:dyDescent="0.35">
      <c r="P7826" s="8"/>
    </row>
    <row r="7827" spans="16:16" x14ac:dyDescent="0.35">
      <c r="P7827" s="8"/>
    </row>
    <row r="7828" spans="16:16" x14ac:dyDescent="0.35">
      <c r="P7828" s="8"/>
    </row>
    <row r="7829" spans="16:16" x14ac:dyDescent="0.35">
      <c r="P7829" s="8"/>
    </row>
    <row r="7830" spans="16:16" x14ac:dyDescent="0.35">
      <c r="P7830" s="8"/>
    </row>
    <row r="7831" spans="16:16" x14ac:dyDescent="0.35">
      <c r="P7831" s="8"/>
    </row>
    <row r="7832" spans="16:16" x14ac:dyDescent="0.35">
      <c r="P7832" s="8"/>
    </row>
    <row r="7833" spans="16:16" x14ac:dyDescent="0.35">
      <c r="P7833" s="8"/>
    </row>
    <row r="7834" spans="16:16" x14ac:dyDescent="0.35">
      <c r="P7834" s="8"/>
    </row>
    <row r="7835" spans="16:16" x14ac:dyDescent="0.35">
      <c r="P7835" s="8"/>
    </row>
    <row r="7836" spans="16:16" x14ac:dyDescent="0.35">
      <c r="P7836" s="8"/>
    </row>
    <row r="7837" spans="16:16" x14ac:dyDescent="0.35">
      <c r="P7837" s="8"/>
    </row>
    <row r="7838" spans="16:16" x14ac:dyDescent="0.35">
      <c r="P7838" s="8"/>
    </row>
    <row r="7839" spans="16:16" x14ac:dyDescent="0.35">
      <c r="P7839" s="8"/>
    </row>
    <row r="7840" spans="16:16" x14ac:dyDescent="0.35">
      <c r="P7840" s="8"/>
    </row>
    <row r="7841" spans="16:16" x14ac:dyDescent="0.35">
      <c r="P7841" s="8"/>
    </row>
    <row r="7842" spans="16:16" x14ac:dyDescent="0.35">
      <c r="P7842" s="8"/>
    </row>
    <row r="7843" spans="16:16" x14ac:dyDescent="0.35">
      <c r="P7843" s="8"/>
    </row>
    <row r="7844" spans="16:16" x14ac:dyDescent="0.35">
      <c r="P7844" s="8"/>
    </row>
    <row r="7845" spans="16:16" x14ac:dyDescent="0.35">
      <c r="P7845" s="8"/>
    </row>
    <row r="7846" spans="16:16" x14ac:dyDescent="0.35">
      <c r="P7846" s="8"/>
    </row>
    <row r="7847" spans="16:16" x14ac:dyDescent="0.35">
      <c r="P7847" s="8"/>
    </row>
    <row r="7848" spans="16:16" x14ac:dyDescent="0.35">
      <c r="P7848" s="8"/>
    </row>
    <row r="7849" spans="16:16" x14ac:dyDescent="0.35">
      <c r="P7849" s="8"/>
    </row>
    <row r="7850" spans="16:16" x14ac:dyDescent="0.35">
      <c r="P7850" s="8"/>
    </row>
    <row r="7851" spans="16:16" x14ac:dyDescent="0.35">
      <c r="P7851" s="8"/>
    </row>
    <row r="7852" spans="16:16" x14ac:dyDescent="0.35">
      <c r="P7852" s="8"/>
    </row>
    <row r="7853" spans="16:16" x14ac:dyDescent="0.35">
      <c r="P7853" s="8"/>
    </row>
    <row r="7854" spans="16:16" x14ac:dyDescent="0.35">
      <c r="P7854" s="8"/>
    </row>
    <row r="7855" spans="16:16" x14ac:dyDescent="0.35">
      <c r="P7855" s="8"/>
    </row>
    <row r="7856" spans="16:16" x14ac:dyDescent="0.35">
      <c r="P7856" s="8"/>
    </row>
    <row r="7857" spans="16:16" x14ac:dyDescent="0.35">
      <c r="P7857" s="8"/>
    </row>
    <row r="7858" spans="16:16" x14ac:dyDescent="0.35">
      <c r="P7858" s="8"/>
    </row>
    <row r="7859" spans="16:16" x14ac:dyDescent="0.35">
      <c r="P7859" s="8"/>
    </row>
    <row r="7860" spans="16:16" x14ac:dyDescent="0.35">
      <c r="P7860" s="8"/>
    </row>
    <row r="7861" spans="16:16" x14ac:dyDescent="0.35">
      <c r="P7861" s="8"/>
    </row>
    <row r="7862" spans="16:16" x14ac:dyDescent="0.35">
      <c r="P7862" s="8"/>
    </row>
    <row r="7863" spans="16:16" x14ac:dyDescent="0.35">
      <c r="P7863" s="8"/>
    </row>
    <row r="7864" spans="16:16" x14ac:dyDescent="0.35">
      <c r="P7864" s="8"/>
    </row>
    <row r="7865" spans="16:16" x14ac:dyDescent="0.35">
      <c r="P7865" s="8"/>
    </row>
    <row r="7866" spans="16:16" x14ac:dyDescent="0.35">
      <c r="P7866" s="8"/>
    </row>
    <row r="7867" spans="16:16" x14ac:dyDescent="0.35">
      <c r="P7867" s="8"/>
    </row>
    <row r="7868" spans="16:16" x14ac:dyDescent="0.35">
      <c r="P7868" s="8"/>
    </row>
    <row r="7869" spans="16:16" x14ac:dyDescent="0.35">
      <c r="P7869" s="8"/>
    </row>
    <row r="7870" spans="16:16" x14ac:dyDescent="0.35">
      <c r="P7870" s="8"/>
    </row>
    <row r="7871" spans="16:16" x14ac:dyDescent="0.35">
      <c r="P7871" s="8"/>
    </row>
    <row r="7872" spans="16:16" x14ac:dyDescent="0.35">
      <c r="P7872" s="8"/>
    </row>
    <row r="7873" spans="16:16" x14ac:dyDescent="0.35">
      <c r="P7873" s="8"/>
    </row>
    <row r="7874" spans="16:16" x14ac:dyDescent="0.35">
      <c r="P7874" s="8"/>
    </row>
    <row r="7875" spans="16:16" x14ac:dyDescent="0.35">
      <c r="P7875" s="8"/>
    </row>
    <row r="7876" spans="16:16" x14ac:dyDescent="0.35">
      <c r="P7876" s="8"/>
    </row>
    <row r="7877" spans="16:16" x14ac:dyDescent="0.35">
      <c r="P7877" s="8"/>
    </row>
    <row r="7878" spans="16:16" x14ac:dyDescent="0.35">
      <c r="P7878" s="8"/>
    </row>
    <row r="7879" spans="16:16" x14ac:dyDescent="0.35">
      <c r="P7879" s="8"/>
    </row>
    <row r="7880" spans="16:16" x14ac:dyDescent="0.35">
      <c r="P7880" s="8"/>
    </row>
    <row r="7881" spans="16:16" x14ac:dyDescent="0.35">
      <c r="P7881" s="8"/>
    </row>
    <row r="7882" spans="16:16" x14ac:dyDescent="0.35">
      <c r="P7882" s="8"/>
    </row>
    <row r="7883" spans="16:16" x14ac:dyDescent="0.35">
      <c r="P7883" s="8"/>
    </row>
    <row r="7884" spans="16:16" x14ac:dyDescent="0.35">
      <c r="P7884" s="8"/>
    </row>
    <row r="7885" spans="16:16" x14ac:dyDescent="0.35">
      <c r="P7885" s="8"/>
    </row>
    <row r="7886" spans="16:16" x14ac:dyDescent="0.35">
      <c r="P7886" s="8"/>
    </row>
    <row r="7887" spans="16:16" x14ac:dyDescent="0.35">
      <c r="P7887" s="8"/>
    </row>
    <row r="7888" spans="16:16" x14ac:dyDescent="0.35">
      <c r="P7888" s="8"/>
    </row>
    <row r="7889" spans="16:16" x14ac:dyDescent="0.35">
      <c r="P7889" s="8"/>
    </row>
    <row r="7890" spans="16:16" x14ac:dyDescent="0.35">
      <c r="P7890" s="8"/>
    </row>
    <row r="7891" spans="16:16" x14ac:dyDescent="0.35">
      <c r="P7891" s="8"/>
    </row>
    <row r="7892" spans="16:16" x14ac:dyDescent="0.35">
      <c r="P7892" s="8"/>
    </row>
    <row r="7893" spans="16:16" x14ac:dyDescent="0.35">
      <c r="P7893" s="8"/>
    </row>
    <row r="7894" spans="16:16" x14ac:dyDescent="0.35">
      <c r="P7894" s="8"/>
    </row>
    <row r="7895" spans="16:16" x14ac:dyDescent="0.35">
      <c r="P7895" s="8"/>
    </row>
    <row r="7896" spans="16:16" x14ac:dyDescent="0.35">
      <c r="P7896" s="8"/>
    </row>
    <row r="7897" spans="16:16" x14ac:dyDescent="0.35">
      <c r="P7897" s="8"/>
    </row>
    <row r="7898" spans="16:16" x14ac:dyDescent="0.35">
      <c r="P7898" s="8"/>
    </row>
    <row r="7899" spans="16:16" x14ac:dyDescent="0.35">
      <c r="P7899" s="8"/>
    </row>
    <row r="7900" spans="16:16" x14ac:dyDescent="0.35">
      <c r="P7900" s="8"/>
    </row>
    <row r="7901" spans="16:16" x14ac:dyDescent="0.35">
      <c r="P7901" s="8"/>
    </row>
    <row r="7902" spans="16:16" x14ac:dyDescent="0.35">
      <c r="P7902" s="8"/>
    </row>
    <row r="7903" spans="16:16" x14ac:dyDescent="0.35">
      <c r="P7903" s="8"/>
    </row>
    <row r="7904" spans="16:16" x14ac:dyDescent="0.35">
      <c r="P7904" s="8"/>
    </row>
    <row r="7905" spans="16:16" x14ac:dyDescent="0.35">
      <c r="P7905" s="8"/>
    </row>
    <row r="7906" spans="16:16" x14ac:dyDescent="0.35">
      <c r="P7906" s="8"/>
    </row>
    <row r="7907" spans="16:16" x14ac:dyDescent="0.35">
      <c r="P7907" s="8"/>
    </row>
    <row r="7908" spans="16:16" x14ac:dyDescent="0.35">
      <c r="P7908" s="8"/>
    </row>
    <row r="7909" spans="16:16" x14ac:dyDescent="0.35">
      <c r="P7909" s="8"/>
    </row>
    <row r="7910" spans="16:16" x14ac:dyDescent="0.35">
      <c r="P7910" s="8"/>
    </row>
    <row r="7911" spans="16:16" x14ac:dyDescent="0.35">
      <c r="P7911" s="8"/>
    </row>
    <row r="7912" spans="16:16" x14ac:dyDescent="0.35">
      <c r="P7912" s="8"/>
    </row>
    <row r="7913" spans="16:16" x14ac:dyDescent="0.35">
      <c r="P7913" s="8"/>
    </row>
    <row r="7914" spans="16:16" x14ac:dyDescent="0.35">
      <c r="P7914" s="8"/>
    </row>
    <row r="7915" spans="16:16" x14ac:dyDescent="0.35">
      <c r="P7915" s="8"/>
    </row>
    <row r="7916" spans="16:16" x14ac:dyDescent="0.35">
      <c r="P7916" s="8"/>
    </row>
    <row r="7917" spans="16:16" x14ac:dyDescent="0.35">
      <c r="P7917" s="8"/>
    </row>
    <row r="7918" spans="16:16" x14ac:dyDescent="0.35">
      <c r="P7918" s="8"/>
    </row>
    <row r="7919" spans="16:16" x14ac:dyDescent="0.35">
      <c r="P7919" s="8"/>
    </row>
    <row r="7920" spans="16:16" x14ac:dyDescent="0.35">
      <c r="P7920" s="8"/>
    </row>
    <row r="7921" spans="16:16" x14ac:dyDescent="0.35">
      <c r="P7921" s="8"/>
    </row>
    <row r="7922" spans="16:16" x14ac:dyDescent="0.35">
      <c r="P7922" s="8"/>
    </row>
    <row r="7923" spans="16:16" x14ac:dyDescent="0.35">
      <c r="P7923" s="8"/>
    </row>
    <row r="7924" spans="16:16" x14ac:dyDescent="0.35">
      <c r="P7924" s="8"/>
    </row>
    <row r="7925" spans="16:16" x14ac:dyDescent="0.35">
      <c r="P7925" s="8"/>
    </row>
    <row r="7926" spans="16:16" x14ac:dyDescent="0.35">
      <c r="P7926" s="8"/>
    </row>
    <row r="7927" spans="16:16" x14ac:dyDescent="0.35">
      <c r="P7927" s="8"/>
    </row>
    <row r="7928" spans="16:16" x14ac:dyDescent="0.35">
      <c r="P7928" s="8"/>
    </row>
    <row r="7929" spans="16:16" x14ac:dyDescent="0.35">
      <c r="P7929" s="8"/>
    </row>
    <row r="7930" spans="16:16" x14ac:dyDescent="0.35">
      <c r="P7930" s="8"/>
    </row>
    <row r="7931" spans="16:16" x14ac:dyDescent="0.35">
      <c r="P7931" s="8"/>
    </row>
    <row r="7932" spans="16:16" x14ac:dyDescent="0.35">
      <c r="P7932" s="8"/>
    </row>
    <row r="7933" spans="16:16" x14ac:dyDescent="0.35">
      <c r="P7933" s="8"/>
    </row>
    <row r="7934" spans="16:16" x14ac:dyDescent="0.35">
      <c r="P7934" s="8"/>
    </row>
    <row r="7935" spans="16:16" x14ac:dyDescent="0.35">
      <c r="P7935" s="8"/>
    </row>
    <row r="7936" spans="16:16" x14ac:dyDescent="0.35">
      <c r="P7936" s="8"/>
    </row>
    <row r="7937" spans="16:16" x14ac:dyDescent="0.35">
      <c r="P7937" s="8"/>
    </row>
    <row r="7938" spans="16:16" x14ac:dyDescent="0.35">
      <c r="P7938" s="8"/>
    </row>
    <row r="7939" spans="16:16" x14ac:dyDescent="0.35">
      <c r="P7939" s="8"/>
    </row>
    <row r="7940" spans="16:16" x14ac:dyDescent="0.35">
      <c r="P7940" s="8"/>
    </row>
    <row r="7941" spans="16:16" x14ac:dyDescent="0.35">
      <c r="P7941" s="8"/>
    </row>
    <row r="7942" spans="16:16" x14ac:dyDescent="0.35">
      <c r="P7942" s="8"/>
    </row>
    <row r="7943" spans="16:16" x14ac:dyDescent="0.35">
      <c r="P7943" s="8"/>
    </row>
    <row r="7944" spans="16:16" x14ac:dyDescent="0.35">
      <c r="P7944" s="8"/>
    </row>
    <row r="7945" spans="16:16" x14ac:dyDescent="0.35">
      <c r="P7945" s="8"/>
    </row>
    <row r="7946" spans="16:16" x14ac:dyDescent="0.35">
      <c r="P7946" s="8"/>
    </row>
    <row r="7947" spans="16:16" x14ac:dyDescent="0.35">
      <c r="P7947" s="8"/>
    </row>
    <row r="7948" spans="16:16" x14ac:dyDescent="0.35">
      <c r="P7948" s="8"/>
    </row>
    <row r="7949" spans="16:16" x14ac:dyDescent="0.35">
      <c r="P7949" s="8"/>
    </row>
    <row r="7950" spans="16:16" x14ac:dyDescent="0.35">
      <c r="P7950" s="8"/>
    </row>
    <row r="7951" spans="16:16" x14ac:dyDescent="0.35">
      <c r="P7951" s="8"/>
    </row>
    <row r="7952" spans="16:16" x14ac:dyDescent="0.35">
      <c r="P7952" s="8"/>
    </row>
    <row r="7953" spans="16:16" x14ac:dyDescent="0.35">
      <c r="P7953" s="8"/>
    </row>
    <row r="7954" spans="16:16" x14ac:dyDescent="0.35">
      <c r="P7954" s="8"/>
    </row>
    <row r="7955" spans="16:16" x14ac:dyDescent="0.35">
      <c r="P7955" s="8"/>
    </row>
    <row r="7956" spans="16:16" x14ac:dyDescent="0.35">
      <c r="P7956" s="8"/>
    </row>
    <row r="7957" spans="16:16" x14ac:dyDescent="0.35">
      <c r="P7957" s="8"/>
    </row>
    <row r="7958" spans="16:16" x14ac:dyDescent="0.35">
      <c r="P7958" s="8"/>
    </row>
    <row r="7959" spans="16:16" x14ac:dyDescent="0.35">
      <c r="P7959" s="8"/>
    </row>
    <row r="7960" spans="16:16" x14ac:dyDescent="0.35">
      <c r="P7960" s="8"/>
    </row>
    <row r="7961" spans="16:16" x14ac:dyDescent="0.35">
      <c r="P7961" s="8"/>
    </row>
    <row r="7962" spans="16:16" x14ac:dyDescent="0.35">
      <c r="P7962" s="8"/>
    </row>
    <row r="7963" spans="16:16" x14ac:dyDescent="0.35">
      <c r="P7963" s="8"/>
    </row>
    <row r="7964" spans="16:16" x14ac:dyDescent="0.35">
      <c r="P7964" s="8"/>
    </row>
    <row r="7965" spans="16:16" x14ac:dyDescent="0.35">
      <c r="P7965" s="8"/>
    </row>
    <row r="7966" spans="16:16" x14ac:dyDescent="0.35">
      <c r="P7966" s="8"/>
    </row>
    <row r="7967" spans="16:16" x14ac:dyDescent="0.35">
      <c r="P7967" s="8"/>
    </row>
    <row r="7968" spans="16:16" x14ac:dyDescent="0.35">
      <c r="P7968" s="8"/>
    </row>
    <row r="7969" spans="16:16" x14ac:dyDescent="0.35">
      <c r="P7969" s="8"/>
    </row>
    <row r="7970" spans="16:16" x14ac:dyDescent="0.35">
      <c r="P7970" s="8"/>
    </row>
    <row r="7971" spans="16:16" x14ac:dyDescent="0.35">
      <c r="P7971" s="8"/>
    </row>
    <row r="7972" spans="16:16" x14ac:dyDescent="0.35">
      <c r="P7972" s="8"/>
    </row>
    <row r="7973" spans="16:16" x14ac:dyDescent="0.35">
      <c r="P7973" s="8"/>
    </row>
    <row r="7974" spans="16:16" x14ac:dyDescent="0.35">
      <c r="P7974" s="8"/>
    </row>
    <row r="7975" spans="16:16" x14ac:dyDescent="0.35">
      <c r="P7975" s="8"/>
    </row>
    <row r="7976" spans="16:16" x14ac:dyDescent="0.35">
      <c r="P7976" s="8"/>
    </row>
    <row r="7977" spans="16:16" x14ac:dyDescent="0.35">
      <c r="P7977" s="8"/>
    </row>
    <row r="7978" spans="16:16" x14ac:dyDescent="0.35">
      <c r="P7978" s="8"/>
    </row>
    <row r="7979" spans="16:16" x14ac:dyDescent="0.35">
      <c r="P7979" s="8"/>
    </row>
    <row r="7980" spans="16:16" x14ac:dyDescent="0.35">
      <c r="P7980" s="8"/>
    </row>
    <row r="7981" spans="16:16" x14ac:dyDescent="0.35">
      <c r="P7981" s="8"/>
    </row>
    <row r="7982" spans="16:16" x14ac:dyDescent="0.35">
      <c r="P7982" s="8"/>
    </row>
    <row r="7983" spans="16:16" x14ac:dyDescent="0.35">
      <c r="P7983" s="8"/>
    </row>
    <row r="7984" spans="16:16" x14ac:dyDescent="0.35">
      <c r="P7984" s="8"/>
    </row>
    <row r="7985" spans="16:16" x14ac:dyDescent="0.35">
      <c r="P7985" s="8"/>
    </row>
    <row r="7986" spans="16:16" x14ac:dyDescent="0.35">
      <c r="P7986" s="8"/>
    </row>
    <row r="7987" spans="16:16" x14ac:dyDescent="0.35">
      <c r="P7987" s="8"/>
    </row>
    <row r="7988" spans="16:16" x14ac:dyDescent="0.35">
      <c r="P7988" s="8"/>
    </row>
    <row r="7989" spans="16:16" x14ac:dyDescent="0.35">
      <c r="P7989" s="8"/>
    </row>
    <row r="7990" spans="16:16" x14ac:dyDescent="0.35">
      <c r="P7990" s="8"/>
    </row>
    <row r="7991" spans="16:16" x14ac:dyDescent="0.35">
      <c r="P7991" s="8"/>
    </row>
    <row r="7992" spans="16:16" x14ac:dyDescent="0.35">
      <c r="P7992" s="8"/>
    </row>
    <row r="7993" spans="16:16" x14ac:dyDescent="0.35">
      <c r="P7993" s="8"/>
    </row>
    <row r="7994" spans="16:16" x14ac:dyDescent="0.35">
      <c r="P7994" s="8"/>
    </row>
    <row r="7995" spans="16:16" x14ac:dyDescent="0.35">
      <c r="P7995" s="8"/>
    </row>
    <row r="7996" spans="16:16" x14ac:dyDescent="0.35">
      <c r="P7996" s="8"/>
    </row>
    <row r="7997" spans="16:16" x14ac:dyDescent="0.35">
      <c r="P7997" s="8"/>
    </row>
    <row r="7998" spans="16:16" x14ac:dyDescent="0.35">
      <c r="P7998" s="8"/>
    </row>
    <row r="7999" spans="16:16" x14ac:dyDescent="0.35">
      <c r="P7999" s="8"/>
    </row>
    <row r="8000" spans="16:16" x14ac:dyDescent="0.35">
      <c r="P8000" s="8"/>
    </row>
    <row r="8001" spans="16:16" x14ac:dyDescent="0.35">
      <c r="P8001" s="8"/>
    </row>
    <row r="8002" spans="16:16" x14ac:dyDescent="0.35">
      <c r="P8002" s="8"/>
    </row>
    <row r="8003" spans="16:16" x14ac:dyDescent="0.35">
      <c r="P8003" s="8"/>
    </row>
    <row r="8004" spans="16:16" x14ac:dyDescent="0.35">
      <c r="P8004" s="8"/>
    </row>
    <row r="8005" spans="16:16" x14ac:dyDescent="0.35">
      <c r="P8005" s="8"/>
    </row>
    <row r="8006" spans="16:16" x14ac:dyDescent="0.35">
      <c r="P8006" s="8"/>
    </row>
    <row r="8007" spans="16:16" x14ac:dyDescent="0.35">
      <c r="P8007" s="8"/>
    </row>
    <row r="8008" spans="16:16" x14ac:dyDescent="0.35">
      <c r="P8008" s="8"/>
    </row>
    <row r="8009" spans="16:16" x14ac:dyDescent="0.35">
      <c r="P8009" s="8"/>
    </row>
    <row r="8010" spans="16:16" x14ac:dyDescent="0.35">
      <c r="P8010" s="8"/>
    </row>
    <row r="8011" spans="16:16" x14ac:dyDescent="0.35">
      <c r="P8011" s="8"/>
    </row>
    <row r="8012" spans="16:16" x14ac:dyDescent="0.35">
      <c r="P8012" s="8"/>
    </row>
    <row r="8013" spans="16:16" x14ac:dyDescent="0.35">
      <c r="P8013" s="8"/>
    </row>
    <row r="8014" spans="16:16" x14ac:dyDescent="0.35">
      <c r="P8014" s="8"/>
    </row>
    <row r="8015" spans="16:16" x14ac:dyDescent="0.35">
      <c r="P8015" s="8"/>
    </row>
    <row r="8016" spans="16:16" x14ac:dyDescent="0.35">
      <c r="P8016" s="8"/>
    </row>
    <row r="8017" spans="16:16" x14ac:dyDescent="0.35">
      <c r="P8017" s="8"/>
    </row>
    <row r="8018" spans="16:16" x14ac:dyDescent="0.35">
      <c r="P8018" s="8"/>
    </row>
    <row r="8019" spans="16:16" x14ac:dyDescent="0.35">
      <c r="P8019" s="8"/>
    </row>
    <row r="8020" spans="16:16" x14ac:dyDescent="0.35">
      <c r="P8020" s="8"/>
    </row>
    <row r="8021" spans="16:16" x14ac:dyDescent="0.35">
      <c r="P8021" s="8"/>
    </row>
    <row r="8022" spans="16:16" x14ac:dyDescent="0.35">
      <c r="P8022" s="8"/>
    </row>
    <row r="8023" spans="16:16" x14ac:dyDescent="0.35">
      <c r="P8023" s="8"/>
    </row>
    <row r="8024" spans="16:16" x14ac:dyDescent="0.35">
      <c r="P8024" s="8"/>
    </row>
    <row r="8025" spans="16:16" x14ac:dyDescent="0.35">
      <c r="P8025" s="8"/>
    </row>
    <row r="8026" spans="16:16" x14ac:dyDescent="0.35">
      <c r="P8026" s="8"/>
    </row>
    <row r="8027" spans="16:16" x14ac:dyDescent="0.35">
      <c r="P8027" s="8"/>
    </row>
    <row r="8028" spans="16:16" x14ac:dyDescent="0.35">
      <c r="P8028" s="8"/>
    </row>
    <row r="8029" spans="16:16" x14ac:dyDescent="0.35">
      <c r="P8029" s="8"/>
    </row>
    <row r="8030" spans="16:16" x14ac:dyDescent="0.35">
      <c r="P8030" s="8"/>
    </row>
    <row r="8031" spans="16:16" x14ac:dyDescent="0.35">
      <c r="P8031" s="8"/>
    </row>
    <row r="8032" spans="16:16" x14ac:dyDescent="0.35">
      <c r="P8032" s="8"/>
    </row>
    <row r="8033" spans="16:16" x14ac:dyDescent="0.35">
      <c r="P8033" s="8"/>
    </row>
    <row r="8034" spans="16:16" x14ac:dyDescent="0.35">
      <c r="P8034" s="8"/>
    </row>
    <row r="8035" spans="16:16" x14ac:dyDescent="0.35">
      <c r="P8035" s="8"/>
    </row>
    <row r="8036" spans="16:16" x14ac:dyDescent="0.35">
      <c r="P8036" s="8"/>
    </row>
    <row r="8037" spans="16:16" x14ac:dyDescent="0.35">
      <c r="P8037" s="8"/>
    </row>
    <row r="8038" spans="16:16" x14ac:dyDescent="0.35">
      <c r="P8038" s="8"/>
    </row>
    <row r="8039" spans="16:16" x14ac:dyDescent="0.35">
      <c r="P8039" s="8"/>
    </row>
    <row r="8040" spans="16:16" x14ac:dyDescent="0.35">
      <c r="P8040" s="8"/>
    </row>
    <row r="8041" spans="16:16" x14ac:dyDescent="0.35">
      <c r="P8041" s="8"/>
    </row>
    <row r="8042" spans="16:16" x14ac:dyDescent="0.35">
      <c r="P8042" s="8"/>
    </row>
    <row r="8043" spans="16:16" x14ac:dyDescent="0.35">
      <c r="P8043" s="8"/>
    </row>
    <row r="8044" spans="16:16" x14ac:dyDescent="0.35">
      <c r="P8044" s="8"/>
    </row>
    <row r="8045" spans="16:16" x14ac:dyDescent="0.35">
      <c r="P8045" s="8"/>
    </row>
    <row r="8046" spans="16:16" x14ac:dyDescent="0.35">
      <c r="P8046" s="8"/>
    </row>
    <row r="8047" spans="16:16" x14ac:dyDescent="0.35">
      <c r="P8047" s="8"/>
    </row>
    <row r="8048" spans="16:16" x14ac:dyDescent="0.35">
      <c r="P8048" s="8"/>
    </row>
    <row r="8049" spans="16:16" x14ac:dyDescent="0.35">
      <c r="P8049" s="8"/>
    </row>
    <row r="8050" spans="16:16" x14ac:dyDescent="0.35">
      <c r="P8050" s="8"/>
    </row>
    <row r="8051" spans="16:16" x14ac:dyDescent="0.35">
      <c r="P8051" s="8"/>
    </row>
    <row r="8052" spans="16:16" x14ac:dyDescent="0.35">
      <c r="P8052" s="8"/>
    </row>
    <row r="8053" spans="16:16" x14ac:dyDescent="0.35">
      <c r="P8053" s="8"/>
    </row>
    <row r="8054" spans="16:16" x14ac:dyDescent="0.35">
      <c r="P8054" s="8"/>
    </row>
    <row r="8055" spans="16:16" x14ac:dyDescent="0.35">
      <c r="P8055" s="8"/>
    </row>
    <row r="8056" spans="16:16" x14ac:dyDescent="0.35">
      <c r="P8056" s="8"/>
    </row>
    <row r="8057" spans="16:16" x14ac:dyDescent="0.35">
      <c r="P8057" s="8"/>
    </row>
    <row r="8058" spans="16:16" x14ac:dyDescent="0.35">
      <c r="P8058" s="8"/>
    </row>
    <row r="8059" spans="16:16" x14ac:dyDescent="0.35">
      <c r="P8059" s="8"/>
    </row>
    <row r="8060" spans="16:16" x14ac:dyDescent="0.35">
      <c r="P8060" s="8"/>
    </row>
    <row r="8061" spans="16:16" x14ac:dyDescent="0.35">
      <c r="P8061" s="8"/>
    </row>
    <row r="8062" spans="16:16" x14ac:dyDescent="0.35">
      <c r="P8062" s="8"/>
    </row>
    <row r="8063" spans="16:16" x14ac:dyDescent="0.35">
      <c r="P8063" s="8"/>
    </row>
    <row r="8064" spans="16:16" x14ac:dyDescent="0.35">
      <c r="P8064" s="8"/>
    </row>
    <row r="8065" spans="16:16" x14ac:dyDescent="0.35">
      <c r="P8065" s="8"/>
    </row>
    <row r="8066" spans="16:16" x14ac:dyDescent="0.35">
      <c r="P8066" s="8"/>
    </row>
    <row r="8067" spans="16:16" x14ac:dyDescent="0.35">
      <c r="P8067" s="8"/>
    </row>
    <row r="8068" spans="16:16" x14ac:dyDescent="0.35">
      <c r="P8068" s="8"/>
    </row>
    <row r="8069" spans="16:16" x14ac:dyDescent="0.35">
      <c r="P8069" s="8"/>
    </row>
    <row r="8070" spans="16:16" x14ac:dyDescent="0.35">
      <c r="P8070" s="8"/>
    </row>
    <row r="8071" spans="16:16" x14ac:dyDescent="0.35">
      <c r="P8071" s="8"/>
    </row>
    <row r="8072" spans="16:16" x14ac:dyDescent="0.35">
      <c r="P8072" s="8"/>
    </row>
    <row r="8073" spans="16:16" x14ac:dyDescent="0.35">
      <c r="P8073" s="8"/>
    </row>
    <row r="8074" spans="16:16" x14ac:dyDescent="0.35">
      <c r="P8074" s="8"/>
    </row>
    <row r="8075" spans="16:16" x14ac:dyDescent="0.35">
      <c r="P8075" s="8"/>
    </row>
    <row r="8076" spans="16:16" x14ac:dyDescent="0.35">
      <c r="P8076" s="8"/>
    </row>
    <row r="8077" spans="16:16" x14ac:dyDescent="0.35">
      <c r="P8077" s="8"/>
    </row>
    <row r="8078" spans="16:16" x14ac:dyDescent="0.35">
      <c r="P8078" s="8"/>
    </row>
    <row r="8079" spans="16:16" x14ac:dyDescent="0.35">
      <c r="P8079" s="8"/>
    </row>
    <row r="8080" spans="16:16" x14ac:dyDescent="0.35">
      <c r="P8080" s="8"/>
    </row>
    <row r="8081" spans="16:16" x14ac:dyDescent="0.35">
      <c r="P8081" s="8"/>
    </row>
    <row r="8082" spans="16:16" x14ac:dyDescent="0.35">
      <c r="P8082" s="8"/>
    </row>
    <row r="8083" spans="16:16" x14ac:dyDescent="0.35">
      <c r="P8083" s="8"/>
    </row>
    <row r="8084" spans="16:16" x14ac:dyDescent="0.35">
      <c r="P8084" s="8"/>
    </row>
    <row r="8085" spans="16:16" x14ac:dyDescent="0.35">
      <c r="P8085" s="8"/>
    </row>
    <row r="8086" spans="16:16" x14ac:dyDescent="0.35">
      <c r="P8086" s="8"/>
    </row>
    <row r="8087" spans="16:16" x14ac:dyDescent="0.35">
      <c r="P8087" s="8"/>
    </row>
    <row r="8088" spans="16:16" x14ac:dyDescent="0.35">
      <c r="P8088" s="8"/>
    </row>
    <row r="8089" spans="16:16" x14ac:dyDescent="0.35">
      <c r="P8089" s="8"/>
    </row>
    <row r="8090" spans="16:16" x14ac:dyDescent="0.35">
      <c r="P8090" s="8"/>
    </row>
    <row r="8091" spans="16:16" x14ac:dyDescent="0.35">
      <c r="P8091" s="8"/>
    </row>
    <row r="8092" spans="16:16" x14ac:dyDescent="0.35">
      <c r="P8092" s="8"/>
    </row>
    <row r="8093" spans="16:16" x14ac:dyDescent="0.35">
      <c r="P8093" s="8"/>
    </row>
    <row r="8094" spans="16:16" x14ac:dyDescent="0.35">
      <c r="P8094" s="8"/>
    </row>
    <row r="8095" spans="16:16" x14ac:dyDescent="0.35">
      <c r="P8095" s="8"/>
    </row>
    <row r="8096" spans="16:16" x14ac:dyDescent="0.35">
      <c r="P8096" s="8"/>
    </row>
    <row r="8097" spans="16:16" x14ac:dyDescent="0.35">
      <c r="P8097" s="8"/>
    </row>
    <row r="8098" spans="16:16" x14ac:dyDescent="0.35">
      <c r="P8098" s="8"/>
    </row>
    <row r="8099" spans="16:16" x14ac:dyDescent="0.35">
      <c r="P8099" s="8"/>
    </row>
    <row r="8100" spans="16:16" x14ac:dyDescent="0.35">
      <c r="P8100" s="8"/>
    </row>
    <row r="8101" spans="16:16" x14ac:dyDescent="0.35">
      <c r="P8101" s="8"/>
    </row>
    <row r="8102" spans="16:16" x14ac:dyDescent="0.35">
      <c r="P8102" s="8"/>
    </row>
    <row r="8103" spans="16:16" x14ac:dyDescent="0.35">
      <c r="P8103" s="8"/>
    </row>
    <row r="8104" spans="16:16" x14ac:dyDescent="0.35">
      <c r="P8104" s="8"/>
    </row>
    <row r="8105" spans="16:16" x14ac:dyDescent="0.35">
      <c r="P8105" s="8"/>
    </row>
    <row r="8106" spans="16:16" x14ac:dyDescent="0.35">
      <c r="P8106" s="8"/>
    </row>
    <row r="8107" spans="16:16" x14ac:dyDescent="0.35">
      <c r="P8107" s="8"/>
    </row>
    <row r="8108" spans="16:16" x14ac:dyDescent="0.35">
      <c r="P8108" s="8"/>
    </row>
    <row r="8109" spans="16:16" x14ac:dyDescent="0.35">
      <c r="P8109" s="8"/>
    </row>
    <row r="8110" spans="16:16" x14ac:dyDescent="0.35">
      <c r="P8110" s="8"/>
    </row>
    <row r="8111" spans="16:16" x14ac:dyDescent="0.35">
      <c r="P8111" s="8"/>
    </row>
    <row r="8112" spans="16:16" x14ac:dyDescent="0.35">
      <c r="P8112" s="8"/>
    </row>
    <row r="8113" spans="16:16" x14ac:dyDescent="0.35">
      <c r="P8113" s="8"/>
    </row>
    <row r="8114" spans="16:16" x14ac:dyDescent="0.35">
      <c r="P8114" s="8"/>
    </row>
    <row r="8115" spans="16:16" x14ac:dyDescent="0.35">
      <c r="P8115" s="8"/>
    </row>
    <row r="8116" spans="16:16" x14ac:dyDescent="0.35">
      <c r="P8116" s="8"/>
    </row>
    <row r="8117" spans="16:16" x14ac:dyDescent="0.35">
      <c r="P8117" s="8"/>
    </row>
    <row r="8118" spans="16:16" x14ac:dyDescent="0.35">
      <c r="P8118" s="8"/>
    </row>
    <row r="8119" spans="16:16" x14ac:dyDescent="0.35">
      <c r="P8119" s="8"/>
    </row>
    <row r="8120" spans="16:16" x14ac:dyDescent="0.35">
      <c r="P8120" s="8"/>
    </row>
    <row r="8121" spans="16:16" x14ac:dyDescent="0.35">
      <c r="P8121" s="8"/>
    </row>
    <row r="8122" spans="16:16" x14ac:dyDescent="0.35">
      <c r="P8122" s="8"/>
    </row>
    <row r="8123" spans="16:16" x14ac:dyDescent="0.35">
      <c r="P8123" s="8"/>
    </row>
    <row r="8124" spans="16:16" x14ac:dyDescent="0.35">
      <c r="P8124" s="8"/>
    </row>
    <row r="8125" spans="16:16" x14ac:dyDescent="0.35">
      <c r="P8125" s="8"/>
    </row>
    <row r="8126" spans="16:16" x14ac:dyDescent="0.35">
      <c r="P8126" s="8"/>
    </row>
    <row r="8127" spans="16:16" x14ac:dyDescent="0.35">
      <c r="P8127" s="8"/>
    </row>
    <row r="8128" spans="16:16" x14ac:dyDescent="0.35">
      <c r="P8128" s="8"/>
    </row>
    <row r="8129" spans="16:16" x14ac:dyDescent="0.35">
      <c r="P8129" s="8"/>
    </row>
    <row r="8130" spans="16:16" x14ac:dyDescent="0.35">
      <c r="P8130" s="8"/>
    </row>
    <row r="8131" spans="16:16" x14ac:dyDescent="0.35">
      <c r="P8131" s="8"/>
    </row>
    <row r="8132" spans="16:16" x14ac:dyDescent="0.35">
      <c r="P8132" s="8"/>
    </row>
    <row r="8133" spans="16:16" x14ac:dyDescent="0.35">
      <c r="P8133" s="8"/>
    </row>
    <row r="8134" spans="16:16" x14ac:dyDescent="0.35">
      <c r="P8134" s="8"/>
    </row>
    <row r="8135" spans="16:16" x14ac:dyDescent="0.35">
      <c r="P8135" s="8"/>
    </row>
    <row r="8136" spans="16:16" x14ac:dyDescent="0.35">
      <c r="P8136" s="8"/>
    </row>
    <row r="8137" spans="16:16" x14ac:dyDescent="0.35">
      <c r="P8137" s="8"/>
    </row>
    <row r="8138" spans="16:16" x14ac:dyDescent="0.35">
      <c r="P8138" s="8"/>
    </row>
    <row r="8139" spans="16:16" x14ac:dyDescent="0.35">
      <c r="P8139" s="8"/>
    </row>
    <row r="8140" spans="16:16" x14ac:dyDescent="0.35">
      <c r="P8140" s="8"/>
    </row>
    <row r="8141" spans="16:16" x14ac:dyDescent="0.35">
      <c r="P8141" s="8"/>
    </row>
    <row r="8142" spans="16:16" x14ac:dyDescent="0.35">
      <c r="P8142" s="8"/>
    </row>
    <row r="8143" spans="16:16" x14ac:dyDescent="0.35">
      <c r="P8143" s="8"/>
    </row>
    <row r="8144" spans="16:16" x14ac:dyDescent="0.35">
      <c r="P8144" s="8"/>
    </row>
    <row r="8145" spans="16:16" x14ac:dyDescent="0.35">
      <c r="P8145" s="8"/>
    </row>
    <row r="8146" spans="16:16" x14ac:dyDescent="0.35">
      <c r="P8146" s="8"/>
    </row>
    <row r="8147" spans="16:16" x14ac:dyDescent="0.35">
      <c r="P8147" s="8"/>
    </row>
    <row r="8148" spans="16:16" x14ac:dyDescent="0.35">
      <c r="P8148" s="8"/>
    </row>
    <row r="8149" spans="16:16" x14ac:dyDescent="0.35">
      <c r="P8149" s="8"/>
    </row>
    <row r="8150" spans="16:16" x14ac:dyDescent="0.35">
      <c r="P8150" s="8"/>
    </row>
    <row r="8151" spans="16:16" x14ac:dyDescent="0.35">
      <c r="P8151" s="8"/>
    </row>
    <row r="8152" spans="16:16" x14ac:dyDescent="0.35">
      <c r="P8152" s="8"/>
    </row>
    <row r="8153" spans="16:16" x14ac:dyDescent="0.35">
      <c r="P8153" s="8"/>
    </row>
    <row r="8154" spans="16:16" x14ac:dyDescent="0.35">
      <c r="P8154" s="8"/>
    </row>
    <row r="8155" spans="16:16" x14ac:dyDescent="0.35">
      <c r="P8155" s="8"/>
    </row>
    <row r="8156" spans="16:16" x14ac:dyDescent="0.35">
      <c r="P8156" s="8"/>
    </row>
    <row r="8157" spans="16:16" x14ac:dyDescent="0.35">
      <c r="P8157" s="8"/>
    </row>
    <row r="8158" spans="16:16" x14ac:dyDescent="0.35">
      <c r="P8158" s="8"/>
    </row>
    <row r="8159" spans="16:16" x14ac:dyDescent="0.35">
      <c r="P8159" s="8"/>
    </row>
    <row r="8160" spans="16:16" x14ac:dyDescent="0.35">
      <c r="P8160" s="8"/>
    </row>
    <row r="8161" spans="16:16" x14ac:dyDescent="0.35">
      <c r="P8161" s="8"/>
    </row>
    <row r="8162" spans="16:16" x14ac:dyDescent="0.35">
      <c r="P8162" s="8"/>
    </row>
    <row r="8163" spans="16:16" x14ac:dyDescent="0.35">
      <c r="P8163" s="8"/>
    </row>
    <row r="8164" spans="16:16" x14ac:dyDescent="0.35">
      <c r="P8164" s="8"/>
    </row>
    <row r="8165" spans="16:16" x14ac:dyDescent="0.35">
      <c r="P8165" s="8"/>
    </row>
    <row r="8166" spans="16:16" x14ac:dyDescent="0.35">
      <c r="P8166" s="8"/>
    </row>
    <row r="8167" spans="16:16" x14ac:dyDescent="0.35">
      <c r="P8167" s="8"/>
    </row>
    <row r="8168" spans="16:16" x14ac:dyDescent="0.35">
      <c r="P8168" s="8"/>
    </row>
    <row r="8169" spans="16:16" x14ac:dyDescent="0.35">
      <c r="P8169" s="8"/>
    </row>
    <row r="8170" spans="16:16" x14ac:dyDescent="0.35">
      <c r="P8170" s="8"/>
    </row>
    <row r="8171" spans="16:16" x14ac:dyDescent="0.35">
      <c r="P8171" s="8"/>
    </row>
    <row r="8172" spans="16:16" x14ac:dyDescent="0.35">
      <c r="P8172" s="8"/>
    </row>
    <row r="8173" spans="16:16" x14ac:dyDescent="0.35">
      <c r="P8173" s="8"/>
    </row>
    <row r="8174" spans="16:16" x14ac:dyDescent="0.35">
      <c r="P8174" s="8"/>
    </row>
    <row r="8175" spans="16:16" x14ac:dyDescent="0.35">
      <c r="P8175" s="8"/>
    </row>
    <row r="8176" spans="16:16" x14ac:dyDescent="0.35">
      <c r="P8176" s="8"/>
    </row>
    <row r="8177" spans="16:16" x14ac:dyDescent="0.35">
      <c r="P8177" s="8"/>
    </row>
    <row r="8178" spans="16:16" x14ac:dyDescent="0.35">
      <c r="P8178" s="8"/>
    </row>
    <row r="8179" spans="16:16" x14ac:dyDescent="0.35">
      <c r="P8179" s="8"/>
    </row>
    <row r="8180" spans="16:16" x14ac:dyDescent="0.35">
      <c r="P8180" s="8"/>
    </row>
    <row r="8181" spans="16:16" x14ac:dyDescent="0.35">
      <c r="P8181" s="8"/>
    </row>
    <row r="8182" spans="16:16" x14ac:dyDescent="0.35">
      <c r="P8182" s="8"/>
    </row>
    <row r="8183" spans="16:16" x14ac:dyDescent="0.35">
      <c r="P8183" s="8"/>
    </row>
    <row r="8184" spans="16:16" x14ac:dyDescent="0.35">
      <c r="P8184" s="8"/>
    </row>
    <row r="8185" spans="16:16" x14ac:dyDescent="0.35">
      <c r="P8185" s="8"/>
    </row>
    <row r="8186" spans="16:16" x14ac:dyDescent="0.35">
      <c r="P8186" s="8"/>
    </row>
    <row r="8187" spans="16:16" x14ac:dyDescent="0.35">
      <c r="P8187" s="8"/>
    </row>
    <row r="8188" spans="16:16" x14ac:dyDescent="0.35">
      <c r="P8188" s="8"/>
    </row>
    <row r="8189" spans="16:16" x14ac:dyDescent="0.35">
      <c r="P8189" s="8"/>
    </row>
    <row r="8190" spans="16:16" x14ac:dyDescent="0.35">
      <c r="P8190" s="8"/>
    </row>
    <row r="8191" spans="16:16" x14ac:dyDescent="0.35">
      <c r="P8191" s="8"/>
    </row>
    <row r="8192" spans="16:16" x14ac:dyDescent="0.35">
      <c r="P8192" s="8"/>
    </row>
    <row r="8193" spans="16:16" x14ac:dyDescent="0.35">
      <c r="P8193" s="8"/>
    </row>
    <row r="8194" spans="16:16" x14ac:dyDescent="0.35">
      <c r="P8194" s="8"/>
    </row>
    <row r="8195" spans="16:16" x14ac:dyDescent="0.35">
      <c r="P8195" s="8"/>
    </row>
    <row r="8196" spans="16:16" x14ac:dyDescent="0.35">
      <c r="P8196" s="8"/>
    </row>
    <row r="8197" spans="16:16" x14ac:dyDescent="0.35">
      <c r="P8197" s="8"/>
    </row>
    <row r="8198" spans="16:16" x14ac:dyDescent="0.35">
      <c r="P8198" s="8"/>
    </row>
    <row r="8199" spans="16:16" x14ac:dyDescent="0.35">
      <c r="P8199" s="8"/>
    </row>
    <row r="8200" spans="16:16" x14ac:dyDescent="0.35">
      <c r="P8200" s="8"/>
    </row>
    <row r="8201" spans="16:16" x14ac:dyDescent="0.35">
      <c r="P8201" s="8"/>
    </row>
    <row r="8202" spans="16:16" x14ac:dyDescent="0.35">
      <c r="P8202" s="8"/>
    </row>
    <row r="8203" spans="16:16" x14ac:dyDescent="0.35">
      <c r="P8203" s="8"/>
    </row>
    <row r="8204" spans="16:16" x14ac:dyDescent="0.35">
      <c r="P8204" s="8"/>
    </row>
    <row r="8205" spans="16:16" x14ac:dyDescent="0.35">
      <c r="P8205" s="8"/>
    </row>
    <row r="8206" spans="16:16" x14ac:dyDescent="0.35">
      <c r="P8206" s="8"/>
    </row>
    <row r="8207" spans="16:16" x14ac:dyDescent="0.35">
      <c r="P8207" s="8"/>
    </row>
    <row r="8208" spans="16:16" x14ac:dyDescent="0.35">
      <c r="P8208" s="8"/>
    </row>
    <row r="8209" spans="16:16" x14ac:dyDescent="0.35">
      <c r="P8209" s="8"/>
    </row>
    <row r="8210" spans="16:16" x14ac:dyDescent="0.35">
      <c r="P8210" s="8"/>
    </row>
    <row r="8211" spans="16:16" x14ac:dyDescent="0.35">
      <c r="P8211" s="8"/>
    </row>
    <row r="8212" spans="16:16" x14ac:dyDescent="0.35">
      <c r="P8212" s="8"/>
    </row>
    <row r="8213" spans="16:16" x14ac:dyDescent="0.35">
      <c r="P8213" s="8"/>
    </row>
    <row r="8214" spans="16:16" x14ac:dyDescent="0.35">
      <c r="P8214" s="8"/>
    </row>
    <row r="8215" spans="16:16" x14ac:dyDescent="0.35">
      <c r="P8215" s="8"/>
    </row>
    <row r="8216" spans="16:16" x14ac:dyDescent="0.35">
      <c r="P8216" s="8"/>
    </row>
    <row r="8217" spans="16:16" x14ac:dyDescent="0.35">
      <c r="P8217" s="8"/>
    </row>
    <row r="8218" spans="16:16" x14ac:dyDescent="0.35">
      <c r="P8218" s="8"/>
    </row>
    <row r="8219" spans="16:16" x14ac:dyDescent="0.35">
      <c r="P8219" s="8"/>
    </row>
    <row r="8220" spans="16:16" x14ac:dyDescent="0.35">
      <c r="P8220" s="8"/>
    </row>
    <row r="8221" spans="16:16" x14ac:dyDescent="0.35">
      <c r="P8221" s="8"/>
    </row>
    <row r="8222" spans="16:16" x14ac:dyDescent="0.35">
      <c r="P8222" s="8"/>
    </row>
    <row r="8223" spans="16:16" x14ac:dyDescent="0.35">
      <c r="P8223" s="8"/>
    </row>
    <row r="8224" spans="16:16" x14ac:dyDescent="0.35">
      <c r="P8224" s="8"/>
    </row>
    <row r="8225" spans="16:16" x14ac:dyDescent="0.35">
      <c r="P8225" s="8"/>
    </row>
    <row r="8226" spans="16:16" x14ac:dyDescent="0.35">
      <c r="P8226" s="8"/>
    </row>
    <row r="8227" spans="16:16" x14ac:dyDescent="0.35">
      <c r="P8227" s="8"/>
    </row>
    <row r="8228" spans="16:16" x14ac:dyDescent="0.35">
      <c r="P8228" s="8"/>
    </row>
    <row r="8229" spans="16:16" x14ac:dyDescent="0.35">
      <c r="P8229" s="8"/>
    </row>
    <row r="8230" spans="16:16" x14ac:dyDescent="0.35">
      <c r="P8230" s="8"/>
    </row>
    <row r="8231" spans="16:16" x14ac:dyDescent="0.35">
      <c r="P8231" s="8"/>
    </row>
    <row r="8232" spans="16:16" x14ac:dyDescent="0.35">
      <c r="P8232" s="8"/>
    </row>
    <row r="8233" spans="16:16" x14ac:dyDescent="0.35">
      <c r="P8233" s="8"/>
    </row>
    <row r="8234" spans="16:16" x14ac:dyDescent="0.35">
      <c r="P8234" s="8"/>
    </row>
    <row r="8235" spans="16:16" x14ac:dyDescent="0.35">
      <c r="P8235" s="8"/>
    </row>
    <row r="8236" spans="16:16" x14ac:dyDescent="0.35">
      <c r="P8236" s="8"/>
    </row>
    <row r="8237" spans="16:16" x14ac:dyDescent="0.35">
      <c r="P8237" s="8"/>
    </row>
    <row r="8238" spans="16:16" x14ac:dyDescent="0.35">
      <c r="P8238" s="8"/>
    </row>
    <row r="8239" spans="16:16" x14ac:dyDescent="0.35">
      <c r="P8239" s="8"/>
    </row>
    <row r="8240" spans="16:16" x14ac:dyDescent="0.35">
      <c r="P8240" s="8"/>
    </row>
    <row r="8241" spans="16:16" x14ac:dyDescent="0.35">
      <c r="P8241" s="8"/>
    </row>
    <row r="8242" spans="16:16" x14ac:dyDescent="0.35">
      <c r="P8242" s="8"/>
    </row>
    <row r="8243" spans="16:16" x14ac:dyDescent="0.35">
      <c r="P8243" s="8"/>
    </row>
    <row r="8244" spans="16:16" x14ac:dyDescent="0.35">
      <c r="P8244" s="8"/>
    </row>
    <row r="8245" spans="16:16" x14ac:dyDescent="0.35">
      <c r="P8245" s="8"/>
    </row>
    <row r="8246" spans="16:16" x14ac:dyDescent="0.35">
      <c r="P8246" s="8"/>
    </row>
    <row r="8247" spans="16:16" x14ac:dyDescent="0.35">
      <c r="P8247" s="8"/>
    </row>
    <row r="8248" spans="16:16" x14ac:dyDescent="0.35">
      <c r="P8248" s="8"/>
    </row>
    <row r="8249" spans="16:16" x14ac:dyDescent="0.35">
      <c r="P8249" s="8"/>
    </row>
    <row r="8250" spans="16:16" x14ac:dyDescent="0.35">
      <c r="P8250" s="8"/>
    </row>
    <row r="8251" spans="16:16" x14ac:dyDescent="0.35">
      <c r="P8251" s="8"/>
    </row>
    <row r="8252" spans="16:16" x14ac:dyDescent="0.35">
      <c r="P8252" s="8"/>
    </row>
    <row r="8253" spans="16:16" x14ac:dyDescent="0.35">
      <c r="P8253" s="8"/>
    </row>
    <row r="8254" spans="16:16" x14ac:dyDescent="0.35">
      <c r="P8254" s="8"/>
    </row>
    <row r="8255" spans="16:16" x14ac:dyDescent="0.35">
      <c r="P8255" s="8"/>
    </row>
    <row r="8256" spans="16:16" x14ac:dyDescent="0.35">
      <c r="P8256" s="8"/>
    </row>
    <row r="8257" spans="16:16" x14ac:dyDescent="0.35">
      <c r="P8257" s="8"/>
    </row>
    <row r="8258" spans="16:16" x14ac:dyDescent="0.35">
      <c r="P8258" s="8"/>
    </row>
    <row r="8259" spans="16:16" x14ac:dyDescent="0.35">
      <c r="P8259" s="8"/>
    </row>
    <row r="8260" spans="16:16" x14ac:dyDescent="0.35">
      <c r="P8260" s="8"/>
    </row>
    <row r="8261" spans="16:16" x14ac:dyDescent="0.35">
      <c r="P8261" s="8"/>
    </row>
    <row r="8262" spans="16:16" x14ac:dyDescent="0.35">
      <c r="P8262" s="8"/>
    </row>
    <row r="8263" spans="16:16" x14ac:dyDescent="0.35">
      <c r="P8263" s="8"/>
    </row>
    <row r="8264" spans="16:16" x14ac:dyDescent="0.35">
      <c r="P8264" s="8"/>
    </row>
    <row r="8265" spans="16:16" x14ac:dyDescent="0.35">
      <c r="P8265" s="8"/>
    </row>
    <row r="8266" spans="16:16" x14ac:dyDescent="0.35">
      <c r="P8266" s="8"/>
    </row>
    <row r="8267" spans="16:16" x14ac:dyDescent="0.35">
      <c r="P8267" s="8"/>
    </row>
    <row r="8268" spans="16:16" x14ac:dyDescent="0.35">
      <c r="P8268" s="8"/>
    </row>
    <row r="8269" spans="16:16" x14ac:dyDescent="0.35">
      <c r="P8269" s="8"/>
    </row>
    <row r="8270" spans="16:16" x14ac:dyDescent="0.35">
      <c r="P8270" s="8"/>
    </row>
    <row r="8271" spans="16:16" x14ac:dyDescent="0.35">
      <c r="P8271" s="8"/>
    </row>
    <row r="8272" spans="16:16" x14ac:dyDescent="0.35">
      <c r="P8272" s="8"/>
    </row>
    <row r="8273" spans="16:16" x14ac:dyDescent="0.35">
      <c r="P8273" s="8"/>
    </row>
    <row r="8274" spans="16:16" x14ac:dyDescent="0.35">
      <c r="P8274" s="8"/>
    </row>
    <row r="8275" spans="16:16" x14ac:dyDescent="0.35">
      <c r="P8275" s="8"/>
    </row>
    <row r="8276" spans="16:16" x14ac:dyDescent="0.35">
      <c r="P8276" s="8"/>
    </row>
    <row r="8277" spans="16:16" x14ac:dyDescent="0.35">
      <c r="P8277" s="8"/>
    </row>
    <row r="8278" spans="16:16" x14ac:dyDescent="0.35">
      <c r="P8278" s="8"/>
    </row>
    <row r="8279" spans="16:16" x14ac:dyDescent="0.35">
      <c r="P8279" s="8"/>
    </row>
    <row r="8280" spans="16:16" x14ac:dyDescent="0.35">
      <c r="P8280" s="8"/>
    </row>
    <row r="8281" spans="16:16" x14ac:dyDescent="0.35">
      <c r="P8281" s="8"/>
    </row>
    <row r="8282" spans="16:16" x14ac:dyDescent="0.35">
      <c r="P8282" s="8"/>
    </row>
    <row r="8283" spans="16:16" x14ac:dyDescent="0.35">
      <c r="P8283" s="8"/>
    </row>
    <row r="8284" spans="16:16" x14ac:dyDescent="0.35">
      <c r="P8284" s="8"/>
    </row>
    <row r="8285" spans="16:16" x14ac:dyDescent="0.35">
      <c r="P8285" s="8"/>
    </row>
    <row r="8286" spans="16:16" x14ac:dyDescent="0.35">
      <c r="P8286" s="8"/>
    </row>
    <row r="8287" spans="16:16" x14ac:dyDescent="0.35">
      <c r="P8287" s="8"/>
    </row>
    <row r="8288" spans="16:16" x14ac:dyDescent="0.35">
      <c r="P8288" s="8"/>
    </row>
    <row r="8289" spans="16:16" x14ac:dyDescent="0.35">
      <c r="P8289" s="8"/>
    </row>
    <row r="8290" spans="16:16" x14ac:dyDescent="0.35">
      <c r="P8290" s="8"/>
    </row>
    <row r="8291" spans="16:16" x14ac:dyDescent="0.35">
      <c r="P8291" s="8"/>
    </row>
    <row r="8292" spans="16:16" x14ac:dyDescent="0.35">
      <c r="P8292" s="8"/>
    </row>
    <row r="8293" spans="16:16" x14ac:dyDescent="0.35">
      <c r="P8293" s="8"/>
    </row>
    <row r="8294" spans="16:16" x14ac:dyDescent="0.35">
      <c r="P8294" s="8"/>
    </row>
    <row r="8295" spans="16:16" x14ac:dyDescent="0.35">
      <c r="P8295" s="8"/>
    </row>
    <row r="8296" spans="16:16" x14ac:dyDescent="0.35">
      <c r="P8296" s="8"/>
    </row>
    <row r="8297" spans="16:16" x14ac:dyDescent="0.35">
      <c r="P8297" s="8"/>
    </row>
    <row r="8298" spans="16:16" x14ac:dyDescent="0.35">
      <c r="P8298" s="8"/>
    </row>
    <row r="8299" spans="16:16" x14ac:dyDescent="0.35">
      <c r="P8299" s="8"/>
    </row>
    <row r="8300" spans="16:16" x14ac:dyDescent="0.35">
      <c r="P8300" s="8"/>
    </row>
    <row r="8301" spans="16:16" x14ac:dyDescent="0.35">
      <c r="P8301" s="8"/>
    </row>
    <row r="8302" spans="16:16" x14ac:dyDescent="0.35">
      <c r="P8302" s="8"/>
    </row>
    <row r="8303" spans="16:16" x14ac:dyDescent="0.35">
      <c r="P8303" s="8"/>
    </row>
    <row r="8304" spans="16:16" x14ac:dyDescent="0.35">
      <c r="P8304" s="8"/>
    </row>
    <row r="8305" spans="16:16" x14ac:dyDescent="0.35">
      <c r="P8305" s="8"/>
    </row>
    <row r="8306" spans="16:16" x14ac:dyDescent="0.35">
      <c r="P8306" s="8"/>
    </row>
    <row r="8307" spans="16:16" x14ac:dyDescent="0.35">
      <c r="P8307" s="8"/>
    </row>
    <row r="8308" spans="16:16" x14ac:dyDescent="0.35">
      <c r="P8308" s="8"/>
    </row>
    <row r="8309" spans="16:16" x14ac:dyDescent="0.35">
      <c r="P8309" s="8"/>
    </row>
    <row r="8310" spans="16:16" x14ac:dyDescent="0.35">
      <c r="P8310" s="8"/>
    </row>
    <row r="8311" spans="16:16" x14ac:dyDescent="0.35">
      <c r="P8311" s="8"/>
    </row>
    <row r="8312" spans="16:16" x14ac:dyDescent="0.35">
      <c r="P8312" s="8"/>
    </row>
    <row r="8313" spans="16:16" x14ac:dyDescent="0.35">
      <c r="P8313" s="8"/>
    </row>
    <row r="8314" spans="16:16" x14ac:dyDescent="0.35">
      <c r="P8314" s="8"/>
    </row>
    <row r="8315" spans="16:16" x14ac:dyDescent="0.35">
      <c r="P8315" s="8"/>
    </row>
    <row r="8316" spans="16:16" x14ac:dyDescent="0.35">
      <c r="P8316" s="8"/>
    </row>
    <row r="8317" spans="16:16" x14ac:dyDescent="0.35">
      <c r="P8317" s="8"/>
    </row>
    <row r="8318" spans="16:16" x14ac:dyDescent="0.35">
      <c r="P8318" s="8"/>
    </row>
    <row r="8319" spans="16:16" x14ac:dyDescent="0.35">
      <c r="P8319" s="8"/>
    </row>
    <row r="8320" spans="16:16" x14ac:dyDescent="0.35">
      <c r="P8320" s="8"/>
    </row>
    <row r="8321" spans="16:16" x14ac:dyDescent="0.35">
      <c r="P8321" s="8"/>
    </row>
    <row r="8322" spans="16:16" x14ac:dyDescent="0.35">
      <c r="P8322" s="8"/>
    </row>
    <row r="8323" spans="16:16" x14ac:dyDescent="0.35">
      <c r="P8323" s="8"/>
    </row>
    <row r="8324" spans="16:16" x14ac:dyDescent="0.35">
      <c r="P8324" s="8"/>
    </row>
    <row r="8325" spans="16:16" x14ac:dyDescent="0.35">
      <c r="P8325" s="8"/>
    </row>
    <row r="8326" spans="16:16" x14ac:dyDescent="0.35">
      <c r="P8326" s="8"/>
    </row>
    <row r="8327" spans="16:16" x14ac:dyDescent="0.35">
      <c r="P8327" s="8"/>
    </row>
    <row r="8328" spans="16:16" x14ac:dyDescent="0.35">
      <c r="P8328" s="8"/>
    </row>
    <row r="8329" spans="16:16" x14ac:dyDescent="0.35">
      <c r="P8329" s="8"/>
    </row>
    <row r="8330" spans="16:16" x14ac:dyDescent="0.35">
      <c r="P8330" s="8"/>
    </row>
    <row r="8331" spans="16:16" x14ac:dyDescent="0.35">
      <c r="P8331" s="8"/>
    </row>
    <row r="8332" spans="16:16" x14ac:dyDescent="0.35">
      <c r="P8332" s="8"/>
    </row>
    <row r="8333" spans="16:16" x14ac:dyDescent="0.35">
      <c r="P8333" s="8"/>
    </row>
    <row r="8334" spans="16:16" x14ac:dyDescent="0.35">
      <c r="P8334" s="8"/>
    </row>
    <row r="8335" spans="16:16" x14ac:dyDescent="0.35">
      <c r="P8335" s="8"/>
    </row>
    <row r="8336" spans="16:16" x14ac:dyDescent="0.35">
      <c r="P8336" s="8"/>
    </row>
    <row r="8337" spans="16:16" x14ac:dyDescent="0.35">
      <c r="P8337" s="8"/>
    </row>
    <row r="8338" spans="16:16" x14ac:dyDescent="0.35">
      <c r="P8338" s="8"/>
    </row>
    <row r="8339" spans="16:16" x14ac:dyDescent="0.35">
      <c r="P8339" s="8"/>
    </row>
    <row r="8340" spans="16:16" x14ac:dyDescent="0.35">
      <c r="P8340" s="8"/>
    </row>
    <row r="8341" spans="16:16" x14ac:dyDescent="0.35">
      <c r="P8341" s="8"/>
    </row>
    <row r="8342" spans="16:16" x14ac:dyDescent="0.35">
      <c r="P8342" s="8"/>
    </row>
    <row r="8343" spans="16:16" x14ac:dyDescent="0.35">
      <c r="P8343" s="8"/>
    </row>
    <row r="8344" spans="16:16" x14ac:dyDescent="0.35">
      <c r="P8344" s="8"/>
    </row>
    <row r="8345" spans="16:16" x14ac:dyDescent="0.35">
      <c r="P8345" s="8"/>
    </row>
    <row r="8346" spans="16:16" x14ac:dyDescent="0.35">
      <c r="P8346" s="8"/>
    </row>
    <row r="8347" spans="16:16" x14ac:dyDescent="0.35">
      <c r="P8347" s="8"/>
    </row>
    <row r="8348" spans="16:16" x14ac:dyDescent="0.35">
      <c r="P8348" s="8"/>
    </row>
    <row r="8349" spans="16:16" x14ac:dyDescent="0.35">
      <c r="P8349" s="8"/>
    </row>
    <row r="8350" spans="16:16" x14ac:dyDescent="0.35">
      <c r="P8350" s="8"/>
    </row>
    <row r="8351" spans="16:16" x14ac:dyDescent="0.35">
      <c r="P8351" s="8"/>
    </row>
    <row r="8352" spans="16:16" x14ac:dyDescent="0.35">
      <c r="P8352" s="8"/>
    </row>
    <row r="8353" spans="16:16" x14ac:dyDescent="0.35">
      <c r="P8353" s="8"/>
    </row>
    <row r="8354" spans="16:16" x14ac:dyDescent="0.35">
      <c r="P8354" s="8"/>
    </row>
    <row r="8355" spans="16:16" x14ac:dyDescent="0.35">
      <c r="P8355" s="8"/>
    </row>
    <row r="8356" spans="16:16" x14ac:dyDescent="0.35">
      <c r="P8356" s="8"/>
    </row>
    <row r="8357" spans="16:16" x14ac:dyDescent="0.35">
      <c r="P8357" s="8"/>
    </row>
    <row r="8358" spans="16:16" x14ac:dyDescent="0.35">
      <c r="P8358" s="8"/>
    </row>
    <row r="8359" spans="16:16" x14ac:dyDescent="0.35">
      <c r="P8359" s="8"/>
    </row>
    <row r="8360" spans="16:16" x14ac:dyDescent="0.35">
      <c r="P8360" s="8"/>
    </row>
    <row r="8361" spans="16:16" x14ac:dyDescent="0.35">
      <c r="P8361" s="8"/>
    </row>
    <row r="8362" spans="16:16" x14ac:dyDescent="0.35">
      <c r="P8362" s="8"/>
    </row>
    <row r="8363" spans="16:16" x14ac:dyDescent="0.35">
      <c r="P8363" s="8"/>
    </row>
    <row r="8364" spans="16:16" x14ac:dyDescent="0.35">
      <c r="P8364" s="8"/>
    </row>
    <row r="8365" spans="16:16" x14ac:dyDescent="0.35">
      <c r="P8365" s="8"/>
    </row>
    <row r="8366" spans="16:16" x14ac:dyDescent="0.35">
      <c r="P8366" s="8"/>
    </row>
    <row r="8367" spans="16:16" x14ac:dyDescent="0.35">
      <c r="P8367" s="8"/>
    </row>
    <row r="8368" spans="16:16" x14ac:dyDescent="0.35">
      <c r="P8368" s="8"/>
    </row>
    <row r="8369" spans="16:16" x14ac:dyDescent="0.35">
      <c r="P8369" s="8"/>
    </row>
    <row r="8370" spans="16:16" x14ac:dyDescent="0.35">
      <c r="P8370" s="8"/>
    </row>
    <row r="8371" spans="16:16" x14ac:dyDescent="0.35">
      <c r="P8371" s="8"/>
    </row>
    <row r="8372" spans="16:16" x14ac:dyDescent="0.35">
      <c r="P8372" s="8"/>
    </row>
    <row r="8373" spans="16:16" x14ac:dyDescent="0.35">
      <c r="P8373" s="8"/>
    </row>
    <row r="8374" spans="16:16" x14ac:dyDescent="0.35">
      <c r="P8374" s="8"/>
    </row>
    <row r="8375" spans="16:16" x14ac:dyDescent="0.35">
      <c r="P8375" s="8"/>
    </row>
    <row r="8376" spans="16:16" x14ac:dyDescent="0.35">
      <c r="P8376" s="8"/>
    </row>
    <row r="8377" spans="16:16" x14ac:dyDescent="0.35">
      <c r="P8377" s="8"/>
    </row>
    <row r="8378" spans="16:16" x14ac:dyDescent="0.35">
      <c r="P8378" s="8"/>
    </row>
    <row r="8379" spans="16:16" x14ac:dyDescent="0.35">
      <c r="P8379" s="8"/>
    </row>
    <row r="8380" spans="16:16" x14ac:dyDescent="0.35">
      <c r="P8380" s="8"/>
    </row>
    <row r="8381" spans="16:16" x14ac:dyDescent="0.35">
      <c r="P8381" s="8"/>
    </row>
    <row r="8382" spans="16:16" x14ac:dyDescent="0.35">
      <c r="P8382" s="8"/>
    </row>
    <row r="8383" spans="16:16" x14ac:dyDescent="0.35">
      <c r="P8383" s="8"/>
    </row>
    <row r="8384" spans="16:16" x14ac:dyDescent="0.35">
      <c r="P8384" s="8"/>
    </row>
    <row r="8385" spans="16:16" x14ac:dyDescent="0.35">
      <c r="P8385" s="8"/>
    </row>
    <row r="8386" spans="16:16" x14ac:dyDescent="0.35">
      <c r="P8386" s="8"/>
    </row>
    <row r="8387" spans="16:16" x14ac:dyDescent="0.35">
      <c r="P8387" s="8"/>
    </row>
    <row r="8388" spans="16:16" x14ac:dyDescent="0.35">
      <c r="P8388" s="8"/>
    </row>
    <row r="8389" spans="16:16" x14ac:dyDescent="0.35">
      <c r="P8389" s="8"/>
    </row>
    <row r="8390" spans="16:16" x14ac:dyDescent="0.35">
      <c r="P8390" s="8"/>
    </row>
    <row r="8391" spans="16:16" x14ac:dyDescent="0.35">
      <c r="P8391" s="8"/>
    </row>
    <row r="8392" spans="16:16" x14ac:dyDescent="0.35">
      <c r="P8392" s="8"/>
    </row>
    <row r="8393" spans="16:16" x14ac:dyDescent="0.35">
      <c r="P8393" s="8"/>
    </row>
    <row r="8394" spans="16:16" x14ac:dyDescent="0.35">
      <c r="P8394" s="8"/>
    </row>
    <row r="8395" spans="16:16" x14ac:dyDescent="0.35">
      <c r="P8395" s="8"/>
    </row>
    <row r="8396" spans="16:16" x14ac:dyDescent="0.35">
      <c r="P8396" s="8"/>
    </row>
    <row r="8397" spans="16:16" x14ac:dyDescent="0.35">
      <c r="P8397" s="8"/>
    </row>
    <row r="8398" spans="16:16" x14ac:dyDescent="0.35">
      <c r="P8398" s="8"/>
    </row>
    <row r="8399" spans="16:16" x14ac:dyDescent="0.35">
      <c r="P8399" s="8"/>
    </row>
    <row r="8400" spans="16:16" x14ac:dyDescent="0.35">
      <c r="P8400" s="8"/>
    </row>
    <row r="8401" spans="16:16" x14ac:dyDescent="0.35">
      <c r="P8401" s="8"/>
    </row>
    <row r="8402" spans="16:16" x14ac:dyDescent="0.35">
      <c r="P8402" s="8"/>
    </row>
    <row r="8403" spans="16:16" x14ac:dyDescent="0.35">
      <c r="P8403" s="8"/>
    </row>
    <row r="8404" spans="16:16" x14ac:dyDescent="0.35">
      <c r="P8404" s="8"/>
    </row>
    <row r="8405" spans="16:16" x14ac:dyDescent="0.35">
      <c r="P8405" s="8"/>
    </row>
    <row r="8406" spans="16:16" x14ac:dyDescent="0.35">
      <c r="P8406" s="8"/>
    </row>
    <row r="8407" spans="16:16" x14ac:dyDescent="0.35">
      <c r="P8407" s="8"/>
    </row>
    <row r="8408" spans="16:16" x14ac:dyDescent="0.35">
      <c r="P8408" s="8"/>
    </row>
    <row r="8409" spans="16:16" x14ac:dyDescent="0.35">
      <c r="P8409" s="8"/>
    </row>
    <row r="8410" spans="16:16" x14ac:dyDescent="0.35">
      <c r="P8410" s="8"/>
    </row>
    <row r="8411" spans="16:16" x14ac:dyDescent="0.35">
      <c r="P8411" s="8"/>
    </row>
    <row r="8412" spans="16:16" x14ac:dyDescent="0.35">
      <c r="P8412" s="8"/>
    </row>
    <row r="8413" spans="16:16" x14ac:dyDescent="0.35">
      <c r="P8413" s="8"/>
    </row>
    <row r="8414" spans="16:16" x14ac:dyDescent="0.35">
      <c r="P8414" s="8"/>
    </row>
    <row r="8415" spans="16:16" x14ac:dyDescent="0.35">
      <c r="P8415" s="8"/>
    </row>
    <row r="8416" spans="16:16" x14ac:dyDescent="0.35">
      <c r="P8416" s="8"/>
    </row>
    <row r="8417" spans="16:16" x14ac:dyDescent="0.35">
      <c r="P8417" s="8"/>
    </row>
    <row r="8418" spans="16:16" x14ac:dyDescent="0.35">
      <c r="P8418" s="8"/>
    </row>
    <row r="8419" spans="16:16" x14ac:dyDescent="0.35">
      <c r="P8419" s="8"/>
    </row>
    <row r="8420" spans="16:16" x14ac:dyDescent="0.35">
      <c r="P8420" s="8"/>
    </row>
    <row r="8421" spans="16:16" x14ac:dyDescent="0.35">
      <c r="P8421" s="8"/>
    </row>
    <row r="8422" spans="16:16" x14ac:dyDescent="0.35">
      <c r="P8422" s="8"/>
    </row>
    <row r="8423" spans="16:16" x14ac:dyDescent="0.35">
      <c r="P8423" s="8"/>
    </row>
    <row r="8424" spans="16:16" x14ac:dyDescent="0.35">
      <c r="P8424" s="8"/>
    </row>
    <row r="8425" spans="16:16" x14ac:dyDescent="0.35">
      <c r="P8425" s="8"/>
    </row>
    <row r="8426" spans="16:16" x14ac:dyDescent="0.35">
      <c r="P8426" s="8"/>
    </row>
    <row r="8427" spans="16:16" x14ac:dyDescent="0.35">
      <c r="P8427" s="8"/>
    </row>
    <row r="8428" spans="16:16" x14ac:dyDescent="0.35">
      <c r="P8428" s="8"/>
    </row>
    <row r="8429" spans="16:16" x14ac:dyDescent="0.35">
      <c r="P8429" s="8"/>
    </row>
    <row r="8430" spans="16:16" x14ac:dyDescent="0.35">
      <c r="P8430" s="8"/>
    </row>
    <row r="8431" spans="16:16" x14ac:dyDescent="0.35">
      <c r="P8431" s="8"/>
    </row>
    <row r="8432" spans="16:16" x14ac:dyDescent="0.35">
      <c r="P8432" s="8"/>
    </row>
    <row r="8433" spans="16:16" x14ac:dyDescent="0.35">
      <c r="P8433" s="8"/>
    </row>
    <row r="8434" spans="16:16" x14ac:dyDescent="0.35">
      <c r="P8434" s="8"/>
    </row>
    <row r="8435" spans="16:16" x14ac:dyDescent="0.35">
      <c r="P8435" s="8"/>
    </row>
    <row r="8436" spans="16:16" x14ac:dyDescent="0.35">
      <c r="P8436" s="8"/>
    </row>
    <row r="8437" spans="16:16" x14ac:dyDescent="0.35">
      <c r="P8437" s="8"/>
    </row>
    <row r="8438" spans="16:16" x14ac:dyDescent="0.35">
      <c r="P8438" s="8"/>
    </row>
    <row r="8439" spans="16:16" x14ac:dyDescent="0.35">
      <c r="P8439" s="8"/>
    </row>
    <row r="8440" spans="16:16" x14ac:dyDescent="0.35">
      <c r="P8440" s="8"/>
    </row>
    <row r="8441" spans="16:16" x14ac:dyDescent="0.35">
      <c r="P8441" s="8"/>
    </row>
    <row r="8442" spans="16:16" x14ac:dyDescent="0.35">
      <c r="P8442" s="8"/>
    </row>
    <row r="8443" spans="16:16" x14ac:dyDescent="0.35">
      <c r="P8443" s="8"/>
    </row>
    <row r="8444" spans="16:16" x14ac:dyDescent="0.35">
      <c r="P8444" s="8"/>
    </row>
    <row r="8445" spans="16:16" x14ac:dyDescent="0.35">
      <c r="P8445" s="8"/>
    </row>
    <row r="8446" spans="16:16" x14ac:dyDescent="0.35">
      <c r="P8446" s="8"/>
    </row>
    <row r="8447" spans="16:16" x14ac:dyDescent="0.35">
      <c r="P8447" s="8"/>
    </row>
    <row r="8448" spans="16:16" x14ac:dyDescent="0.35">
      <c r="P8448" s="8"/>
    </row>
    <row r="8449" spans="16:16" x14ac:dyDescent="0.35">
      <c r="P8449" s="8"/>
    </row>
    <row r="8450" spans="16:16" x14ac:dyDescent="0.35">
      <c r="P8450" s="8"/>
    </row>
    <row r="8451" spans="16:16" x14ac:dyDescent="0.35">
      <c r="P8451" s="8"/>
    </row>
    <row r="8452" spans="16:16" x14ac:dyDescent="0.35">
      <c r="P8452" s="8"/>
    </row>
    <row r="8453" spans="16:16" x14ac:dyDescent="0.35">
      <c r="P8453" s="8"/>
    </row>
    <row r="8454" spans="16:16" x14ac:dyDescent="0.35">
      <c r="P8454" s="8"/>
    </row>
    <row r="8455" spans="16:16" x14ac:dyDescent="0.35">
      <c r="P8455" s="8"/>
    </row>
    <row r="8456" spans="16:16" x14ac:dyDescent="0.35">
      <c r="P8456" s="8"/>
    </row>
    <row r="8457" spans="16:16" x14ac:dyDescent="0.35">
      <c r="P8457" s="8"/>
    </row>
    <row r="8458" spans="16:16" x14ac:dyDescent="0.35">
      <c r="P8458" s="8"/>
    </row>
    <row r="8459" spans="16:16" x14ac:dyDescent="0.35">
      <c r="P8459" s="8"/>
    </row>
    <row r="8460" spans="16:16" x14ac:dyDescent="0.35">
      <c r="P8460" s="8"/>
    </row>
    <row r="8461" spans="16:16" x14ac:dyDescent="0.35">
      <c r="P8461" s="8"/>
    </row>
    <row r="8462" spans="16:16" x14ac:dyDescent="0.35">
      <c r="P8462" s="8"/>
    </row>
    <row r="8463" spans="16:16" x14ac:dyDescent="0.35">
      <c r="P8463" s="8"/>
    </row>
    <row r="8464" spans="16:16" x14ac:dyDescent="0.35">
      <c r="P8464" s="8"/>
    </row>
    <row r="8465" spans="16:16" x14ac:dyDescent="0.35">
      <c r="P8465" s="8"/>
    </row>
    <row r="8466" spans="16:16" x14ac:dyDescent="0.35">
      <c r="P8466" s="8"/>
    </row>
    <row r="8467" spans="16:16" x14ac:dyDescent="0.35">
      <c r="P8467" s="8"/>
    </row>
    <row r="8468" spans="16:16" x14ac:dyDescent="0.35">
      <c r="P8468" s="8"/>
    </row>
    <row r="8469" spans="16:16" x14ac:dyDescent="0.35">
      <c r="P8469" s="8"/>
    </row>
    <row r="8470" spans="16:16" x14ac:dyDescent="0.35">
      <c r="P8470" s="8"/>
    </row>
    <row r="8471" spans="16:16" x14ac:dyDescent="0.35">
      <c r="P8471" s="8"/>
    </row>
    <row r="8472" spans="16:16" x14ac:dyDescent="0.35">
      <c r="P8472" s="8"/>
    </row>
    <row r="8473" spans="16:16" x14ac:dyDescent="0.35">
      <c r="P8473" s="8"/>
    </row>
    <row r="8474" spans="16:16" x14ac:dyDescent="0.35">
      <c r="P8474" s="8"/>
    </row>
    <row r="8475" spans="16:16" x14ac:dyDescent="0.35">
      <c r="P8475" s="8"/>
    </row>
    <row r="8476" spans="16:16" x14ac:dyDescent="0.35">
      <c r="P8476" s="8"/>
    </row>
    <row r="8477" spans="16:16" x14ac:dyDescent="0.35">
      <c r="P8477" s="8"/>
    </row>
    <row r="8478" spans="16:16" x14ac:dyDescent="0.35">
      <c r="P8478" s="8"/>
    </row>
    <row r="8479" spans="16:16" x14ac:dyDescent="0.35">
      <c r="P8479" s="8"/>
    </row>
    <row r="8480" spans="16:16" x14ac:dyDescent="0.35">
      <c r="P8480" s="8"/>
    </row>
    <row r="8481" spans="16:16" x14ac:dyDescent="0.35">
      <c r="P8481" s="8"/>
    </row>
    <row r="8482" spans="16:16" x14ac:dyDescent="0.35">
      <c r="P8482" s="8"/>
    </row>
    <row r="8483" spans="16:16" x14ac:dyDescent="0.35">
      <c r="P8483" s="8"/>
    </row>
    <row r="8484" spans="16:16" x14ac:dyDescent="0.35">
      <c r="P8484" s="8"/>
    </row>
    <row r="8485" spans="16:16" x14ac:dyDescent="0.35">
      <c r="P8485" s="8"/>
    </row>
    <row r="8486" spans="16:16" x14ac:dyDescent="0.35">
      <c r="P8486" s="8"/>
    </row>
    <row r="8487" spans="16:16" x14ac:dyDescent="0.35">
      <c r="P8487" s="8"/>
    </row>
    <row r="8488" spans="16:16" x14ac:dyDescent="0.35">
      <c r="P8488" s="8"/>
    </row>
    <row r="8489" spans="16:16" x14ac:dyDescent="0.35">
      <c r="P8489" s="8"/>
    </row>
    <row r="8490" spans="16:16" x14ac:dyDescent="0.35">
      <c r="P8490" s="8"/>
    </row>
    <row r="8491" spans="16:16" x14ac:dyDescent="0.35">
      <c r="P8491" s="8"/>
    </row>
    <row r="8492" spans="16:16" x14ac:dyDescent="0.35">
      <c r="P8492" s="8"/>
    </row>
    <row r="8493" spans="16:16" x14ac:dyDescent="0.35">
      <c r="P8493" s="8"/>
    </row>
    <row r="8494" spans="16:16" x14ac:dyDescent="0.35">
      <c r="P8494" s="8"/>
    </row>
    <row r="8495" spans="16:16" x14ac:dyDescent="0.35">
      <c r="P8495" s="8"/>
    </row>
    <row r="8496" spans="16:16" x14ac:dyDescent="0.35">
      <c r="P8496" s="8"/>
    </row>
    <row r="8497" spans="16:16" x14ac:dyDescent="0.35">
      <c r="P8497" s="8"/>
    </row>
    <row r="8498" spans="16:16" x14ac:dyDescent="0.35">
      <c r="P8498" s="8"/>
    </row>
    <row r="8499" spans="16:16" x14ac:dyDescent="0.35">
      <c r="P8499" s="8"/>
    </row>
    <row r="8500" spans="16:16" x14ac:dyDescent="0.35">
      <c r="P8500" s="8"/>
    </row>
    <row r="8501" spans="16:16" x14ac:dyDescent="0.35">
      <c r="P8501" s="8"/>
    </row>
    <row r="8502" spans="16:16" x14ac:dyDescent="0.35">
      <c r="P8502" s="8"/>
    </row>
    <row r="8503" spans="16:16" x14ac:dyDescent="0.35">
      <c r="P8503" s="8"/>
    </row>
    <row r="8504" spans="16:16" x14ac:dyDescent="0.35">
      <c r="P8504" s="8"/>
    </row>
    <row r="8505" spans="16:16" x14ac:dyDescent="0.35">
      <c r="P8505" s="8"/>
    </row>
    <row r="8506" spans="16:16" x14ac:dyDescent="0.35">
      <c r="P8506" s="8"/>
    </row>
    <row r="8507" spans="16:16" x14ac:dyDescent="0.35">
      <c r="P8507" s="8"/>
    </row>
    <row r="8508" spans="16:16" x14ac:dyDescent="0.35">
      <c r="P8508" s="8"/>
    </row>
    <row r="8509" spans="16:16" x14ac:dyDescent="0.35">
      <c r="P8509" s="8"/>
    </row>
    <row r="8510" spans="16:16" x14ac:dyDescent="0.35">
      <c r="P8510" s="8"/>
    </row>
    <row r="8511" spans="16:16" x14ac:dyDescent="0.35">
      <c r="P8511" s="8"/>
    </row>
    <row r="8512" spans="16:16" x14ac:dyDescent="0.35">
      <c r="P8512" s="8"/>
    </row>
    <row r="8513" spans="16:16" x14ac:dyDescent="0.35">
      <c r="P8513" s="8"/>
    </row>
    <row r="8514" spans="16:16" x14ac:dyDescent="0.35">
      <c r="P8514" s="8"/>
    </row>
    <row r="8515" spans="16:16" x14ac:dyDescent="0.35">
      <c r="P8515" s="8"/>
    </row>
    <row r="8516" spans="16:16" x14ac:dyDescent="0.35">
      <c r="P8516" s="8"/>
    </row>
    <row r="8517" spans="16:16" x14ac:dyDescent="0.35">
      <c r="P8517" s="8"/>
    </row>
    <row r="8518" spans="16:16" x14ac:dyDescent="0.35">
      <c r="P8518" s="8"/>
    </row>
    <row r="8519" spans="16:16" x14ac:dyDescent="0.35">
      <c r="P8519" s="8"/>
    </row>
    <row r="8520" spans="16:16" x14ac:dyDescent="0.35">
      <c r="P8520" s="8"/>
    </row>
    <row r="8521" spans="16:16" x14ac:dyDescent="0.35">
      <c r="P8521" s="8"/>
    </row>
    <row r="8522" spans="16:16" x14ac:dyDescent="0.35">
      <c r="P8522" s="8"/>
    </row>
    <row r="8523" spans="16:16" x14ac:dyDescent="0.35">
      <c r="P8523" s="8"/>
    </row>
    <row r="8524" spans="16:16" x14ac:dyDescent="0.35">
      <c r="P8524" s="8"/>
    </row>
    <row r="8525" spans="16:16" x14ac:dyDescent="0.35">
      <c r="P8525" s="8"/>
    </row>
    <row r="8526" spans="16:16" x14ac:dyDescent="0.35">
      <c r="P8526" s="8"/>
    </row>
    <row r="8527" spans="16:16" x14ac:dyDescent="0.35">
      <c r="P8527" s="8"/>
    </row>
    <row r="8528" spans="16:16" x14ac:dyDescent="0.35">
      <c r="P8528" s="8"/>
    </row>
    <row r="8529" spans="16:16" x14ac:dyDescent="0.35">
      <c r="P8529" s="8"/>
    </row>
    <row r="8530" spans="16:16" x14ac:dyDescent="0.35">
      <c r="P8530" s="8"/>
    </row>
    <row r="8531" spans="16:16" x14ac:dyDescent="0.35">
      <c r="P8531" s="8"/>
    </row>
    <row r="8532" spans="16:16" x14ac:dyDescent="0.35">
      <c r="P8532" s="8"/>
    </row>
    <row r="8533" spans="16:16" x14ac:dyDescent="0.35">
      <c r="P8533" s="8"/>
    </row>
    <row r="8534" spans="16:16" x14ac:dyDescent="0.35">
      <c r="P8534" s="8"/>
    </row>
    <row r="8535" spans="16:16" x14ac:dyDescent="0.35">
      <c r="P8535" s="8"/>
    </row>
    <row r="8536" spans="16:16" x14ac:dyDescent="0.35">
      <c r="P8536" s="8"/>
    </row>
    <row r="8537" spans="16:16" x14ac:dyDescent="0.35">
      <c r="P8537" s="8"/>
    </row>
    <row r="8538" spans="16:16" x14ac:dyDescent="0.35">
      <c r="P8538" s="8"/>
    </row>
    <row r="8539" spans="16:16" x14ac:dyDescent="0.35">
      <c r="P8539" s="8"/>
    </row>
    <row r="8540" spans="16:16" x14ac:dyDescent="0.35">
      <c r="P8540" s="8"/>
    </row>
    <row r="8541" spans="16:16" x14ac:dyDescent="0.35">
      <c r="P8541" s="8"/>
    </row>
    <row r="8542" spans="16:16" x14ac:dyDescent="0.35">
      <c r="P8542" s="8"/>
    </row>
    <row r="8543" spans="16:16" x14ac:dyDescent="0.35">
      <c r="P8543" s="8"/>
    </row>
    <row r="8544" spans="16:16" x14ac:dyDescent="0.35">
      <c r="P8544" s="8"/>
    </row>
    <row r="8545" spans="16:16" x14ac:dyDescent="0.35">
      <c r="P8545" s="8"/>
    </row>
    <row r="8546" spans="16:16" x14ac:dyDescent="0.35">
      <c r="P8546" s="8"/>
    </row>
    <row r="8547" spans="16:16" x14ac:dyDescent="0.35">
      <c r="P8547" s="8"/>
    </row>
    <row r="8548" spans="16:16" x14ac:dyDescent="0.35">
      <c r="P8548" s="8"/>
    </row>
    <row r="8549" spans="16:16" x14ac:dyDescent="0.35">
      <c r="P8549" s="8"/>
    </row>
    <row r="8550" spans="16:16" x14ac:dyDescent="0.35">
      <c r="P8550" s="8"/>
    </row>
    <row r="8551" spans="16:16" x14ac:dyDescent="0.35">
      <c r="P8551" s="8"/>
    </row>
    <row r="8552" spans="16:16" x14ac:dyDescent="0.35">
      <c r="P8552" s="8"/>
    </row>
    <row r="8553" spans="16:16" x14ac:dyDescent="0.35">
      <c r="P8553" s="8"/>
    </row>
    <row r="8554" spans="16:16" x14ac:dyDescent="0.35">
      <c r="P8554" s="8"/>
    </row>
    <row r="8555" spans="16:16" x14ac:dyDescent="0.35">
      <c r="P8555" s="8"/>
    </row>
    <row r="8556" spans="16:16" x14ac:dyDescent="0.35">
      <c r="P8556" s="8"/>
    </row>
    <row r="8557" spans="16:16" x14ac:dyDescent="0.35">
      <c r="P8557" s="8"/>
    </row>
    <row r="8558" spans="16:16" x14ac:dyDescent="0.35">
      <c r="P8558" s="8"/>
    </row>
    <row r="8559" spans="16:16" x14ac:dyDescent="0.35">
      <c r="P8559" s="8"/>
    </row>
    <row r="8560" spans="16:16" x14ac:dyDescent="0.35">
      <c r="P8560" s="8"/>
    </row>
    <row r="8561" spans="16:16" x14ac:dyDescent="0.35">
      <c r="P8561" s="8"/>
    </row>
    <row r="8562" spans="16:16" x14ac:dyDescent="0.35">
      <c r="P8562" s="8"/>
    </row>
    <row r="8563" spans="16:16" x14ac:dyDescent="0.35">
      <c r="P8563" s="8"/>
    </row>
    <row r="8564" spans="16:16" x14ac:dyDescent="0.35">
      <c r="P8564" s="8"/>
    </row>
    <row r="8565" spans="16:16" x14ac:dyDescent="0.35">
      <c r="P8565" s="8"/>
    </row>
    <row r="8566" spans="16:16" x14ac:dyDescent="0.35">
      <c r="P8566" s="8"/>
    </row>
    <row r="8567" spans="16:16" x14ac:dyDescent="0.35">
      <c r="P8567" s="8"/>
    </row>
    <row r="8568" spans="16:16" x14ac:dyDescent="0.35">
      <c r="P8568" s="8"/>
    </row>
    <row r="8569" spans="16:16" x14ac:dyDescent="0.35">
      <c r="P8569" s="8"/>
    </row>
    <row r="8570" spans="16:16" x14ac:dyDescent="0.35">
      <c r="P8570" s="8"/>
    </row>
    <row r="8571" spans="16:16" x14ac:dyDescent="0.35">
      <c r="P8571" s="8"/>
    </row>
    <row r="8572" spans="16:16" x14ac:dyDescent="0.35">
      <c r="P8572" s="8"/>
    </row>
    <row r="8573" spans="16:16" x14ac:dyDescent="0.35">
      <c r="P8573" s="8"/>
    </row>
    <row r="8574" spans="16:16" x14ac:dyDescent="0.35">
      <c r="P8574" s="8"/>
    </row>
    <row r="8575" spans="16:16" x14ac:dyDescent="0.35">
      <c r="P8575" s="8"/>
    </row>
    <row r="8576" spans="16:16" x14ac:dyDescent="0.35">
      <c r="P8576" s="8"/>
    </row>
    <row r="8577" spans="16:16" x14ac:dyDescent="0.35">
      <c r="P8577" s="8"/>
    </row>
    <row r="8578" spans="16:16" x14ac:dyDescent="0.35">
      <c r="P8578" s="8"/>
    </row>
    <row r="8579" spans="16:16" x14ac:dyDescent="0.35">
      <c r="P8579" s="8"/>
    </row>
    <row r="8580" spans="16:16" x14ac:dyDescent="0.35">
      <c r="P8580" s="8"/>
    </row>
    <row r="8581" spans="16:16" x14ac:dyDescent="0.35">
      <c r="P8581" s="8"/>
    </row>
    <row r="8582" spans="16:16" x14ac:dyDescent="0.35">
      <c r="P8582" s="8"/>
    </row>
    <row r="8583" spans="16:16" x14ac:dyDescent="0.35">
      <c r="P8583" s="8"/>
    </row>
    <row r="8584" spans="16:16" x14ac:dyDescent="0.35">
      <c r="P8584" s="8"/>
    </row>
    <row r="8585" spans="16:16" x14ac:dyDescent="0.35">
      <c r="P8585" s="8"/>
    </row>
    <row r="8586" spans="16:16" x14ac:dyDescent="0.35">
      <c r="P8586" s="8"/>
    </row>
    <row r="8587" spans="16:16" x14ac:dyDescent="0.35">
      <c r="P8587" s="8"/>
    </row>
    <row r="8588" spans="16:16" x14ac:dyDescent="0.35">
      <c r="P8588" s="8"/>
    </row>
    <row r="8589" spans="16:16" x14ac:dyDescent="0.35">
      <c r="P8589" s="8"/>
    </row>
    <row r="8590" spans="16:16" x14ac:dyDescent="0.35">
      <c r="P8590" s="8"/>
    </row>
    <row r="8591" spans="16:16" x14ac:dyDescent="0.35">
      <c r="P8591" s="8"/>
    </row>
    <row r="8592" spans="16:16" x14ac:dyDescent="0.35">
      <c r="P8592" s="8"/>
    </row>
    <row r="8593" spans="16:16" x14ac:dyDescent="0.35">
      <c r="P8593" s="8"/>
    </row>
    <row r="8594" spans="16:16" x14ac:dyDescent="0.35">
      <c r="P8594" s="8"/>
    </row>
    <row r="8595" spans="16:16" x14ac:dyDescent="0.35">
      <c r="P8595" s="8"/>
    </row>
    <row r="8596" spans="16:16" x14ac:dyDescent="0.35">
      <c r="P8596" s="8"/>
    </row>
    <row r="8597" spans="16:16" x14ac:dyDescent="0.35">
      <c r="P8597" s="8"/>
    </row>
    <row r="8598" spans="16:16" x14ac:dyDescent="0.35">
      <c r="P8598" s="8"/>
    </row>
    <row r="8599" spans="16:16" x14ac:dyDescent="0.35">
      <c r="P8599" s="8"/>
    </row>
    <row r="8600" spans="16:16" x14ac:dyDescent="0.35">
      <c r="P8600" s="8"/>
    </row>
    <row r="8601" spans="16:16" x14ac:dyDescent="0.35">
      <c r="P8601" s="8"/>
    </row>
    <row r="8602" spans="16:16" x14ac:dyDescent="0.35">
      <c r="P8602" s="8"/>
    </row>
    <row r="8603" spans="16:16" x14ac:dyDescent="0.35">
      <c r="P8603" s="8"/>
    </row>
    <row r="8604" spans="16:16" x14ac:dyDescent="0.35">
      <c r="P8604" s="8"/>
    </row>
    <row r="8605" spans="16:16" x14ac:dyDescent="0.35">
      <c r="P8605" s="8"/>
    </row>
    <row r="8606" spans="16:16" x14ac:dyDescent="0.35">
      <c r="P8606" s="8"/>
    </row>
    <row r="8607" spans="16:16" x14ac:dyDescent="0.35">
      <c r="P8607" s="8"/>
    </row>
    <row r="8608" spans="16:16" x14ac:dyDescent="0.35">
      <c r="P8608" s="8"/>
    </row>
    <row r="8609" spans="16:16" x14ac:dyDescent="0.35">
      <c r="P8609" s="8"/>
    </row>
    <row r="8610" spans="16:16" x14ac:dyDescent="0.35">
      <c r="P8610" s="8"/>
    </row>
    <row r="8611" spans="16:16" x14ac:dyDescent="0.35">
      <c r="P8611" s="8"/>
    </row>
    <row r="8612" spans="16:16" x14ac:dyDescent="0.35">
      <c r="P8612" s="8"/>
    </row>
    <row r="8613" spans="16:16" x14ac:dyDescent="0.35">
      <c r="P8613" s="8"/>
    </row>
    <row r="8614" spans="16:16" x14ac:dyDescent="0.35">
      <c r="P8614" s="8"/>
    </row>
    <row r="8615" spans="16:16" x14ac:dyDescent="0.35">
      <c r="P8615" s="8"/>
    </row>
    <row r="8616" spans="16:16" x14ac:dyDescent="0.35">
      <c r="P8616" s="8"/>
    </row>
    <row r="8617" spans="16:16" x14ac:dyDescent="0.35">
      <c r="P8617" s="8"/>
    </row>
    <row r="8618" spans="16:16" x14ac:dyDescent="0.35">
      <c r="P8618" s="8"/>
    </row>
    <row r="8619" spans="16:16" x14ac:dyDescent="0.35">
      <c r="P8619" s="8"/>
    </row>
    <row r="8620" spans="16:16" x14ac:dyDescent="0.35">
      <c r="P8620" s="8"/>
    </row>
    <row r="8621" spans="16:16" x14ac:dyDescent="0.35">
      <c r="P8621" s="8"/>
    </row>
    <row r="8622" spans="16:16" x14ac:dyDescent="0.35">
      <c r="P8622" s="8"/>
    </row>
    <row r="8623" spans="16:16" x14ac:dyDescent="0.35">
      <c r="P8623" s="8"/>
    </row>
    <row r="8624" spans="16:16" x14ac:dyDescent="0.35">
      <c r="P8624" s="8"/>
    </row>
    <row r="8625" spans="16:16" x14ac:dyDescent="0.35">
      <c r="P8625" s="8"/>
    </row>
    <row r="8626" spans="16:16" x14ac:dyDescent="0.35">
      <c r="P8626" s="8"/>
    </row>
    <row r="8627" spans="16:16" x14ac:dyDescent="0.35">
      <c r="P8627" s="8"/>
    </row>
    <row r="8628" spans="16:16" x14ac:dyDescent="0.35">
      <c r="P8628" s="8"/>
    </row>
    <row r="8629" spans="16:16" x14ac:dyDescent="0.35">
      <c r="P8629" s="8"/>
    </row>
    <row r="8630" spans="16:16" x14ac:dyDescent="0.35">
      <c r="P8630" s="8"/>
    </row>
    <row r="8631" spans="16:16" x14ac:dyDescent="0.35">
      <c r="P8631" s="8"/>
    </row>
    <row r="8632" spans="16:16" x14ac:dyDescent="0.35">
      <c r="P8632" s="8"/>
    </row>
    <row r="8633" spans="16:16" x14ac:dyDescent="0.35">
      <c r="P8633" s="8"/>
    </row>
    <row r="8634" spans="16:16" x14ac:dyDescent="0.35">
      <c r="P8634" s="8"/>
    </row>
    <row r="8635" spans="16:16" x14ac:dyDescent="0.35">
      <c r="P8635" s="8"/>
    </row>
    <row r="8636" spans="16:16" x14ac:dyDescent="0.35">
      <c r="P8636" s="8"/>
    </row>
    <row r="8637" spans="16:16" x14ac:dyDescent="0.35">
      <c r="P8637" s="8"/>
    </row>
    <row r="8638" spans="16:16" x14ac:dyDescent="0.35">
      <c r="P8638" s="8"/>
    </row>
    <row r="8639" spans="16:16" x14ac:dyDescent="0.35">
      <c r="P8639" s="8"/>
    </row>
    <row r="8640" spans="16:16" x14ac:dyDescent="0.35">
      <c r="P8640" s="8"/>
    </row>
    <row r="8641" spans="16:16" x14ac:dyDescent="0.35">
      <c r="P8641" s="8"/>
    </row>
    <row r="8642" spans="16:16" x14ac:dyDescent="0.35">
      <c r="P8642" s="8"/>
    </row>
    <row r="8643" spans="16:16" x14ac:dyDescent="0.35">
      <c r="P8643" s="8"/>
    </row>
    <row r="8644" spans="16:16" x14ac:dyDescent="0.35">
      <c r="P8644" s="8"/>
    </row>
    <row r="8645" spans="16:16" x14ac:dyDescent="0.35">
      <c r="P8645" s="8"/>
    </row>
    <row r="8646" spans="16:16" x14ac:dyDescent="0.35">
      <c r="P8646" s="8"/>
    </row>
    <row r="8647" spans="16:16" x14ac:dyDescent="0.35">
      <c r="P8647" s="8"/>
    </row>
    <row r="8648" spans="16:16" x14ac:dyDescent="0.35">
      <c r="P8648" s="8"/>
    </row>
    <row r="8649" spans="16:16" x14ac:dyDescent="0.35">
      <c r="P8649" s="8"/>
    </row>
    <row r="8650" spans="16:16" x14ac:dyDescent="0.35">
      <c r="P8650" s="8"/>
    </row>
    <row r="8651" spans="16:16" x14ac:dyDescent="0.35">
      <c r="P8651" s="8"/>
    </row>
    <row r="8652" spans="16:16" x14ac:dyDescent="0.35">
      <c r="P8652" s="8"/>
    </row>
    <row r="8653" spans="16:16" x14ac:dyDescent="0.35">
      <c r="P8653" s="8"/>
    </row>
    <row r="8654" spans="16:16" x14ac:dyDescent="0.35">
      <c r="P8654" s="8"/>
    </row>
    <row r="8655" spans="16:16" x14ac:dyDescent="0.35">
      <c r="P8655" s="8"/>
    </row>
    <row r="8656" spans="16:16" x14ac:dyDescent="0.35">
      <c r="P8656" s="8"/>
    </row>
    <row r="8657" spans="16:16" x14ac:dyDescent="0.35">
      <c r="P8657" s="8"/>
    </row>
    <row r="8658" spans="16:16" x14ac:dyDescent="0.35">
      <c r="P8658" s="8"/>
    </row>
    <row r="8659" spans="16:16" x14ac:dyDescent="0.35">
      <c r="P8659" s="8"/>
    </row>
    <row r="8660" spans="16:16" x14ac:dyDescent="0.35">
      <c r="P8660" s="8"/>
    </row>
    <row r="8661" spans="16:16" x14ac:dyDescent="0.35">
      <c r="P8661" s="8"/>
    </row>
    <row r="8662" spans="16:16" x14ac:dyDescent="0.35">
      <c r="P8662" s="8"/>
    </row>
    <row r="8663" spans="16:16" x14ac:dyDescent="0.35">
      <c r="P8663" s="8"/>
    </row>
    <row r="8664" spans="16:16" x14ac:dyDescent="0.35">
      <c r="P8664" s="8"/>
    </row>
    <row r="8665" spans="16:16" x14ac:dyDescent="0.35">
      <c r="P8665" s="8"/>
    </row>
    <row r="8666" spans="16:16" x14ac:dyDescent="0.35">
      <c r="P8666" s="8"/>
    </row>
    <row r="8667" spans="16:16" x14ac:dyDescent="0.35">
      <c r="P8667" s="8"/>
    </row>
    <row r="8668" spans="16:16" x14ac:dyDescent="0.35">
      <c r="P8668" s="8"/>
    </row>
    <row r="8669" spans="16:16" x14ac:dyDescent="0.35">
      <c r="P8669" s="8"/>
    </row>
    <row r="8670" spans="16:16" x14ac:dyDescent="0.35">
      <c r="P8670" s="8"/>
    </row>
    <row r="8671" spans="16:16" x14ac:dyDescent="0.35">
      <c r="P8671" s="8"/>
    </row>
    <row r="8672" spans="16:16" x14ac:dyDescent="0.35">
      <c r="P8672" s="8"/>
    </row>
    <row r="8673" spans="16:16" x14ac:dyDescent="0.35">
      <c r="P8673" s="8"/>
    </row>
    <row r="8674" spans="16:16" x14ac:dyDescent="0.35">
      <c r="P8674" s="8"/>
    </row>
    <row r="8675" spans="16:16" x14ac:dyDescent="0.35">
      <c r="P8675" s="8"/>
    </row>
    <row r="8676" spans="16:16" x14ac:dyDescent="0.35">
      <c r="P8676" s="8"/>
    </row>
    <row r="8677" spans="16:16" x14ac:dyDescent="0.35">
      <c r="P8677" s="8"/>
    </row>
    <row r="8678" spans="16:16" x14ac:dyDescent="0.35">
      <c r="P8678" s="8"/>
    </row>
    <row r="8679" spans="16:16" x14ac:dyDescent="0.35">
      <c r="P8679" s="8"/>
    </row>
    <row r="8680" spans="16:16" x14ac:dyDescent="0.35">
      <c r="P8680" s="8"/>
    </row>
    <row r="8681" spans="16:16" x14ac:dyDescent="0.35">
      <c r="P8681" s="8"/>
    </row>
    <row r="8682" spans="16:16" x14ac:dyDescent="0.35">
      <c r="P8682" s="8"/>
    </row>
    <row r="8683" spans="16:16" x14ac:dyDescent="0.35">
      <c r="P8683" s="8"/>
    </row>
    <row r="8684" spans="16:16" x14ac:dyDescent="0.35">
      <c r="P8684" s="8"/>
    </row>
    <row r="8685" spans="16:16" x14ac:dyDescent="0.35">
      <c r="P8685" s="8"/>
    </row>
    <row r="8686" spans="16:16" x14ac:dyDescent="0.35">
      <c r="P8686" s="8"/>
    </row>
    <row r="8687" spans="16:16" x14ac:dyDescent="0.35">
      <c r="P8687" s="8"/>
    </row>
    <row r="8688" spans="16:16" x14ac:dyDescent="0.35">
      <c r="P8688" s="8"/>
    </row>
    <row r="8689" spans="16:16" x14ac:dyDescent="0.35">
      <c r="P8689" s="8"/>
    </row>
    <row r="8690" spans="16:16" x14ac:dyDescent="0.35">
      <c r="P8690" s="8"/>
    </row>
    <row r="8691" spans="16:16" x14ac:dyDescent="0.35">
      <c r="P8691" s="8"/>
    </row>
    <row r="8692" spans="16:16" x14ac:dyDescent="0.35">
      <c r="P8692" s="8"/>
    </row>
    <row r="8693" spans="16:16" x14ac:dyDescent="0.35">
      <c r="P8693" s="8"/>
    </row>
    <row r="8694" spans="16:16" x14ac:dyDescent="0.35">
      <c r="P8694" s="8"/>
    </row>
    <row r="8695" spans="16:16" x14ac:dyDescent="0.35">
      <c r="P8695" s="8"/>
    </row>
    <row r="8696" spans="16:16" x14ac:dyDescent="0.35">
      <c r="P8696" s="8"/>
    </row>
    <row r="8697" spans="16:16" x14ac:dyDescent="0.35">
      <c r="P8697" s="8"/>
    </row>
    <row r="8698" spans="16:16" x14ac:dyDescent="0.35">
      <c r="P8698" s="8"/>
    </row>
    <row r="8699" spans="16:16" x14ac:dyDescent="0.35">
      <c r="P8699" s="8"/>
    </row>
    <row r="8700" spans="16:16" x14ac:dyDescent="0.35">
      <c r="P8700" s="8"/>
    </row>
    <row r="8701" spans="16:16" x14ac:dyDescent="0.35">
      <c r="P8701" s="8"/>
    </row>
    <row r="8702" spans="16:16" x14ac:dyDescent="0.35">
      <c r="P8702" s="8"/>
    </row>
    <row r="8703" spans="16:16" x14ac:dyDescent="0.35">
      <c r="P8703" s="8"/>
    </row>
    <row r="8704" spans="16:16" x14ac:dyDescent="0.35">
      <c r="P8704" s="8"/>
    </row>
    <row r="8705" spans="16:16" x14ac:dyDescent="0.35">
      <c r="P8705" s="8"/>
    </row>
    <row r="8706" spans="16:16" x14ac:dyDescent="0.35">
      <c r="P8706" s="8"/>
    </row>
    <row r="8707" spans="16:16" x14ac:dyDescent="0.35">
      <c r="P8707" s="8"/>
    </row>
    <row r="8708" spans="16:16" x14ac:dyDescent="0.35">
      <c r="P8708" s="8"/>
    </row>
    <row r="8709" spans="16:16" x14ac:dyDescent="0.35">
      <c r="P8709" s="8"/>
    </row>
    <row r="8710" spans="16:16" x14ac:dyDescent="0.35">
      <c r="P8710" s="8"/>
    </row>
    <row r="8711" spans="16:16" x14ac:dyDescent="0.35">
      <c r="P8711" s="8"/>
    </row>
    <row r="8712" spans="16:16" x14ac:dyDescent="0.35">
      <c r="P8712" s="8"/>
    </row>
    <row r="8713" spans="16:16" x14ac:dyDescent="0.35">
      <c r="P8713" s="8"/>
    </row>
    <row r="8714" spans="16:16" x14ac:dyDescent="0.35">
      <c r="P8714" s="8"/>
    </row>
    <row r="8715" spans="16:16" x14ac:dyDescent="0.35">
      <c r="P8715" s="8"/>
    </row>
    <row r="8716" spans="16:16" x14ac:dyDescent="0.35">
      <c r="P8716" s="8"/>
    </row>
    <row r="8717" spans="16:16" x14ac:dyDescent="0.35">
      <c r="P8717" s="8"/>
    </row>
    <row r="8718" spans="16:16" x14ac:dyDescent="0.35">
      <c r="P8718" s="8"/>
    </row>
    <row r="8719" spans="16:16" x14ac:dyDescent="0.35">
      <c r="P8719" s="8"/>
    </row>
    <row r="8720" spans="16:16" x14ac:dyDescent="0.35">
      <c r="P8720" s="8"/>
    </row>
    <row r="8721" spans="16:16" x14ac:dyDescent="0.35">
      <c r="P8721" s="8"/>
    </row>
    <row r="8722" spans="16:16" x14ac:dyDescent="0.35">
      <c r="P8722" s="8"/>
    </row>
    <row r="8723" spans="16:16" x14ac:dyDescent="0.35">
      <c r="P8723" s="8"/>
    </row>
    <row r="8724" spans="16:16" x14ac:dyDescent="0.35">
      <c r="P8724" s="8"/>
    </row>
    <row r="8725" spans="16:16" x14ac:dyDescent="0.35">
      <c r="P8725" s="8"/>
    </row>
    <row r="8726" spans="16:16" x14ac:dyDescent="0.35">
      <c r="P8726" s="8"/>
    </row>
    <row r="8727" spans="16:16" x14ac:dyDescent="0.35">
      <c r="P8727" s="8"/>
    </row>
    <row r="8728" spans="16:16" x14ac:dyDescent="0.35">
      <c r="P8728" s="8"/>
    </row>
    <row r="8729" spans="16:16" x14ac:dyDescent="0.35">
      <c r="P8729" s="8"/>
    </row>
    <row r="8730" spans="16:16" x14ac:dyDescent="0.35">
      <c r="P8730" s="8"/>
    </row>
    <row r="8731" spans="16:16" x14ac:dyDescent="0.35">
      <c r="P8731" s="8"/>
    </row>
    <row r="8732" spans="16:16" x14ac:dyDescent="0.35">
      <c r="P8732" s="8"/>
    </row>
    <row r="8733" spans="16:16" x14ac:dyDescent="0.35">
      <c r="P8733" s="8"/>
    </row>
    <row r="8734" spans="16:16" x14ac:dyDescent="0.35">
      <c r="P8734" s="8"/>
    </row>
    <row r="8735" spans="16:16" x14ac:dyDescent="0.35">
      <c r="P8735" s="8"/>
    </row>
    <row r="8736" spans="16:16" x14ac:dyDescent="0.35">
      <c r="P8736" s="8"/>
    </row>
    <row r="8737" spans="16:16" x14ac:dyDescent="0.35">
      <c r="P8737" s="8"/>
    </row>
    <row r="8738" spans="16:16" x14ac:dyDescent="0.35">
      <c r="P8738" s="8"/>
    </row>
    <row r="8739" spans="16:16" x14ac:dyDescent="0.35">
      <c r="P8739" s="8"/>
    </row>
    <row r="8740" spans="16:16" x14ac:dyDescent="0.35">
      <c r="P8740" s="8"/>
    </row>
    <row r="8741" spans="16:16" x14ac:dyDescent="0.35">
      <c r="P8741" s="8"/>
    </row>
    <row r="8742" spans="16:16" x14ac:dyDescent="0.35">
      <c r="P8742" s="8"/>
    </row>
    <row r="8743" spans="16:16" x14ac:dyDescent="0.35">
      <c r="P8743" s="8"/>
    </row>
    <row r="8744" spans="16:16" x14ac:dyDescent="0.35">
      <c r="P8744" s="8"/>
    </row>
    <row r="8745" spans="16:16" x14ac:dyDescent="0.35">
      <c r="P8745" s="8"/>
    </row>
    <row r="8746" spans="16:16" x14ac:dyDescent="0.35">
      <c r="P8746" s="8"/>
    </row>
    <row r="8747" spans="16:16" x14ac:dyDescent="0.35">
      <c r="P8747" s="8"/>
    </row>
    <row r="8748" spans="16:16" x14ac:dyDescent="0.35">
      <c r="P8748" s="8"/>
    </row>
    <row r="8749" spans="16:16" x14ac:dyDescent="0.35">
      <c r="P8749" s="8"/>
    </row>
    <row r="8750" spans="16:16" x14ac:dyDescent="0.35">
      <c r="P8750" s="8"/>
    </row>
    <row r="8751" spans="16:16" x14ac:dyDescent="0.35">
      <c r="P8751" s="8"/>
    </row>
    <row r="8752" spans="16:16" x14ac:dyDescent="0.35">
      <c r="P8752" s="8"/>
    </row>
    <row r="8753" spans="16:16" x14ac:dyDescent="0.35">
      <c r="P8753" s="8"/>
    </row>
    <row r="8754" spans="16:16" x14ac:dyDescent="0.35">
      <c r="P8754" s="8"/>
    </row>
    <row r="8755" spans="16:16" x14ac:dyDescent="0.35">
      <c r="P8755" s="8"/>
    </row>
    <row r="8756" spans="16:16" x14ac:dyDescent="0.35">
      <c r="P8756" s="8"/>
    </row>
    <row r="8757" spans="16:16" x14ac:dyDescent="0.35">
      <c r="P8757" s="8"/>
    </row>
    <row r="8758" spans="16:16" x14ac:dyDescent="0.35">
      <c r="P8758" s="8"/>
    </row>
    <row r="8759" spans="16:16" x14ac:dyDescent="0.35">
      <c r="P8759" s="8"/>
    </row>
    <row r="8760" spans="16:16" x14ac:dyDescent="0.35">
      <c r="P8760" s="8"/>
    </row>
    <row r="8761" spans="16:16" x14ac:dyDescent="0.35">
      <c r="P8761" s="8"/>
    </row>
    <row r="8762" spans="16:16" x14ac:dyDescent="0.35">
      <c r="P8762" s="8"/>
    </row>
    <row r="8763" spans="16:16" x14ac:dyDescent="0.35">
      <c r="P8763" s="8"/>
    </row>
    <row r="8764" spans="16:16" x14ac:dyDescent="0.35">
      <c r="P8764" s="8"/>
    </row>
    <row r="8765" spans="16:16" x14ac:dyDescent="0.35">
      <c r="P8765" s="8"/>
    </row>
    <row r="8766" spans="16:16" x14ac:dyDescent="0.35">
      <c r="P8766" s="8"/>
    </row>
    <row r="8767" spans="16:16" x14ac:dyDescent="0.35">
      <c r="P8767" s="8"/>
    </row>
    <row r="8768" spans="16:16" x14ac:dyDescent="0.35">
      <c r="P8768" s="8"/>
    </row>
    <row r="8769" spans="16:16" x14ac:dyDescent="0.35">
      <c r="P8769" s="8"/>
    </row>
    <row r="8770" spans="16:16" x14ac:dyDescent="0.35">
      <c r="P8770" s="8"/>
    </row>
    <row r="8771" spans="16:16" x14ac:dyDescent="0.35">
      <c r="P8771" s="8"/>
    </row>
    <row r="8772" spans="16:16" x14ac:dyDescent="0.35">
      <c r="P8772" s="8"/>
    </row>
    <row r="8773" spans="16:16" x14ac:dyDescent="0.35">
      <c r="P8773" s="8"/>
    </row>
    <row r="8774" spans="16:16" x14ac:dyDescent="0.35">
      <c r="P8774" s="8"/>
    </row>
    <row r="8775" spans="16:16" x14ac:dyDescent="0.35">
      <c r="P8775" s="8"/>
    </row>
    <row r="8776" spans="16:16" x14ac:dyDescent="0.35">
      <c r="P8776" s="8"/>
    </row>
    <row r="8777" spans="16:16" x14ac:dyDescent="0.35">
      <c r="P8777" s="8"/>
    </row>
    <row r="8778" spans="16:16" x14ac:dyDescent="0.35">
      <c r="P8778" s="8"/>
    </row>
    <row r="8779" spans="16:16" x14ac:dyDescent="0.35">
      <c r="P8779" s="8"/>
    </row>
    <row r="8780" spans="16:16" x14ac:dyDescent="0.35">
      <c r="P8780" s="8"/>
    </row>
    <row r="8781" spans="16:16" x14ac:dyDescent="0.35">
      <c r="P8781" s="8"/>
    </row>
    <row r="8782" spans="16:16" x14ac:dyDescent="0.35">
      <c r="P8782" s="8"/>
    </row>
    <row r="8783" spans="16:16" x14ac:dyDescent="0.35">
      <c r="P8783" s="8"/>
    </row>
    <row r="8784" spans="16:16" x14ac:dyDescent="0.35">
      <c r="P8784" s="8"/>
    </row>
    <row r="8785" spans="16:16" x14ac:dyDescent="0.35">
      <c r="P8785" s="8"/>
    </row>
    <row r="8786" spans="16:16" x14ac:dyDescent="0.35">
      <c r="P8786" s="8"/>
    </row>
    <row r="8787" spans="16:16" x14ac:dyDescent="0.35">
      <c r="P8787" s="8"/>
    </row>
    <row r="8788" spans="16:16" x14ac:dyDescent="0.35">
      <c r="P8788" s="8"/>
    </row>
    <row r="8789" spans="16:16" x14ac:dyDescent="0.35">
      <c r="P8789" s="8"/>
    </row>
    <row r="8790" spans="16:16" x14ac:dyDescent="0.35">
      <c r="P8790" s="8"/>
    </row>
    <row r="8791" spans="16:16" x14ac:dyDescent="0.35">
      <c r="P8791" s="8"/>
    </row>
    <row r="8792" spans="16:16" x14ac:dyDescent="0.35">
      <c r="P8792" s="8"/>
    </row>
    <row r="8793" spans="16:16" x14ac:dyDescent="0.35">
      <c r="P8793" s="8"/>
    </row>
    <row r="8794" spans="16:16" x14ac:dyDescent="0.35">
      <c r="P8794" s="8"/>
    </row>
    <row r="8795" spans="16:16" x14ac:dyDescent="0.35">
      <c r="P8795" s="8"/>
    </row>
    <row r="8796" spans="16:16" x14ac:dyDescent="0.35">
      <c r="P8796" s="8"/>
    </row>
    <row r="8797" spans="16:16" x14ac:dyDescent="0.35">
      <c r="P8797" s="8"/>
    </row>
    <row r="8798" spans="16:16" x14ac:dyDescent="0.35">
      <c r="P8798" s="8"/>
    </row>
    <row r="8799" spans="16:16" x14ac:dyDescent="0.35">
      <c r="P8799" s="8"/>
    </row>
    <row r="8800" spans="16:16" x14ac:dyDescent="0.35">
      <c r="P8800" s="8"/>
    </row>
    <row r="8801" spans="16:16" x14ac:dyDescent="0.35">
      <c r="P8801" s="8"/>
    </row>
    <row r="8802" spans="16:16" x14ac:dyDescent="0.35">
      <c r="P8802" s="8"/>
    </row>
    <row r="8803" spans="16:16" x14ac:dyDescent="0.35">
      <c r="P8803" s="8"/>
    </row>
    <row r="8804" spans="16:16" x14ac:dyDescent="0.35">
      <c r="P8804" s="8"/>
    </row>
    <row r="8805" spans="16:16" x14ac:dyDescent="0.35">
      <c r="P8805" s="8"/>
    </row>
    <row r="8806" spans="16:16" x14ac:dyDescent="0.35">
      <c r="P8806" s="8"/>
    </row>
    <row r="8807" spans="16:16" x14ac:dyDescent="0.35">
      <c r="P8807" s="8"/>
    </row>
    <row r="8808" spans="16:16" x14ac:dyDescent="0.35">
      <c r="P8808" s="8"/>
    </row>
    <row r="8809" spans="16:16" x14ac:dyDescent="0.35">
      <c r="P8809" s="8"/>
    </row>
    <row r="8810" spans="16:16" x14ac:dyDescent="0.35">
      <c r="P8810" s="8"/>
    </row>
    <row r="8811" spans="16:16" x14ac:dyDescent="0.35">
      <c r="P8811" s="8"/>
    </row>
    <row r="8812" spans="16:16" x14ac:dyDescent="0.35">
      <c r="P8812" s="8"/>
    </row>
    <row r="8813" spans="16:16" x14ac:dyDescent="0.35">
      <c r="P8813" s="8"/>
    </row>
    <row r="8814" spans="16:16" x14ac:dyDescent="0.35">
      <c r="P8814" s="8"/>
    </row>
    <row r="8815" spans="16:16" x14ac:dyDescent="0.35">
      <c r="P8815" s="8"/>
    </row>
    <row r="8816" spans="16:16" x14ac:dyDescent="0.35">
      <c r="P8816" s="8"/>
    </row>
    <row r="8817" spans="16:16" x14ac:dyDescent="0.35">
      <c r="P8817" s="8"/>
    </row>
    <row r="8818" spans="16:16" x14ac:dyDescent="0.35">
      <c r="P8818" s="8"/>
    </row>
    <row r="8819" spans="16:16" x14ac:dyDescent="0.35">
      <c r="P8819" s="8"/>
    </row>
    <row r="8820" spans="16:16" x14ac:dyDescent="0.35">
      <c r="P8820" s="8"/>
    </row>
    <row r="8821" spans="16:16" x14ac:dyDescent="0.35">
      <c r="P8821" s="8"/>
    </row>
    <row r="8822" spans="16:16" x14ac:dyDescent="0.35">
      <c r="P8822" s="8"/>
    </row>
    <row r="8823" spans="16:16" x14ac:dyDescent="0.35">
      <c r="P8823" s="8"/>
    </row>
    <row r="8824" spans="16:16" x14ac:dyDescent="0.35">
      <c r="P8824" s="8"/>
    </row>
    <row r="8825" spans="16:16" x14ac:dyDescent="0.35">
      <c r="P8825" s="8"/>
    </row>
    <row r="8826" spans="16:16" x14ac:dyDescent="0.35">
      <c r="P8826" s="8"/>
    </row>
    <row r="8827" spans="16:16" x14ac:dyDescent="0.35">
      <c r="P8827" s="8"/>
    </row>
    <row r="8828" spans="16:16" x14ac:dyDescent="0.35">
      <c r="P8828" s="8"/>
    </row>
    <row r="8829" spans="16:16" x14ac:dyDescent="0.35">
      <c r="P8829" s="8"/>
    </row>
    <row r="8830" spans="16:16" x14ac:dyDescent="0.35">
      <c r="P8830" s="8"/>
    </row>
    <row r="8831" spans="16:16" x14ac:dyDescent="0.35">
      <c r="P8831" s="8"/>
    </row>
    <row r="8832" spans="16:16" x14ac:dyDescent="0.35">
      <c r="P8832" s="8"/>
    </row>
    <row r="8833" spans="16:16" x14ac:dyDescent="0.35">
      <c r="P8833" s="8"/>
    </row>
    <row r="8834" spans="16:16" x14ac:dyDescent="0.35">
      <c r="P8834" s="8"/>
    </row>
    <row r="8835" spans="16:16" x14ac:dyDescent="0.35">
      <c r="P8835" s="8"/>
    </row>
    <row r="8836" spans="16:16" x14ac:dyDescent="0.35">
      <c r="P8836" s="8"/>
    </row>
    <row r="8837" spans="16:16" x14ac:dyDescent="0.35">
      <c r="P8837" s="8"/>
    </row>
    <row r="8838" spans="16:16" x14ac:dyDescent="0.35">
      <c r="P8838" s="8"/>
    </row>
    <row r="8839" spans="16:16" x14ac:dyDescent="0.35">
      <c r="P8839" s="8"/>
    </row>
    <row r="8840" spans="16:16" x14ac:dyDescent="0.35">
      <c r="P8840" s="8"/>
    </row>
    <row r="8841" spans="16:16" x14ac:dyDescent="0.35">
      <c r="P8841" s="8"/>
    </row>
    <row r="8842" spans="16:16" x14ac:dyDescent="0.35">
      <c r="P8842" s="8"/>
    </row>
    <row r="8843" spans="16:16" x14ac:dyDescent="0.35">
      <c r="P8843" s="8"/>
    </row>
    <row r="8844" spans="16:16" x14ac:dyDescent="0.35">
      <c r="P8844" s="8"/>
    </row>
    <row r="8845" spans="16:16" x14ac:dyDescent="0.35">
      <c r="P8845" s="8"/>
    </row>
    <row r="8846" spans="16:16" x14ac:dyDescent="0.35">
      <c r="P8846" s="8"/>
    </row>
    <row r="8847" spans="16:16" x14ac:dyDescent="0.35">
      <c r="P8847" s="8"/>
    </row>
    <row r="8848" spans="16:16" x14ac:dyDescent="0.35">
      <c r="P8848" s="8"/>
    </row>
    <row r="8849" spans="16:16" x14ac:dyDescent="0.35">
      <c r="P8849" s="8"/>
    </row>
    <row r="8850" spans="16:16" x14ac:dyDescent="0.35">
      <c r="P8850" s="8"/>
    </row>
    <row r="8851" spans="16:16" x14ac:dyDescent="0.35">
      <c r="P8851" s="8"/>
    </row>
    <row r="8852" spans="16:16" x14ac:dyDescent="0.35">
      <c r="P8852" s="8"/>
    </row>
    <row r="8853" spans="16:16" x14ac:dyDescent="0.35">
      <c r="P8853" s="8"/>
    </row>
    <row r="8854" spans="16:16" x14ac:dyDescent="0.35">
      <c r="P8854" s="8"/>
    </row>
    <row r="8855" spans="16:16" x14ac:dyDescent="0.35">
      <c r="P8855" s="8"/>
    </row>
    <row r="8856" spans="16:16" x14ac:dyDescent="0.35">
      <c r="P8856" s="8"/>
    </row>
    <row r="8857" spans="16:16" x14ac:dyDescent="0.35">
      <c r="P8857" s="8"/>
    </row>
    <row r="8858" spans="16:16" x14ac:dyDescent="0.35">
      <c r="P8858" s="8"/>
    </row>
    <row r="8859" spans="16:16" x14ac:dyDescent="0.35">
      <c r="P8859" s="8"/>
    </row>
    <row r="8860" spans="16:16" x14ac:dyDescent="0.35">
      <c r="P8860" s="8"/>
    </row>
    <row r="8861" spans="16:16" x14ac:dyDescent="0.35">
      <c r="P8861" s="8"/>
    </row>
    <row r="8862" spans="16:16" x14ac:dyDescent="0.35">
      <c r="P8862" s="8"/>
    </row>
    <row r="8863" spans="16:16" x14ac:dyDescent="0.35">
      <c r="P8863" s="8"/>
    </row>
    <row r="8864" spans="16:16" x14ac:dyDescent="0.35">
      <c r="P8864" s="8"/>
    </row>
    <row r="8865" spans="16:16" x14ac:dyDescent="0.35">
      <c r="P8865" s="8"/>
    </row>
    <row r="8866" spans="16:16" x14ac:dyDescent="0.35">
      <c r="P8866" s="8"/>
    </row>
    <row r="8867" spans="16:16" x14ac:dyDescent="0.35">
      <c r="P8867" s="8"/>
    </row>
    <row r="8868" spans="16:16" x14ac:dyDescent="0.35">
      <c r="P8868" s="8"/>
    </row>
    <row r="8869" spans="16:16" x14ac:dyDescent="0.35">
      <c r="P8869" s="8"/>
    </row>
    <row r="8870" spans="16:16" x14ac:dyDescent="0.35">
      <c r="P8870" s="8"/>
    </row>
    <row r="8871" spans="16:16" x14ac:dyDescent="0.35">
      <c r="P8871" s="8"/>
    </row>
    <row r="8872" spans="16:16" x14ac:dyDescent="0.35">
      <c r="P8872" s="8"/>
    </row>
    <row r="8873" spans="16:16" x14ac:dyDescent="0.35">
      <c r="P8873" s="8"/>
    </row>
    <row r="8874" spans="16:16" x14ac:dyDescent="0.35">
      <c r="P8874" s="8"/>
    </row>
    <row r="8875" spans="16:16" x14ac:dyDescent="0.35">
      <c r="P8875" s="8"/>
    </row>
    <row r="8876" spans="16:16" x14ac:dyDescent="0.35">
      <c r="P8876" s="8"/>
    </row>
    <row r="8877" spans="16:16" x14ac:dyDescent="0.35">
      <c r="P8877" s="8"/>
    </row>
    <row r="8878" spans="16:16" x14ac:dyDescent="0.35">
      <c r="P8878" s="8"/>
    </row>
    <row r="8879" spans="16:16" x14ac:dyDescent="0.35">
      <c r="P8879" s="8"/>
    </row>
    <row r="8880" spans="16:16" x14ac:dyDescent="0.35">
      <c r="P8880" s="8"/>
    </row>
    <row r="8881" spans="16:16" x14ac:dyDescent="0.35">
      <c r="P8881" s="8"/>
    </row>
    <row r="8882" spans="16:16" x14ac:dyDescent="0.35">
      <c r="P8882" s="8"/>
    </row>
    <row r="8883" spans="16:16" x14ac:dyDescent="0.35">
      <c r="P8883" s="8"/>
    </row>
    <row r="8884" spans="16:16" x14ac:dyDescent="0.35">
      <c r="P8884" s="8"/>
    </row>
    <row r="8885" spans="16:16" x14ac:dyDescent="0.35">
      <c r="P8885" s="8"/>
    </row>
    <row r="8886" spans="16:16" x14ac:dyDescent="0.35">
      <c r="P8886" s="8"/>
    </row>
    <row r="8887" spans="16:16" x14ac:dyDescent="0.35">
      <c r="P8887" s="8"/>
    </row>
    <row r="8888" spans="16:16" x14ac:dyDescent="0.35">
      <c r="P8888" s="8"/>
    </row>
    <row r="8889" spans="16:16" x14ac:dyDescent="0.35">
      <c r="P8889" s="8"/>
    </row>
    <row r="8890" spans="16:16" x14ac:dyDescent="0.35">
      <c r="P8890" s="8"/>
    </row>
    <row r="8891" spans="16:16" x14ac:dyDescent="0.35">
      <c r="P8891" s="8"/>
    </row>
    <row r="8892" spans="16:16" x14ac:dyDescent="0.35">
      <c r="P8892" s="8"/>
    </row>
    <row r="8893" spans="16:16" x14ac:dyDescent="0.35">
      <c r="P8893" s="8"/>
    </row>
    <row r="8894" spans="16:16" x14ac:dyDescent="0.35">
      <c r="P8894" s="8"/>
    </row>
    <row r="8895" spans="16:16" x14ac:dyDescent="0.35">
      <c r="P8895" s="8"/>
    </row>
    <row r="8896" spans="16:16" x14ac:dyDescent="0.35">
      <c r="P8896" s="8"/>
    </row>
    <row r="8897" spans="16:16" x14ac:dyDescent="0.35">
      <c r="P8897" s="8"/>
    </row>
    <row r="8898" spans="16:16" x14ac:dyDescent="0.35">
      <c r="P8898" s="8"/>
    </row>
    <row r="8899" spans="16:16" x14ac:dyDescent="0.35">
      <c r="P8899" s="8"/>
    </row>
    <row r="8900" spans="16:16" x14ac:dyDescent="0.35">
      <c r="P8900" s="8"/>
    </row>
    <row r="8901" spans="16:16" x14ac:dyDescent="0.35">
      <c r="P8901" s="8"/>
    </row>
    <row r="8902" spans="16:16" x14ac:dyDescent="0.35">
      <c r="P8902" s="8"/>
    </row>
    <row r="8903" spans="16:16" x14ac:dyDescent="0.35">
      <c r="P8903" s="8"/>
    </row>
    <row r="8904" spans="16:16" x14ac:dyDescent="0.35">
      <c r="P8904" s="8"/>
    </row>
    <row r="8905" spans="16:16" x14ac:dyDescent="0.35">
      <c r="P8905" s="8"/>
    </row>
    <row r="8906" spans="16:16" x14ac:dyDescent="0.35">
      <c r="P8906" s="8"/>
    </row>
    <row r="8907" spans="16:16" x14ac:dyDescent="0.35">
      <c r="P8907" s="8"/>
    </row>
    <row r="8908" spans="16:16" x14ac:dyDescent="0.35">
      <c r="P8908" s="8"/>
    </row>
    <row r="8909" spans="16:16" x14ac:dyDescent="0.35">
      <c r="P8909" s="8"/>
    </row>
    <row r="8910" spans="16:16" x14ac:dyDescent="0.35">
      <c r="P8910" s="8"/>
    </row>
    <row r="8911" spans="16:16" x14ac:dyDescent="0.35">
      <c r="P8911" s="8"/>
    </row>
    <row r="8912" spans="16:16" x14ac:dyDescent="0.35">
      <c r="P8912" s="8"/>
    </row>
    <row r="8913" spans="16:16" x14ac:dyDescent="0.35">
      <c r="P8913" s="8"/>
    </row>
    <row r="8914" spans="16:16" x14ac:dyDescent="0.35">
      <c r="P8914" s="8"/>
    </row>
    <row r="8915" spans="16:16" x14ac:dyDescent="0.35">
      <c r="P8915" s="8"/>
    </row>
    <row r="8916" spans="16:16" x14ac:dyDescent="0.35">
      <c r="P8916" s="8"/>
    </row>
    <row r="8917" spans="16:16" x14ac:dyDescent="0.35">
      <c r="P8917" s="8"/>
    </row>
    <row r="8918" spans="16:16" x14ac:dyDescent="0.35">
      <c r="P8918" s="8"/>
    </row>
    <row r="8919" spans="16:16" x14ac:dyDescent="0.35">
      <c r="P8919" s="8"/>
    </row>
    <row r="8920" spans="16:16" x14ac:dyDescent="0.35">
      <c r="P8920" s="8"/>
    </row>
    <row r="8921" spans="16:16" x14ac:dyDescent="0.35">
      <c r="P8921" s="8"/>
    </row>
    <row r="8922" spans="16:16" x14ac:dyDescent="0.35">
      <c r="P8922" s="8"/>
    </row>
    <row r="8923" spans="16:16" x14ac:dyDescent="0.35">
      <c r="P8923" s="8"/>
    </row>
    <row r="8924" spans="16:16" x14ac:dyDescent="0.35">
      <c r="P8924" s="8"/>
    </row>
    <row r="8925" spans="16:16" x14ac:dyDescent="0.35">
      <c r="P8925" s="8"/>
    </row>
    <row r="8926" spans="16:16" x14ac:dyDescent="0.35">
      <c r="P8926" s="8"/>
    </row>
    <row r="8927" spans="16:16" x14ac:dyDescent="0.35">
      <c r="P8927" s="8"/>
    </row>
    <row r="8928" spans="16:16" x14ac:dyDescent="0.35">
      <c r="P8928" s="8"/>
    </row>
    <row r="8929" spans="16:16" x14ac:dyDescent="0.35">
      <c r="P8929" s="8"/>
    </row>
    <row r="8930" spans="16:16" x14ac:dyDescent="0.35">
      <c r="P8930" s="8"/>
    </row>
    <row r="8931" spans="16:16" x14ac:dyDescent="0.35">
      <c r="P8931" s="8"/>
    </row>
    <row r="8932" spans="16:16" x14ac:dyDescent="0.35">
      <c r="P8932" s="8"/>
    </row>
    <row r="8933" spans="16:16" x14ac:dyDescent="0.35">
      <c r="P8933" s="8"/>
    </row>
    <row r="8934" spans="16:16" x14ac:dyDescent="0.35">
      <c r="P8934" s="8"/>
    </row>
    <row r="8935" spans="16:16" x14ac:dyDescent="0.35">
      <c r="P8935" s="8"/>
    </row>
    <row r="8936" spans="16:16" x14ac:dyDescent="0.35">
      <c r="P8936" s="8"/>
    </row>
    <row r="8937" spans="16:16" x14ac:dyDescent="0.35">
      <c r="P8937" s="8"/>
    </row>
    <row r="8938" spans="16:16" x14ac:dyDescent="0.35">
      <c r="P8938" s="8"/>
    </row>
    <row r="8939" spans="16:16" x14ac:dyDescent="0.35">
      <c r="P8939" s="8"/>
    </row>
    <row r="8940" spans="16:16" x14ac:dyDescent="0.35">
      <c r="P8940" s="8"/>
    </row>
    <row r="8941" spans="16:16" x14ac:dyDescent="0.35">
      <c r="P8941" s="8"/>
    </row>
    <row r="8942" spans="16:16" x14ac:dyDescent="0.35">
      <c r="P8942" s="8"/>
    </row>
    <row r="8943" spans="16:16" x14ac:dyDescent="0.35">
      <c r="P8943" s="8"/>
    </row>
    <row r="8944" spans="16:16" x14ac:dyDescent="0.35">
      <c r="P8944" s="8"/>
    </row>
    <row r="8945" spans="16:16" x14ac:dyDescent="0.35">
      <c r="P8945" s="8"/>
    </row>
    <row r="8946" spans="16:16" x14ac:dyDescent="0.35">
      <c r="P8946" s="8"/>
    </row>
    <row r="8947" spans="16:16" x14ac:dyDescent="0.35">
      <c r="P8947" s="8"/>
    </row>
    <row r="8948" spans="16:16" x14ac:dyDescent="0.35">
      <c r="P8948" s="8"/>
    </row>
    <row r="8949" spans="16:16" x14ac:dyDescent="0.35">
      <c r="P8949" s="8"/>
    </row>
    <row r="8950" spans="16:16" x14ac:dyDescent="0.35">
      <c r="P8950" s="8"/>
    </row>
    <row r="8951" spans="16:16" x14ac:dyDescent="0.35">
      <c r="P8951" s="8"/>
    </row>
    <row r="8952" spans="16:16" x14ac:dyDescent="0.35">
      <c r="P8952" s="8"/>
    </row>
    <row r="8953" spans="16:16" x14ac:dyDescent="0.35">
      <c r="P8953" s="8"/>
    </row>
    <row r="8954" spans="16:16" x14ac:dyDescent="0.35">
      <c r="P8954" s="8"/>
    </row>
    <row r="8955" spans="16:16" x14ac:dyDescent="0.35">
      <c r="P8955" s="8"/>
    </row>
    <row r="8956" spans="16:16" x14ac:dyDescent="0.35">
      <c r="P8956" s="8"/>
    </row>
    <row r="8957" spans="16:16" x14ac:dyDescent="0.35">
      <c r="P8957" s="8"/>
    </row>
    <row r="8958" spans="16:16" x14ac:dyDescent="0.35">
      <c r="P8958" s="8"/>
    </row>
    <row r="8959" spans="16:16" x14ac:dyDescent="0.35">
      <c r="P8959" s="8"/>
    </row>
    <row r="8960" spans="16:16" x14ac:dyDescent="0.35">
      <c r="P8960" s="8"/>
    </row>
    <row r="8961" spans="16:16" x14ac:dyDescent="0.35">
      <c r="P8961" s="8"/>
    </row>
    <row r="8962" spans="16:16" x14ac:dyDescent="0.35">
      <c r="P8962" s="8"/>
    </row>
    <row r="8963" spans="16:16" x14ac:dyDescent="0.35">
      <c r="P8963" s="8"/>
    </row>
    <row r="8964" spans="16:16" x14ac:dyDescent="0.35">
      <c r="P8964" s="8"/>
    </row>
    <row r="8965" spans="16:16" x14ac:dyDescent="0.35">
      <c r="P8965" s="8"/>
    </row>
    <row r="8966" spans="16:16" x14ac:dyDescent="0.35">
      <c r="P8966" s="8"/>
    </row>
    <row r="8967" spans="16:16" x14ac:dyDescent="0.35">
      <c r="P8967" s="8"/>
    </row>
    <row r="8968" spans="16:16" x14ac:dyDescent="0.35">
      <c r="P8968" s="8"/>
    </row>
    <row r="8969" spans="16:16" x14ac:dyDescent="0.35">
      <c r="P8969" s="8"/>
    </row>
    <row r="8970" spans="16:16" x14ac:dyDescent="0.35">
      <c r="P8970" s="8"/>
    </row>
    <row r="8971" spans="16:16" x14ac:dyDescent="0.35">
      <c r="P8971" s="8"/>
    </row>
    <row r="8972" spans="16:16" x14ac:dyDescent="0.35">
      <c r="P8972" s="8"/>
    </row>
    <row r="8973" spans="16:16" x14ac:dyDescent="0.35">
      <c r="P8973" s="8"/>
    </row>
    <row r="8974" spans="16:16" x14ac:dyDescent="0.35">
      <c r="P8974" s="8"/>
    </row>
    <row r="8975" spans="16:16" x14ac:dyDescent="0.35">
      <c r="P8975" s="8"/>
    </row>
    <row r="8976" spans="16:16" x14ac:dyDescent="0.35">
      <c r="P8976" s="8"/>
    </row>
    <row r="8977" spans="16:16" x14ac:dyDescent="0.35">
      <c r="P8977" s="8"/>
    </row>
    <row r="8978" spans="16:16" x14ac:dyDescent="0.35">
      <c r="P8978" s="8"/>
    </row>
    <row r="8979" spans="16:16" x14ac:dyDescent="0.35">
      <c r="P8979" s="8"/>
    </row>
    <row r="8980" spans="16:16" x14ac:dyDescent="0.35">
      <c r="P8980" s="8"/>
    </row>
    <row r="8981" spans="16:16" x14ac:dyDescent="0.35">
      <c r="P8981" s="8"/>
    </row>
    <row r="8982" spans="16:16" x14ac:dyDescent="0.35">
      <c r="P8982" s="8"/>
    </row>
    <row r="8983" spans="16:16" x14ac:dyDescent="0.35">
      <c r="P8983" s="8"/>
    </row>
    <row r="8984" spans="16:16" x14ac:dyDescent="0.35">
      <c r="P8984" s="8"/>
    </row>
    <row r="8985" spans="16:16" x14ac:dyDescent="0.35">
      <c r="P8985" s="8"/>
    </row>
    <row r="8986" spans="16:16" x14ac:dyDescent="0.35">
      <c r="P8986" s="8"/>
    </row>
    <row r="8987" spans="16:16" x14ac:dyDescent="0.35">
      <c r="P8987" s="8"/>
    </row>
    <row r="8988" spans="16:16" x14ac:dyDescent="0.35">
      <c r="P8988" s="8"/>
    </row>
    <row r="8989" spans="16:16" x14ac:dyDescent="0.35">
      <c r="P8989" s="8"/>
    </row>
    <row r="8990" spans="16:16" x14ac:dyDescent="0.35">
      <c r="P8990" s="8"/>
    </row>
    <row r="8991" spans="16:16" x14ac:dyDescent="0.35">
      <c r="P8991" s="8"/>
    </row>
    <row r="8992" spans="16:16" x14ac:dyDescent="0.35">
      <c r="P8992" s="8"/>
    </row>
    <row r="8993" spans="16:16" x14ac:dyDescent="0.35">
      <c r="P8993" s="8"/>
    </row>
    <row r="8994" spans="16:16" x14ac:dyDescent="0.35">
      <c r="P8994" s="8"/>
    </row>
    <row r="8995" spans="16:16" x14ac:dyDescent="0.35">
      <c r="P8995" s="8"/>
    </row>
    <row r="8996" spans="16:16" x14ac:dyDescent="0.35">
      <c r="P8996" s="8"/>
    </row>
    <row r="8997" spans="16:16" x14ac:dyDescent="0.35">
      <c r="P8997" s="8"/>
    </row>
    <row r="8998" spans="16:16" x14ac:dyDescent="0.35">
      <c r="P8998" s="8"/>
    </row>
    <row r="8999" spans="16:16" x14ac:dyDescent="0.35">
      <c r="P8999" s="8"/>
    </row>
    <row r="9000" spans="16:16" x14ac:dyDescent="0.35">
      <c r="P9000" s="8"/>
    </row>
    <row r="9001" spans="16:16" x14ac:dyDescent="0.35">
      <c r="P9001" s="8"/>
    </row>
    <row r="9002" spans="16:16" x14ac:dyDescent="0.35">
      <c r="P9002" s="8"/>
    </row>
    <row r="9003" spans="16:16" x14ac:dyDescent="0.35">
      <c r="P9003" s="8"/>
    </row>
    <row r="9004" spans="16:16" x14ac:dyDescent="0.35">
      <c r="P9004" s="8"/>
    </row>
    <row r="9005" spans="16:16" x14ac:dyDescent="0.35">
      <c r="P9005" s="8"/>
    </row>
    <row r="9006" spans="16:16" x14ac:dyDescent="0.35">
      <c r="P9006" s="8"/>
    </row>
    <row r="9007" spans="16:16" x14ac:dyDescent="0.35">
      <c r="P9007" s="8"/>
    </row>
    <row r="9008" spans="16:16" x14ac:dyDescent="0.35">
      <c r="P9008" s="8"/>
    </row>
    <row r="9009" spans="16:16" x14ac:dyDescent="0.35">
      <c r="P9009" s="8"/>
    </row>
    <row r="9010" spans="16:16" x14ac:dyDescent="0.35">
      <c r="P9010" s="8"/>
    </row>
    <row r="9011" spans="16:16" x14ac:dyDescent="0.35">
      <c r="P9011" s="8"/>
    </row>
    <row r="9012" spans="16:16" x14ac:dyDescent="0.35">
      <c r="P9012" s="8"/>
    </row>
    <row r="9013" spans="16:16" x14ac:dyDescent="0.35">
      <c r="P9013" s="8"/>
    </row>
    <row r="9014" spans="16:16" x14ac:dyDescent="0.35">
      <c r="P9014" s="8"/>
    </row>
    <row r="9015" spans="16:16" x14ac:dyDescent="0.35">
      <c r="P9015" s="8"/>
    </row>
    <row r="9016" spans="16:16" x14ac:dyDescent="0.35">
      <c r="P9016" s="8"/>
    </row>
    <row r="9017" spans="16:16" x14ac:dyDescent="0.35">
      <c r="P9017" s="8"/>
    </row>
    <row r="9018" spans="16:16" x14ac:dyDescent="0.35">
      <c r="P9018" s="8"/>
    </row>
    <row r="9019" spans="16:16" x14ac:dyDescent="0.35">
      <c r="P9019" s="8"/>
    </row>
    <row r="9020" spans="16:16" x14ac:dyDescent="0.35">
      <c r="P9020" s="8"/>
    </row>
    <row r="9021" spans="16:16" x14ac:dyDescent="0.35">
      <c r="P9021" s="8"/>
    </row>
    <row r="9022" spans="16:16" x14ac:dyDescent="0.35">
      <c r="P9022" s="8"/>
    </row>
    <row r="9023" spans="16:16" x14ac:dyDescent="0.35">
      <c r="P9023" s="8"/>
    </row>
    <row r="9024" spans="16:16" x14ac:dyDescent="0.35">
      <c r="P9024" s="8"/>
    </row>
    <row r="9025" spans="16:16" x14ac:dyDescent="0.35">
      <c r="P9025" s="8"/>
    </row>
    <row r="9026" spans="16:16" x14ac:dyDescent="0.35">
      <c r="P9026" s="8"/>
    </row>
    <row r="9027" spans="16:16" x14ac:dyDescent="0.35">
      <c r="P9027" s="8"/>
    </row>
    <row r="9028" spans="16:16" x14ac:dyDescent="0.35">
      <c r="P9028" s="8"/>
    </row>
    <row r="9029" spans="16:16" x14ac:dyDescent="0.35">
      <c r="P9029" s="8"/>
    </row>
    <row r="9030" spans="16:16" x14ac:dyDescent="0.35">
      <c r="P9030" s="8"/>
    </row>
    <row r="9031" spans="16:16" x14ac:dyDescent="0.35">
      <c r="P9031" s="8"/>
    </row>
    <row r="9032" spans="16:16" x14ac:dyDescent="0.35">
      <c r="P9032" s="8"/>
    </row>
    <row r="9033" spans="16:16" x14ac:dyDescent="0.35">
      <c r="P9033" s="8"/>
    </row>
    <row r="9034" spans="16:16" x14ac:dyDescent="0.35">
      <c r="P9034" s="8"/>
    </row>
    <row r="9035" spans="16:16" x14ac:dyDescent="0.35">
      <c r="P9035" s="8"/>
    </row>
    <row r="9036" spans="16:16" x14ac:dyDescent="0.35">
      <c r="P9036" s="8"/>
    </row>
    <row r="9037" spans="16:16" x14ac:dyDescent="0.35">
      <c r="P9037" s="8"/>
    </row>
    <row r="9038" spans="16:16" x14ac:dyDescent="0.35">
      <c r="P9038" s="8"/>
    </row>
    <row r="9039" spans="16:16" x14ac:dyDescent="0.35">
      <c r="P9039" s="8"/>
    </row>
    <row r="9040" spans="16:16" x14ac:dyDescent="0.35">
      <c r="P9040" s="8"/>
    </row>
    <row r="9041" spans="16:16" x14ac:dyDescent="0.35">
      <c r="P9041" s="8"/>
    </row>
    <row r="9042" spans="16:16" x14ac:dyDescent="0.35">
      <c r="P9042" s="8"/>
    </row>
    <row r="9043" spans="16:16" x14ac:dyDescent="0.35">
      <c r="P9043" s="8"/>
    </row>
    <row r="9044" spans="16:16" x14ac:dyDescent="0.35">
      <c r="P9044" s="8"/>
    </row>
    <row r="9045" spans="16:16" x14ac:dyDescent="0.35">
      <c r="P9045" s="8"/>
    </row>
    <row r="9046" spans="16:16" x14ac:dyDescent="0.35">
      <c r="P9046" s="8"/>
    </row>
    <row r="9047" spans="16:16" x14ac:dyDescent="0.35">
      <c r="P9047" s="8"/>
    </row>
    <row r="9048" spans="16:16" x14ac:dyDescent="0.35">
      <c r="P9048" s="8"/>
    </row>
    <row r="9049" spans="16:16" x14ac:dyDescent="0.35">
      <c r="P9049" s="8"/>
    </row>
    <row r="9050" spans="16:16" x14ac:dyDescent="0.35">
      <c r="P9050" s="8"/>
    </row>
    <row r="9051" spans="16:16" x14ac:dyDescent="0.35">
      <c r="P9051" s="8"/>
    </row>
    <row r="9052" spans="16:16" x14ac:dyDescent="0.35">
      <c r="P9052" s="8"/>
    </row>
    <row r="9053" spans="16:16" x14ac:dyDescent="0.35">
      <c r="P9053" s="8"/>
    </row>
    <row r="9054" spans="16:16" x14ac:dyDescent="0.35">
      <c r="P9054" s="8"/>
    </row>
    <row r="9055" spans="16:16" x14ac:dyDescent="0.35">
      <c r="P9055" s="8"/>
    </row>
    <row r="9056" spans="16:16" x14ac:dyDescent="0.35">
      <c r="P9056" s="8"/>
    </row>
    <row r="9057" spans="16:16" x14ac:dyDescent="0.35">
      <c r="P9057" s="8"/>
    </row>
    <row r="9058" spans="16:16" x14ac:dyDescent="0.35">
      <c r="P9058" s="8"/>
    </row>
    <row r="9059" spans="16:16" x14ac:dyDescent="0.35">
      <c r="P9059" s="8"/>
    </row>
    <row r="9060" spans="16:16" x14ac:dyDescent="0.35">
      <c r="P9060" s="8"/>
    </row>
    <row r="9061" spans="16:16" x14ac:dyDescent="0.35">
      <c r="P9061" s="8"/>
    </row>
    <row r="9062" spans="16:16" x14ac:dyDescent="0.35">
      <c r="P9062" s="8"/>
    </row>
    <row r="9063" spans="16:16" x14ac:dyDescent="0.35">
      <c r="P9063" s="8"/>
    </row>
    <row r="9064" spans="16:16" x14ac:dyDescent="0.35">
      <c r="P9064" s="8"/>
    </row>
    <row r="9065" spans="16:16" x14ac:dyDescent="0.35">
      <c r="P9065" s="8"/>
    </row>
    <row r="9066" spans="16:16" x14ac:dyDescent="0.35">
      <c r="P9066" s="8"/>
    </row>
    <row r="9067" spans="16:16" x14ac:dyDescent="0.35">
      <c r="P9067" s="8"/>
    </row>
    <row r="9068" spans="16:16" x14ac:dyDescent="0.35">
      <c r="P9068" s="8"/>
    </row>
    <row r="9069" spans="16:16" x14ac:dyDescent="0.35">
      <c r="P9069" s="8"/>
    </row>
    <row r="9070" spans="16:16" x14ac:dyDescent="0.35">
      <c r="P9070" s="8"/>
    </row>
    <row r="9071" spans="16:16" x14ac:dyDescent="0.35">
      <c r="P9071" s="8"/>
    </row>
    <row r="9072" spans="16:16" x14ac:dyDescent="0.35">
      <c r="P9072" s="8"/>
    </row>
    <row r="9073" spans="16:16" x14ac:dyDescent="0.35">
      <c r="P9073" s="8"/>
    </row>
    <row r="9074" spans="16:16" x14ac:dyDescent="0.35">
      <c r="P9074" s="8"/>
    </row>
    <row r="9075" spans="16:16" x14ac:dyDescent="0.35">
      <c r="P9075" s="8"/>
    </row>
    <row r="9076" spans="16:16" x14ac:dyDescent="0.35">
      <c r="P9076" s="8"/>
    </row>
    <row r="9077" spans="16:16" x14ac:dyDescent="0.35">
      <c r="P9077" s="8"/>
    </row>
    <row r="9078" spans="16:16" x14ac:dyDescent="0.35">
      <c r="P9078" s="8"/>
    </row>
    <row r="9079" spans="16:16" x14ac:dyDescent="0.35">
      <c r="P9079" s="8"/>
    </row>
    <row r="9080" spans="16:16" x14ac:dyDescent="0.35">
      <c r="P9080" s="8"/>
    </row>
    <row r="9081" spans="16:16" x14ac:dyDescent="0.35">
      <c r="P9081" s="8"/>
    </row>
    <row r="9082" spans="16:16" x14ac:dyDescent="0.35">
      <c r="P9082" s="8"/>
    </row>
    <row r="9083" spans="16:16" x14ac:dyDescent="0.35">
      <c r="P9083" s="8"/>
    </row>
    <row r="9084" spans="16:16" x14ac:dyDescent="0.35">
      <c r="P9084" s="8"/>
    </row>
    <row r="9085" spans="16:16" x14ac:dyDescent="0.35">
      <c r="P9085" s="8"/>
    </row>
    <row r="9086" spans="16:16" x14ac:dyDescent="0.35">
      <c r="P9086" s="8"/>
    </row>
    <row r="9087" spans="16:16" x14ac:dyDescent="0.35">
      <c r="P9087" s="8"/>
    </row>
    <row r="9088" spans="16:16" x14ac:dyDescent="0.35">
      <c r="P9088" s="8"/>
    </row>
    <row r="9089" spans="16:16" x14ac:dyDescent="0.35">
      <c r="P9089" s="8"/>
    </row>
    <row r="9090" spans="16:16" x14ac:dyDescent="0.35">
      <c r="P9090" s="8"/>
    </row>
    <row r="9091" spans="16:16" x14ac:dyDescent="0.35">
      <c r="P9091" s="8"/>
    </row>
    <row r="9092" spans="16:16" x14ac:dyDescent="0.35">
      <c r="P9092" s="8"/>
    </row>
    <row r="9093" spans="16:16" x14ac:dyDescent="0.35">
      <c r="P9093" s="8"/>
    </row>
    <row r="9094" spans="16:16" x14ac:dyDescent="0.35">
      <c r="P9094" s="8"/>
    </row>
    <row r="9095" spans="16:16" x14ac:dyDescent="0.35">
      <c r="P9095" s="8"/>
    </row>
    <row r="9096" spans="16:16" x14ac:dyDescent="0.35">
      <c r="P9096" s="8"/>
    </row>
    <row r="9097" spans="16:16" x14ac:dyDescent="0.35">
      <c r="P9097" s="8"/>
    </row>
    <row r="9098" spans="16:16" x14ac:dyDescent="0.35">
      <c r="P9098" s="8"/>
    </row>
    <row r="9099" spans="16:16" x14ac:dyDescent="0.35">
      <c r="P9099" s="8"/>
    </row>
    <row r="9100" spans="16:16" x14ac:dyDescent="0.35">
      <c r="P9100" s="8"/>
    </row>
    <row r="9101" spans="16:16" x14ac:dyDescent="0.35">
      <c r="P9101" s="8"/>
    </row>
    <row r="9102" spans="16:16" x14ac:dyDescent="0.35">
      <c r="P9102" s="8"/>
    </row>
    <row r="9103" spans="16:16" x14ac:dyDescent="0.35">
      <c r="P9103" s="8"/>
    </row>
    <row r="9104" spans="16:16" x14ac:dyDescent="0.35">
      <c r="P9104" s="8"/>
    </row>
    <row r="9105" spans="16:16" x14ac:dyDescent="0.35">
      <c r="P9105" s="8"/>
    </row>
    <row r="9106" spans="16:16" x14ac:dyDescent="0.35">
      <c r="P9106" s="8"/>
    </row>
    <row r="9107" spans="16:16" x14ac:dyDescent="0.35">
      <c r="P9107" s="8"/>
    </row>
    <row r="9108" spans="16:16" x14ac:dyDescent="0.35">
      <c r="P9108" s="8"/>
    </row>
    <row r="9109" spans="16:16" x14ac:dyDescent="0.35">
      <c r="P9109" s="8"/>
    </row>
    <row r="9110" spans="16:16" x14ac:dyDescent="0.35">
      <c r="P9110" s="8"/>
    </row>
    <row r="9111" spans="16:16" x14ac:dyDescent="0.35">
      <c r="P9111" s="8"/>
    </row>
    <row r="9112" spans="16:16" x14ac:dyDescent="0.35">
      <c r="P9112" s="8"/>
    </row>
    <row r="9113" spans="16:16" x14ac:dyDescent="0.35">
      <c r="P9113" s="8"/>
    </row>
    <row r="9114" spans="16:16" x14ac:dyDescent="0.35">
      <c r="P9114" s="8"/>
    </row>
    <row r="9115" spans="16:16" x14ac:dyDescent="0.35">
      <c r="P9115" s="8"/>
    </row>
    <row r="9116" spans="16:16" x14ac:dyDescent="0.35">
      <c r="P9116" s="8"/>
    </row>
    <row r="9117" spans="16:16" x14ac:dyDescent="0.35">
      <c r="P9117" s="8"/>
    </row>
    <row r="9118" spans="16:16" x14ac:dyDescent="0.35">
      <c r="P9118" s="8"/>
    </row>
    <row r="9119" spans="16:16" x14ac:dyDescent="0.35">
      <c r="P9119" s="8"/>
    </row>
    <row r="9120" spans="16:16" x14ac:dyDescent="0.35">
      <c r="P9120" s="8"/>
    </row>
    <row r="9121" spans="16:16" x14ac:dyDescent="0.35">
      <c r="P9121" s="8"/>
    </row>
    <row r="9122" spans="16:16" x14ac:dyDescent="0.35">
      <c r="P9122" s="8"/>
    </row>
    <row r="9123" spans="16:16" x14ac:dyDescent="0.35">
      <c r="P9123" s="8"/>
    </row>
    <row r="9124" spans="16:16" x14ac:dyDescent="0.35">
      <c r="P9124" s="8"/>
    </row>
    <row r="9125" spans="16:16" x14ac:dyDescent="0.35">
      <c r="P9125" s="8"/>
    </row>
    <row r="9126" spans="16:16" x14ac:dyDescent="0.35">
      <c r="P9126" s="8"/>
    </row>
    <row r="9127" spans="16:16" x14ac:dyDescent="0.35">
      <c r="P9127" s="8"/>
    </row>
    <row r="9128" spans="16:16" x14ac:dyDescent="0.35">
      <c r="P9128" s="8"/>
    </row>
    <row r="9129" spans="16:16" x14ac:dyDescent="0.35">
      <c r="P9129" s="8"/>
    </row>
    <row r="9130" spans="16:16" x14ac:dyDescent="0.35">
      <c r="P9130" s="8"/>
    </row>
    <row r="9131" spans="16:16" x14ac:dyDescent="0.35">
      <c r="P9131" s="8"/>
    </row>
    <row r="9132" spans="16:16" x14ac:dyDescent="0.35">
      <c r="P9132" s="8"/>
    </row>
    <row r="9133" spans="16:16" x14ac:dyDescent="0.35">
      <c r="P9133" s="8"/>
    </row>
    <row r="9134" spans="16:16" x14ac:dyDescent="0.35">
      <c r="P9134" s="8"/>
    </row>
    <row r="9135" spans="16:16" x14ac:dyDescent="0.35">
      <c r="P9135" s="8"/>
    </row>
    <row r="9136" spans="16:16" x14ac:dyDescent="0.35">
      <c r="P9136" s="8"/>
    </row>
    <row r="9137" spans="16:16" x14ac:dyDescent="0.35">
      <c r="P9137" s="8"/>
    </row>
    <row r="9138" spans="16:16" x14ac:dyDescent="0.35">
      <c r="P9138" s="8"/>
    </row>
    <row r="9139" spans="16:16" x14ac:dyDescent="0.35">
      <c r="P9139" s="8"/>
    </row>
    <row r="9140" spans="16:16" x14ac:dyDescent="0.35">
      <c r="P9140" s="8"/>
    </row>
    <row r="9141" spans="16:16" x14ac:dyDescent="0.35">
      <c r="P9141" s="8"/>
    </row>
    <row r="9142" spans="16:16" x14ac:dyDescent="0.35">
      <c r="P9142" s="8"/>
    </row>
    <row r="9143" spans="16:16" x14ac:dyDescent="0.35">
      <c r="P9143" s="8"/>
    </row>
    <row r="9144" spans="16:16" x14ac:dyDescent="0.35">
      <c r="P9144" s="8"/>
    </row>
    <row r="9145" spans="16:16" x14ac:dyDescent="0.35">
      <c r="P9145" s="8"/>
    </row>
    <row r="9146" spans="16:16" x14ac:dyDescent="0.35">
      <c r="P9146" s="8"/>
    </row>
    <row r="9147" spans="16:16" x14ac:dyDescent="0.35">
      <c r="P9147" s="8"/>
    </row>
    <row r="9148" spans="16:16" x14ac:dyDescent="0.35">
      <c r="P9148" s="8"/>
    </row>
    <row r="9149" spans="16:16" x14ac:dyDescent="0.35">
      <c r="P9149" s="8"/>
    </row>
    <row r="9150" spans="16:16" x14ac:dyDescent="0.35">
      <c r="P9150" s="8"/>
    </row>
    <row r="9151" spans="16:16" x14ac:dyDescent="0.35">
      <c r="P9151" s="8"/>
    </row>
    <row r="9152" spans="16:16" x14ac:dyDescent="0.35">
      <c r="P9152" s="8"/>
    </row>
    <row r="9153" spans="16:16" x14ac:dyDescent="0.35">
      <c r="P9153" s="8"/>
    </row>
    <row r="9154" spans="16:16" x14ac:dyDescent="0.35">
      <c r="P9154" s="8"/>
    </row>
    <row r="9155" spans="16:16" x14ac:dyDescent="0.35">
      <c r="P9155" s="8"/>
    </row>
    <row r="9156" spans="16:16" x14ac:dyDescent="0.35">
      <c r="P9156" s="8"/>
    </row>
    <row r="9157" spans="16:16" x14ac:dyDescent="0.35">
      <c r="P9157" s="8"/>
    </row>
    <row r="9158" spans="16:16" x14ac:dyDescent="0.35">
      <c r="P9158" s="8"/>
    </row>
    <row r="9159" spans="16:16" x14ac:dyDescent="0.35">
      <c r="P9159" s="8"/>
    </row>
    <row r="9160" spans="16:16" x14ac:dyDescent="0.35">
      <c r="P9160" s="8"/>
    </row>
    <row r="9161" spans="16:16" x14ac:dyDescent="0.35">
      <c r="P9161" s="8"/>
    </row>
    <row r="9162" spans="16:16" x14ac:dyDescent="0.35">
      <c r="P9162" s="8"/>
    </row>
    <row r="9163" spans="16:16" x14ac:dyDescent="0.35">
      <c r="P9163" s="8"/>
    </row>
    <row r="9164" spans="16:16" x14ac:dyDescent="0.35">
      <c r="P9164" s="8"/>
    </row>
    <row r="9165" spans="16:16" x14ac:dyDescent="0.35">
      <c r="P9165" s="8"/>
    </row>
    <row r="9166" spans="16:16" x14ac:dyDescent="0.35">
      <c r="P9166" s="8"/>
    </row>
    <row r="9167" spans="16:16" x14ac:dyDescent="0.35">
      <c r="P9167" s="8"/>
    </row>
    <row r="9168" spans="16:16" x14ac:dyDescent="0.35">
      <c r="P9168" s="8"/>
    </row>
    <row r="9169" spans="16:16" x14ac:dyDescent="0.35">
      <c r="P9169" s="8"/>
    </row>
    <row r="9170" spans="16:16" x14ac:dyDescent="0.35">
      <c r="P9170" s="8"/>
    </row>
    <row r="9171" spans="16:16" x14ac:dyDescent="0.35">
      <c r="P9171" s="8"/>
    </row>
    <row r="9172" spans="16:16" x14ac:dyDescent="0.35">
      <c r="P9172" s="8"/>
    </row>
    <row r="9173" spans="16:16" x14ac:dyDescent="0.35">
      <c r="P9173" s="8"/>
    </row>
    <row r="9174" spans="16:16" x14ac:dyDescent="0.35">
      <c r="P9174" s="8"/>
    </row>
    <row r="9175" spans="16:16" x14ac:dyDescent="0.35">
      <c r="P9175" s="8"/>
    </row>
    <row r="9176" spans="16:16" x14ac:dyDescent="0.35">
      <c r="P9176" s="8"/>
    </row>
    <row r="9177" spans="16:16" x14ac:dyDescent="0.35">
      <c r="P9177" s="8"/>
    </row>
    <row r="9178" spans="16:16" x14ac:dyDescent="0.35">
      <c r="P9178" s="8"/>
    </row>
    <row r="9179" spans="16:16" x14ac:dyDescent="0.35">
      <c r="P9179" s="8"/>
    </row>
    <row r="9180" spans="16:16" x14ac:dyDescent="0.35">
      <c r="P9180" s="8"/>
    </row>
    <row r="9181" spans="16:16" x14ac:dyDescent="0.35">
      <c r="P9181" s="8"/>
    </row>
    <row r="9182" spans="16:16" x14ac:dyDescent="0.35">
      <c r="P9182" s="8"/>
    </row>
    <row r="9183" spans="16:16" x14ac:dyDescent="0.35">
      <c r="P9183" s="8"/>
    </row>
    <row r="9184" spans="16:16" x14ac:dyDescent="0.35">
      <c r="P9184" s="8"/>
    </row>
    <row r="9185" spans="16:16" x14ac:dyDescent="0.35">
      <c r="P9185" s="8"/>
    </row>
    <row r="9186" spans="16:16" x14ac:dyDescent="0.35">
      <c r="P9186" s="8"/>
    </row>
    <row r="9187" spans="16:16" x14ac:dyDescent="0.35">
      <c r="P9187" s="8"/>
    </row>
    <row r="9188" spans="16:16" x14ac:dyDescent="0.35">
      <c r="P9188" s="8"/>
    </row>
    <row r="9189" spans="16:16" x14ac:dyDescent="0.35">
      <c r="P9189" s="8"/>
    </row>
    <row r="9190" spans="16:16" x14ac:dyDescent="0.35">
      <c r="P9190" s="8"/>
    </row>
    <row r="9191" spans="16:16" x14ac:dyDescent="0.35">
      <c r="P9191" s="8"/>
    </row>
    <row r="9192" spans="16:16" x14ac:dyDescent="0.35">
      <c r="P9192" s="8"/>
    </row>
    <row r="9193" spans="16:16" x14ac:dyDescent="0.35">
      <c r="P9193" s="8"/>
    </row>
    <row r="9194" spans="16:16" x14ac:dyDescent="0.35">
      <c r="P9194" s="8"/>
    </row>
    <row r="9195" spans="16:16" x14ac:dyDescent="0.35">
      <c r="P9195" s="8"/>
    </row>
    <row r="9196" spans="16:16" x14ac:dyDescent="0.35">
      <c r="P9196" s="8"/>
    </row>
    <row r="9197" spans="16:16" x14ac:dyDescent="0.35">
      <c r="P9197" s="8"/>
    </row>
    <row r="9198" spans="16:16" x14ac:dyDescent="0.35">
      <c r="P9198" s="8"/>
    </row>
    <row r="9199" spans="16:16" x14ac:dyDescent="0.35">
      <c r="P9199" s="8"/>
    </row>
    <row r="9200" spans="16:16" x14ac:dyDescent="0.35">
      <c r="P9200" s="8"/>
    </row>
    <row r="9201" spans="16:16" x14ac:dyDescent="0.35">
      <c r="P9201" s="8"/>
    </row>
    <row r="9202" spans="16:16" x14ac:dyDescent="0.35">
      <c r="P9202" s="8"/>
    </row>
    <row r="9203" spans="16:16" x14ac:dyDescent="0.35">
      <c r="P9203" s="8"/>
    </row>
    <row r="9204" spans="16:16" x14ac:dyDescent="0.35">
      <c r="P9204" s="8"/>
    </row>
    <row r="9205" spans="16:16" x14ac:dyDescent="0.35">
      <c r="P9205" s="8"/>
    </row>
    <row r="9206" spans="16:16" x14ac:dyDescent="0.35">
      <c r="P9206" s="8"/>
    </row>
    <row r="9207" spans="16:16" x14ac:dyDescent="0.35">
      <c r="P9207" s="8"/>
    </row>
    <row r="9208" spans="16:16" x14ac:dyDescent="0.35">
      <c r="P9208" s="8"/>
    </row>
    <row r="9209" spans="16:16" x14ac:dyDescent="0.35">
      <c r="P9209" s="8"/>
    </row>
    <row r="9210" spans="16:16" x14ac:dyDescent="0.35">
      <c r="P9210" s="8"/>
    </row>
    <row r="9211" spans="16:16" x14ac:dyDescent="0.35">
      <c r="P9211" s="8"/>
    </row>
    <row r="9212" spans="16:16" x14ac:dyDescent="0.35">
      <c r="P9212" s="8"/>
    </row>
    <row r="9213" spans="16:16" x14ac:dyDescent="0.35">
      <c r="P9213" s="8"/>
    </row>
    <row r="9214" spans="16:16" x14ac:dyDescent="0.35">
      <c r="P9214" s="8"/>
    </row>
    <row r="9215" spans="16:16" x14ac:dyDescent="0.35">
      <c r="P9215" s="8"/>
    </row>
    <row r="9216" spans="16:16" x14ac:dyDescent="0.35">
      <c r="P9216" s="8"/>
    </row>
    <row r="9217" spans="16:16" x14ac:dyDescent="0.35">
      <c r="P9217" s="8"/>
    </row>
    <row r="9218" spans="16:16" x14ac:dyDescent="0.35">
      <c r="P9218" s="8"/>
    </row>
    <row r="9219" spans="16:16" x14ac:dyDescent="0.35">
      <c r="P9219" s="8"/>
    </row>
    <row r="9220" spans="16:16" x14ac:dyDescent="0.35">
      <c r="P9220" s="8"/>
    </row>
    <row r="9221" spans="16:16" x14ac:dyDescent="0.35">
      <c r="P9221" s="8"/>
    </row>
    <row r="9222" spans="16:16" x14ac:dyDescent="0.35">
      <c r="P9222" s="8"/>
    </row>
    <row r="9223" spans="16:16" x14ac:dyDescent="0.35">
      <c r="P9223" s="8"/>
    </row>
    <row r="9224" spans="16:16" x14ac:dyDescent="0.35">
      <c r="P9224" s="8"/>
    </row>
    <row r="9225" spans="16:16" x14ac:dyDescent="0.35">
      <c r="P9225" s="8"/>
    </row>
    <row r="9226" spans="16:16" x14ac:dyDescent="0.35">
      <c r="P9226" s="8"/>
    </row>
    <row r="9227" spans="16:16" x14ac:dyDescent="0.35">
      <c r="P9227" s="8"/>
    </row>
    <row r="9228" spans="16:16" x14ac:dyDescent="0.35">
      <c r="P9228" s="8"/>
    </row>
    <row r="9229" spans="16:16" x14ac:dyDescent="0.35">
      <c r="P9229" s="8"/>
    </row>
    <row r="9230" spans="16:16" x14ac:dyDescent="0.35">
      <c r="P9230" s="8"/>
    </row>
    <row r="9231" spans="16:16" x14ac:dyDescent="0.35">
      <c r="P9231" s="8"/>
    </row>
    <row r="9232" spans="16:16" x14ac:dyDescent="0.35">
      <c r="P9232" s="8"/>
    </row>
    <row r="9233" spans="16:16" x14ac:dyDescent="0.35">
      <c r="P9233" s="8"/>
    </row>
    <row r="9234" spans="16:16" x14ac:dyDescent="0.35">
      <c r="P9234" s="8"/>
    </row>
    <row r="9235" spans="16:16" x14ac:dyDescent="0.35">
      <c r="P9235" s="8"/>
    </row>
    <row r="9236" spans="16:16" x14ac:dyDescent="0.35">
      <c r="P9236" s="8"/>
    </row>
    <row r="9237" spans="16:16" x14ac:dyDescent="0.35">
      <c r="P9237" s="8"/>
    </row>
    <row r="9238" spans="16:16" x14ac:dyDescent="0.35">
      <c r="P9238" s="8"/>
    </row>
    <row r="9239" spans="16:16" x14ac:dyDescent="0.35">
      <c r="P9239" s="8"/>
    </row>
    <row r="9240" spans="16:16" x14ac:dyDescent="0.35">
      <c r="P9240" s="8"/>
    </row>
    <row r="9241" spans="16:16" x14ac:dyDescent="0.35">
      <c r="P9241" s="8"/>
    </row>
    <row r="9242" spans="16:16" x14ac:dyDescent="0.35">
      <c r="P9242" s="8"/>
    </row>
    <row r="9243" spans="16:16" x14ac:dyDescent="0.35">
      <c r="P9243" s="8"/>
    </row>
    <row r="9244" spans="16:16" x14ac:dyDescent="0.35">
      <c r="P9244" s="8"/>
    </row>
    <row r="9245" spans="16:16" x14ac:dyDescent="0.35">
      <c r="P9245" s="8"/>
    </row>
    <row r="9246" spans="16:16" x14ac:dyDescent="0.35">
      <c r="P9246" s="8"/>
    </row>
    <row r="9247" spans="16:16" x14ac:dyDescent="0.35">
      <c r="P9247" s="8"/>
    </row>
    <row r="9248" spans="16:16" x14ac:dyDescent="0.35">
      <c r="P9248" s="8"/>
    </row>
    <row r="9249" spans="16:16" x14ac:dyDescent="0.35">
      <c r="P9249" s="8"/>
    </row>
    <row r="9250" spans="16:16" x14ac:dyDescent="0.35">
      <c r="P9250" s="8"/>
    </row>
    <row r="9251" spans="16:16" x14ac:dyDescent="0.35">
      <c r="P9251" s="8"/>
    </row>
    <row r="9252" spans="16:16" x14ac:dyDescent="0.35">
      <c r="P9252" s="8"/>
    </row>
    <row r="9253" spans="16:16" x14ac:dyDescent="0.35">
      <c r="P9253" s="8"/>
    </row>
    <row r="9254" spans="16:16" x14ac:dyDescent="0.35">
      <c r="P9254" s="8"/>
    </row>
    <row r="9255" spans="16:16" x14ac:dyDescent="0.35">
      <c r="P9255" s="8"/>
    </row>
    <row r="9256" spans="16:16" x14ac:dyDescent="0.35">
      <c r="P9256" s="8"/>
    </row>
    <row r="9257" spans="16:16" x14ac:dyDescent="0.35">
      <c r="P9257" s="8"/>
    </row>
    <row r="9258" spans="16:16" x14ac:dyDescent="0.35">
      <c r="P9258" s="8"/>
    </row>
    <row r="9259" spans="16:16" x14ac:dyDescent="0.35">
      <c r="P9259" s="8"/>
    </row>
    <row r="9260" spans="16:16" x14ac:dyDescent="0.35">
      <c r="P9260" s="8"/>
    </row>
    <row r="9261" spans="16:16" x14ac:dyDescent="0.35">
      <c r="P9261" s="8"/>
    </row>
    <row r="9262" spans="16:16" x14ac:dyDescent="0.35">
      <c r="P9262" s="8"/>
    </row>
    <row r="9263" spans="16:16" x14ac:dyDescent="0.35">
      <c r="P9263" s="8"/>
    </row>
    <row r="9264" spans="16:16" x14ac:dyDescent="0.35">
      <c r="P9264" s="8"/>
    </row>
    <row r="9265" spans="16:16" x14ac:dyDescent="0.35">
      <c r="P9265" s="8"/>
    </row>
    <row r="9266" spans="16:16" x14ac:dyDescent="0.35">
      <c r="P9266" s="8"/>
    </row>
    <row r="9267" spans="16:16" x14ac:dyDescent="0.35">
      <c r="P9267" s="8"/>
    </row>
    <row r="9268" spans="16:16" x14ac:dyDescent="0.35">
      <c r="P9268" s="8"/>
    </row>
    <row r="9269" spans="16:16" x14ac:dyDescent="0.35">
      <c r="P9269" s="8"/>
    </row>
    <row r="9270" spans="16:16" x14ac:dyDescent="0.35">
      <c r="P9270" s="8"/>
    </row>
    <row r="9271" spans="16:16" x14ac:dyDescent="0.35">
      <c r="P9271" s="8"/>
    </row>
    <row r="9272" spans="16:16" x14ac:dyDescent="0.35">
      <c r="P9272" s="8"/>
    </row>
    <row r="9273" spans="16:16" x14ac:dyDescent="0.35">
      <c r="P9273" s="8"/>
    </row>
    <row r="9274" spans="16:16" x14ac:dyDescent="0.35">
      <c r="P9274" s="8"/>
    </row>
    <row r="9275" spans="16:16" x14ac:dyDescent="0.35">
      <c r="P9275" s="8"/>
    </row>
    <row r="9276" spans="16:16" x14ac:dyDescent="0.35">
      <c r="P9276" s="8"/>
    </row>
    <row r="9277" spans="16:16" x14ac:dyDescent="0.35">
      <c r="P9277" s="8"/>
    </row>
    <row r="9278" spans="16:16" x14ac:dyDescent="0.35">
      <c r="P9278" s="8"/>
    </row>
    <row r="9279" spans="16:16" x14ac:dyDescent="0.35">
      <c r="P9279" s="8"/>
    </row>
    <row r="9280" spans="16:16" x14ac:dyDescent="0.35">
      <c r="P9280" s="8"/>
    </row>
    <row r="9281" spans="16:16" x14ac:dyDescent="0.35">
      <c r="P9281" s="8"/>
    </row>
    <row r="9282" spans="16:16" x14ac:dyDescent="0.35">
      <c r="P9282" s="8"/>
    </row>
    <row r="9283" spans="16:16" x14ac:dyDescent="0.35">
      <c r="P9283" s="8"/>
    </row>
    <row r="9284" spans="16:16" x14ac:dyDescent="0.35">
      <c r="P9284" s="8"/>
    </row>
    <row r="9285" spans="16:16" x14ac:dyDescent="0.35">
      <c r="P9285" s="8"/>
    </row>
    <row r="9286" spans="16:16" x14ac:dyDescent="0.35">
      <c r="P9286" s="8"/>
    </row>
    <row r="9287" spans="16:16" x14ac:dyDescent="0.35">
      <c r="P9287" s="8"/>
    </row>
    <row r="9288" spans="16:16" x14ac:dyDescent="0.35">
      <c r="P9288" s="8"/>
    </row>
    <row r="9289" spans="16:16" x14ac:dyDescent="0.35">
      <c r="P9289" s="8"/>
    </row>
    <row r="9290" spans="16:16" x14ac:dyDescent="0.35">
      <c r="P9290" s="8"/>
    </row>
    <row r="9291" spans="16:16" x14ac:dyDescent="0.35">
      <c r="P9291" s="8"/>
    </row>
    <row r="9292" spans="16:16" x14ac:dyDescent="0.35">
      <c r="P9292" s="8"/>
    </row>
    <row r="9293" spans="16:16" x14ac:dyDescent="0.35">
      <c r="P9293" s="8"/>
    </row>
    <row r="9294" spans="16:16" x14ac:dyDescent="0.35">
      <c r="P9294" s="8"/>
    </row>
    <row r="9295" spans="16:16" x14ac:dyDescent="0.35">
      <c r="P9295" s="8"/>
    </row>
    <row r="9296" spans="16:16" x14ac:dyDescent="0.35">
      <c r="P9296" s="8"/>
    </row>
    <row r="9297" spans="16:16" x14ac:dyDescent="0.35">
      <c r="P9297" s="8"/>
    </row>
    <row r="9298" spans="16:16" x14ac:dyDescent="0.35">
      <c r="P9298" s="8"/>
    </row>
    <row r="9299" spans="16:16" x14ac:dyDescent="0.35">
      <c r="P9299" s="8"/>
    </row>
    <row r="9300" spans="16:16" x14ac:dyDescent="0.35">
      <c r="P9300" s="8"/>
    </row>
    <row r="9301" spans="16:16" x14ac:dyDescent="0.35">
      <c r="P9301" s="8"/>
    </row>
    <row r="9302" spans="16:16" x14ac:dyDescent="0.35">
      <c r="P9302" s="8"/>
    </row>
    <row r="9303" spans="16:16" x14ac:dyDescent="0.35">
      <c r="P9303" s="8"/>
    </row>
    <row r="9304" spans="16:16" x14ac:dyDescent="0.35">
      <c r="P9304" s="8"/>
    </row>
    <row r="9305" spans="16:16" x14ac:dyDescent="0.35">
      <c r="P9305" s="8"/>
    </row>
    <row r="9306" spans="16:16" x14ac:dyDescent="0.35">
      <c r="P9306" s="8"/>
    </row>
    <row r="9307" spans="16:16" x14ac:dyDescent="0.35">
      <c r="P9307" s="8"/>
    </row>
    <row r="9308" spans="16:16" x14ac:dyDescent="0.35">
      <c r="P9308" s="8"/>
    </row>
    <row r="9309" spans="16:16" x14ac:dyDescent="0.35">
      <c r="P9309" s="8"/>
    </row>
    <row r="9310" spans="16:16" x14ac:dyDescent="0.35">
      <c r="P9310" s="8"/>
    </row>
    <row r="9311" spans="16:16" x14ac:dyDescent="0.35">
      <c r="P9311" s="8"/>
    </row>
    <row r="9312" spans="16:16" x14ac:dyDescent="0.35">
      <c r="P9312" s="8"/>
    </row>
    <row r="9313" spans="16:16" x14ac:dyDescent="0.35">
      <c r="P9313" s="8"/>
    </row>
    <row r="9314" spans="16:16" x14ac:dyDescent="0.35">
      <c r="P9314" s="8"/>
    </row>
    <row r="9315" spans="16:16" x14ac:dyDescent="0.35">
      <c r="P9315" s="8"/>
    </row>
    <row r="9316" spans="16:16" x14ac:dyDescent="0.35">
      <c r="P9316" s="8"/>
    </row>
    <row r="9317" spans="16:16" x14ac:dyDescent="0.35">
      <c r="P9317" s="8"/>
    </row>
    <row r="9318" spans="16:16" x14ac:dyDescent="0.35">
      <c r="P9318" s="8"/>
    </row>
    <row r="9319" spans="16:16" x14ac:dyDescent="0.35">
      <c r="P9319" s="8"/>
    </row>
    <row r="9320" spans="16:16" x14ac:dyDescent="0.35">
      <c r="P9320" s="8"/>
    </row>
    <row r="9321" spans="16:16" x14ac:dyDescent="0.35">
      <c r="P9321" s="8"/>
    </row>
    <row r="9322" spans="16:16" x14ac:dyDescent="0.35">
      <c r="P9322" s="8"/>
    </row>
    <row r="9323" spans="16:16" x14ac:dyDescent="0.35">
      <c r="P9323" s="8"/>
    </row>
    <row r="9324" spans="16:16" x14ac:dyDescent="0.35">
      <c r="P9324" s="8"/>
    </row>
    <row r="9325" spans="16:16" x14ac:dyDescent="0.35">
      <c r="P9325" s="8"/>
    </row>
    <row r="9326" spans="16:16" x14ac:dyDescent="0.35">
      <c r="P9326" s="8"/>
    </row>
    <row r="9327" spans="16:16" x14ac:dyDescent="0.35">
      <c r="P9327" s="8"/>
    </row>
    <row r="9328" spans="16:16" x14ac:dyDescent="0.35">
      <c r="P9328" s="8"/>
    </row>
    <row r="9329" spans="16:16" x14ac:dyDescent="0.35">
      <c r="P9329" s="8"/>
    </row>
    <row r="9330" spans="16:16" x14ac:dyDescent="0.35">
      <c r="P9330" s="8"/>
    </row>
    <row r="9331" spans="16:16" x14ac:dyDescent="0.35">
      <c r="P9331" s="8"/>
    </row>
    <row r="9332" spans="16:16" x14ac:dyDescent="0.35">
      <c r="P9332" s="8"/>
    </row>
    <row r="9333" spans="16:16" x14ac:dyDescent="0.35">
      <c r="P9333" s="8"/>
    </row>
    <row r="9334" spans="16:16" x14ac:dyDescent="0.35">
      <c r="P9334" s="8"/>
    </row>
    <row r="9335" spans="16:16" x14ac:dyDescent="0.35">
      <c r="P9335" s="8"/>
    </row>
    <row r="9336" spans="16:16" x14ac:dyDescent="0.35">
      <c r="P9336" s="8"/>
    </row>
    <row r="9337" spans="16:16" x14ac:dyDescent="0.35">
      <c r="P9337" s="8"/>
    </row>
    <row r="9338" spans="16:16" x14ac:dyDescent="0.35">
      <c r="P9338" s="8"/>
    </row>
    <row r="9339" spans="16:16" x14ac:dyDescent="0.35">
      <c r="P9339" s="8"/>
    </row>
    <row r="9340" spans="16:16" x14ac:dyDescent="0.35">
      <c r="P9340" s="8"/>
    </row>
    <row r="9341" spans="16:16" x14ac:dyDescent="0.35">
      <c r="P9341" s="8"/>
    </row>
    <row r="9342" spans="16:16" x14ac:dyDescent="0.35">
      <c r="P9342" s="8"/>
    </row>
    <row r="9343" spans="16:16" x14ac:dyDescent="0.35">
      <c r="P9343" s="8"/>
    </row>
    <row r="9344" spans="16:16" x14ac:dyDescent="0.35">
      <c r="P9344" s="8"/>
    </row>
    <row r="9345" spans="16:16" x14ac:dyDescent="0.35">
      <c r="P9345" s="8"/>
    </row>
    <row r="9346" spans="16:16" x14ac:dyDescent="0.35">
      <c r="P9346" s="8"/>
    </row>
    <row r="9347" spans="16:16" x14ac:dyDescent="0.35">
      <c r="P9347" s="8"/>
    </row>
    <row r="9348" spans="16:16" x14ac:dyDescent="0.35">
      <c r="P9348" s="8"/>
    </row>
    <row r="9349" spans="16:16" x14ac:dyDescent="0.35">
      <c r="P9349" s="8"/>
    </row>
    <row r="9350" spans="16:16" x14ac:dyDescent="0.35">
      <c r="P9350" s="8"/>
    </row>
    <row r="9351" spans="16:16" x14ac:dyDescent="0.35">
      <c r="P9351" s="8"/>
    </row>
    <row r="9352" spans="16:16" x14ac:dyDescent="0.35">
      <c r="P9352" s="8"/>
    </row>
    <row r="9353" spans="16:16" x14ac:dyDescent="0.35">
      <c r="P9353" s="8"/>
    </row>
    <row r="9354" spans="16:16" x14ac:dyDescent="0.35">
      <c r="P9354" s="8"/>
    </row>
    <row r="9355" spans="16:16" x14ac:dyDescent="0.35">
      <c r="P9355" s="8"/>
    </row>
    <row r="9356" spans="16:16" x14ac:dyDescent="0.35">
      <c r="P9356" s="8"/>
    </row>
    <row r="9357" spans="16:16" x14ac:dyDescent="0.35">
      <c r="P9357" s="8"/>
    </row>
    <row r="9358" spans="16:16" x14ac:dyDescent="0.35">
      <c r="P9358" s="8"/>
    </row>
    <row r="9359" spans="16:16" x14ac:dyDescent="0.35">
      <c r="P9359" s="8"/>
    </row>
    <row r="9360" spans="16:16" x14ac:dyDescent="0.35">
      <c r="P9360" s="8"/>
    </row>
    <row r="9361" spans="16:16" x14ac:dyDescent="0.35">
      <c r="P9361" s="8"/>
    </row>
    <row r="9362" spans="16:16" x14ac:dyDescent="0.35">
      <c r="P9362" s="8"/>
    </row>
    <row r="9363" spans="16:16" x14ac:dyDescent="0.35">
      <c r="P9363" s="8"/>
    </row>
    <row r="9364" spans="16:16" x14ac:dyDescent="0.35">
      <c r="P9364" s="8"/>
    </row>
    <row r="9365" spans="16:16" x14ac:dyDescent="0.35">
      <c r="P9365" s="8"/>
    </row>
    <row r="9366" spans="16:16" x14ac:dyDescent="0.35">
      <c r="P9366" s="8"/>
    </row>
    <row r="9367" spans="16:16" x14ac:dyDescent="0.35">
      <c r="P9367" s="8"/>
    </row>
    <row r="9368" spans="16:16" x14ac:dyDescent="0.35">
      <c r="P9368" s="8"/>
    </row>
    <row r="9369" spans="16:16" x14ac:dyDescent="0.35">
      <c r="P9369" s="8"/>
    </row>
    <row r="9370" spans="16:16" x14ac:dyDescent="0.35">
      <c r="P9370" s="8"/>
    </row>
    <row r="9371" spans="16:16" x14ac:dyDescent="0.35">
      <c r="P9371" s="8"/>
    </row>
    <row r="9372" spans="16:16" x14ac:dyDescent="0.35">
      <c r="P9372" s="8"/>
    </row>
    <row r="9373" spans="16:16" x14ac:dyDescent="0.35">
      <c r="P9373" s="8"/>
    </row>
    <row r="9374" spans="16:16" x14ac:dyDescent="0.35">
      <c r="P9374" s="8"/>
    </row>
    <row r="9375" spans="16:16" x14ac:dyDescent="0.35">
      <c r="P9375" s="8"/>
    </row>
    <row r="9376" spans="16:16" x14ac:dyDescent="0.35">
      <c r="P9376" s="8"/>
    </row>
    <row r="9377" spans="16:16" x14ac:dyDescent="0.35">
      <c r="P9377" s="8"/>
    </row>
    <row r="9378" spans="16:16" x14ac:dyDescent="0.35">
      <c r="P9378" s="8"/>
    </row>
    <row r="9379" spans="16:16" x14ac:dyDescent="0.35">
      <c r="P9379" s="8"/>
    </row>
    <row r="9380" spans="16:16" x14ac:dyDescent="0.35">
      <c r="P9380" s="8"/>
    </row>
    <row r="9381" spans="16:16" x14ac:dyDescent="0.35">
      <c r="P9381" s="8"/>
    </row>
    <row r="9382" spans="16:16" x14ac:dyDescent="0.35">
      <c r="P9382" s="8"/>
    </row>
    <row r="9383" spans="16:16" x14ac:dyDescent="0.35">
      <c r="P9383" s="8"/>
    </row>
    <row r="9384" spans="16:16" x14ac:dyDescent="0.35">
      <c r="P9384" s="8"/>
    </row>
    <row r="9385" spans="16:16" x14ac:dyDescent="0.35">
      <c r="P9385" s="8"/>
    </row>
    <row r="9386" spans="16:16" x14ac:dyDescent="0.35">
      <c r="P9386" s="8"/>
    </row>
    <row r="9387" spans="16:16" x14ac:dyDescent="0.35">
      <c r="P9387" s="8"/>
    </row>
    <row r="9388" spans="16:16" x14ac:dyDescent="0.35">
      <c r="P9388" s="8"/>
    </row>
    <row r="9389" spans="16:16" x14ac:dyDescent="0.35">
      <c r="P9389" s="8"/>
    </row>
    <row r="9390" spans="16:16" x14ac:dyDescent="0.35">
      <c r="P9390" s="8"/>
    </row>
    <row r="9391" spans="16:16" x14ac:dyDescent="0.35">
      <c r="P9391" s="8"/>
    </row>
    <row r="9392" spans="16:16" x14ac:dyDescent="0.35">
      <c r="P9392" s="8"/>
    </row>
    <row r="9393" spans="16:16" x14ac:dyDescent="0.35">
      <c r="P9393" s="8"/>
    </row>
    <row r="9394" spans="16:16" x14ac:dyDescent="0.35">
      <c r="P9394" s="8"/>
    </row>
    <row r="9395" spans="16:16" x14ac:dyDescent="0.35">
      <c r="P9395" s="8"/>
    </row>
    <row r="9396" spans="16:16" x14ac:dyDescent="0.35">
      <c r="P9396" s="8"/>
    </row>
    <row r="9397" spans="16:16" x14ac:dyDescent="0.35">
      <c r="P9397" s="8"/>
    </row>
    <row r="9398" spans="16:16" x14ac:dyDescent="0.35">
      <c r="P9398" s="8"/>
    </row>
    <row r="9399" spans="16:16" x14ac:dyDescent="0.35">
      <c r="P9399" s="8"/>
    </row>
    <row r="9400" spans="16:16" x14ac:dyDescent="0.35">
      <c r="P9400" s="8"/>
    </row>
    <row r="9401" spans="16:16" x14ac:dyDescent="0.35">
      <c r="P9401" s="8"/>
    </row>
    <row r="9402" spans="16:16" x14ac:dyDescent="0.35">
      <c r="P9402" s="8"/>
    </row>
    <row r="9403" spans="16:16" x14ac:dyDescent="0.35">
      <c r="P9403" s="8"/>
    </row>
    <row r="9404" spans="16:16" x14ac:dyDescent="0.35">
      <c r="P9404" s="8"/>
    </row>
    <row r="9405" spans="16:16" x14ac:dyDescent="0.35">
      <c r="P9405" s="8"/>
    </row>
    <row r="9406" spans="16:16" x14ac:dyDescent="0.35">
      <c r="P9406" s="8"/>
    </row>
    <row r="9407" spans="16:16" x14ac:dyDescent="0.35">
      <c r="P9407" s="8"/>
    </row>
    <row r="9408" spans="16:16" x14ac:dyDescent="0.35">
      <c r="P9408" s="8"/>
    </row>
    <row r="9409" spans="16:16" x14ac:dyDescent="0.35">
      <c r="P9409" s="8"/>
    </row>
    <row r="9410" spans="16:16" x14ac:dyDescent="0.35">
      <c r="P9410" s="8"/>
    </row>
    <row r="9411" spans="16:16" x14ac:dyDescent="0.35">
      <c r="P9411" s="8"/>
    </row>
    <row r="9412" spans="16:16" x14ac:dyDescent="0.35">
      <c r="P9412" s="8"/>
    </row>
    <row r="9413" spans="16:16" x14ac:dyDescent="0.35">
      <c r="P9413" s="8"/>
    </row>
    <row r="9414" spans="16:16" x14ac:dyDescent="0.35">
      <c r="P9414" s="8"/>
    </row>
    <row r="9415" spans="16:16" x14ac:dyDescent="0.35">
      <c r="P9415" s="8"/>
    </row>
    <row r="9416" spans="16:16" x14ac:dyDescent="0.35">
      <c r="P9416" s="8"/>
    </row>
    <row r="9417" spans="16:16" x14ac:dyDescent="0.35">
      <c r="P9417" s="8"/>
    </row>
    <row r="9418" spans="16:16" x14ac:dyDescent="0.35">
      <c r="P9418" s="8"/>
    </row>
    <row r="9419" spans="16:16" x14ac:dyDescent="0.35">
      <c r="P9419" s="8"/>
    </row>
    <row r="9420" spans="16:16" x14ac:dyDescent="0.35">
      <c r="P9420" s="8"/>
    </row>
    <row r="9421" spans="16:16" x14ac:dyDescent="0.35">
      <c r="P9421" s="8"/>
    </row>
    <row r="9422" spans="16:16" x14ac:dyDescent="0.35">
      <c r="P9422" s="8"/>
    </row>
    <row r="9423" spans="16:16" x14ac:dyDescent="0.35">
      <c r="P9423" s="8"/>
    </row>
    <row r="9424" spans="16:16" x14ac:dyDescent="0.35">
      <c r="P9424" s="8"/>
    </row>
    <row r="9425" spans="16:16" x14ac:dyDescent="0.35">
      <c r="P9425" s="8"/>
    </row>
    <row r="9426" spans="16:16" x14ac:dyDescent="0.35">
      <c r="P9426" s="8"/>
    </row>
    <row r="9427" spans="16:16" x14ac:dyDescent="0.35">
      <c r="P9427" s="8"/>
    </row>
    <row r="9428" spans="16:16" x14ac:dyDescent="0.35">
      <c r="P9428" s="8"/>
    </row>
    <row r="9429" spans="16:16" x14ac:dyDescent="0.35">
      <c r="P9429" s="8"/>
    </row>
    <row r="9430" spans="16:16" x14ac:dyDescent="0.35">
      <c r="P9430" s="8"/>
    </row>
    <row r="9431" spans="16:16" x14ac:dyDescent="0.35">
      <c r="P9431" s="8"/>
    </row>
    <row r="9432" spans="16:16" x14ac:dyDescent="0.35">
      <c r="P9432" s="8"/>
    </row>
    <row r="9433" spans="16:16" x14ac:dyDescent="0.35">
      <c r="P9433" s="8"/>
    </row>
    <row r="9434" spans="16:16" x14ac:dyDescent="0.35">
      <c r="P9434" s="8"/>
    </row>
    <row r="9435" spans="16:16" x14ac:dyDescent="0.35">
      <c r="P9435" s="8"/>
    </row>
    <row r="9436" spans="16:16" x14ac:dyDescent="0.35">
      <c r="P9436" s="8"/>
    </row>
    <row r="9437" spans="16:16" x14ac:dyDescent="0.35">
      <c r="P9437" s="8"/>
    </row>
    <row r="9438" spans="16:16" x14ac:dyDescent="0.35">
      <c r="P9438" s="8"/>
    </row>
    <row r="9439" spans="16:16" x14ac:dyDescent="0.35">
      <c r="P9439" s="8"/>
    </row>
    <row r="9440" spans="16:16" x14ac:dyDescent="0.35">
      <c r="P9440" s="8"/>
    </row>
    <row r="9441" spans="16:16" x14ac:dyDescent="0.35">
      <c r="P9441" s="8"/>
    </row>
    <row r="9442" spans="16:16" x14ac:dyDescent="0.35">
      <c r="P9442" s="8"/>
    </row>
    <row r="9443" spans="16:16" x14ac:dyDescent="0.35">
      <c r="P9443" s="8"/>
    </row>
    <row r="9444" spans="16:16" x14ac:dyDescent="0.35">
      <c r="P9444" s="8"/>
    </row>
    <row r="9445" spans="16:16" x14ac:dyDescent="0.35">
      <c r="P9445" s="8"/>
    </row>
    <row r="9446" spans="16:16" x14ac:dyDescent="0.35">
      <c r="P9446" s="8"/>
    </row>
    <row r="9447" spans="16:16" x14ac:dyDescent="0.35">
      <c r="P9447" s="8"/>
    </row>
    <row r="9448" spans="16:16" x14ac:dyDescent="0.35">
      <c r="P9448" s="8"/>
    </row>
    <row r="9449" spans="16:16" x14ac:dyDescent="0.35">
      <c r="P9449" s="8"/>
    </row>
    <row r="9450" spans="16:16" x14ac:dyDescent="0.35">
      <c r="P9450" s="8"/>
    </row>
    <row r="9451" spans="16:16" x14ac:dyDescent="0.35">
      <c r="P9451" s="8"/>
    </row>
    <row r="9452" spans="16:16" x14ac:dyDescent="0.35">
      <c r="P9452" s="8"/>
    </row>
    <row r="9453" spans="16:16" x14ac:dyDescent="0.35">
      <c r="P9453" s="8"/>
    </row>
    <row r="9454" spans="16:16" x14ac:dyDescent="0.35">
      <c r="P9454" s="8"/>
    </row>
    <row r="9455" spans="16:16" x14ac:dyDescent="0.35">
      <c r="P9455" s="8"/>
    </row>
    <row r="9456" spans="16:16" x14ac:dyDescent="0.35">
      <c r="P9456" s="8"/>
    </row>
    <row r="9457" spans="16:16" x14ac:dyDescent="0.35">
      <c r="P9457" s="8"/>
    </row>
    <row r="9458" spans="16:16" x14ac:dyDescent="0.35">
      <c r="P9458" s="8"/>
    </row>
    <row r="9459" spans="16:16" x14ac:dyDescent="0.35">
      <c r="P9459" s="8"/>
    </row>
    <row r="9460" spans="16:16" x14ac:dyDescent="0.35">
      <c r="P9460" s="8"/>
    </row>
    <row r="9461" spans="16:16" x14ac:dyDescent="0.35">
      <c r="P9461" s="8"/>
    </row>
    <row r="9462" spans="16:16" x14ac:dyDescent="0.35">
      <c r="P9462" s="8"/>
    </row>
    <row r="9463" spans="16:16" x14ac:dyDescent="0.35">
      <c r="P9463" s="8"/>
    </row>
    <row r="9464" spans="16:16" x14ac:dyDescent="0.35">
      <c r="P9464" s="8"/>
    </row>
    <row r="9465" spans="16:16" x14ac:dyDescent="0.35">
      <c r="P9465" s="8"/>
    </row>
    <row r="9466" spans="16:16" x14ac:dyDescent="0.35">
      <c r="P9466" s="8"/>
    </row>
    <row r="9467" spans="16:16" x14ac:dyDescent="0.35">
      <c r="P9467" s="8"/>
    </row>
    <row r="9468" spans="16:16" x14ac:dyDescent="0.35">
      <c r="P9468" s="8"/>
    </row>
    <row r="9469" spans="16:16" x14ac:dyDescent="0.35">
      <c r="P9469" s="8"/>
    </row>
    <row r="9470" spans="16:16" x14ac:dyDescent="0.35">
      <c r="P9470" s="8"/>
    </row>
    <row r="9471" spans="16:16" x14ac:dyDescent="0.35">
      <c r="P9471" s="8"/>
    </row>
    <row r="9472" spans="16:16" x14ac:dyDescent="0.35">
      <c r="P9472" s="8"/>
    </row>
    <row r="9473" spans="16:16" x14ac:dyDescent="0.35">
      <c r="P9473" s="8"/>
    </row>
    <row r="9474" spans="16:16" x14ac:dyDescent="0.35">
      <c r="P9474" s="8"/>
    </row>
    <row r="9475" spans="16:16" x14ac:dyDescent="0.35">
      <c r="P9475" s="8"/>
    </row>
    <row r="9476" spans="16:16" x14ac:dyDescent="0.35">
      <c r="P9476" s="8"/>
    </row>
    <row r="9477" spans="16:16" x14ac:dyDescent="0.35">
      <c r="P9477" s="8"/>
    </row>
    <row r="9478" spans="16:16" x14ac:dyDescent="0.35">
      <c r="P9478" s="8"/>
    </row>
    <row r="9479" spans="16:16" x14ac:dyDescent="0.35">
      <c r="P9479" s="8"/>
    </row>
    <row r="9480" spans="16:16" x14ac:dyDescent="0.35">
      <c r="P9480" s="8"/>
    </row>
    <row r="9481" spans="16:16" x14ac:dyDescent="0.35">
      <c r="P9481" s="8"/>
    </row>
    <row r="9482" spans="16:16" x14ac:dyDescent="0.35">
      <c r="P9482" s="8"/>
    </row>
    <row r="9483" spans="16:16" x14ac:dyDescent="0.35">
      <c r="P9483" s="8"/>
    </row>
    <row r="9484" spans="16:16" x14ac:dyDescent="0.35">
      <c r="P9484" s="8"/>
    </row>
    <row r="9485" spans="16:16" x14ac:dyDescent="0.35">
      <c r="P9485" s="8"/>
    </row>
    <row r="9486" spans="16:16" x14ac:dyDescent="0.35">
      <c r="P9486" s="8"/>
    </row>
    <row r="9487" spans="16:16" x14ac:dyDescent="0.35">
      <c r="P9487" s="8"/>
    </row>
    <row r="9488" spans="16:16" x14ac:dyDescent="0.35">
      <c r="P9488" s="8"/>
    </row>
    <row r="9489" spans="16:16" x14ac:dyDescent="0.35">
      <c r="P9489" s="8"/>
    </row>
    <row r="9490" spans="16:16" x14ac:dyDescent="0.35">
      <c r="P9490" s="8"/>
    </row>
    <row r="9491" spans="16:16" x14ac:dyDescent="0.35">
      <c r="P9491" s="8"/>
    </row>
    <row r="9492" spans="16:16" x14ac:dyDescent="0.35">
      <c r="P9492" s="8"/>
    </row>
    <row r="9493" spans="16:16" x14ac:dyDescent="0.35">
      <c r="P9493" s="8"/>
    </row>
    <row r="9494" spans="16:16" x14ac:dyDescent="0.35">
      <c r="P9494" s="8"/>
    </row>
    <row r="9495" spans="16:16" x14ac:dyDescent="0.35">
      <c r="P9495" s="8"/>
    </row>
    <row r="9496" spans="16:16" x14ac:dyDescent="0.35">
      <c r="P9496" s="8"/>
    </row>
    <row r="9497" spans="16:16" x14ac:dyDescent="0.35">
      <c r="P9497" s="8"/>
    </row>
    <row r="9498" spans="16:16" x14ac:dyDescent="0.35">
      <c r="P9498" s="8"/>
    </row>
    <row r="9499" spans="16:16" x14ac:dyDescent="0.35">
      <c r="P9499" s="8"/>
    </row>
    <row r="9500" spans="16:16" x14ac:dyDescent="0.35">
      <c r="P9500" s="8"/>
    </row>
    <row r="9501" spans="16:16" x14ac:dyDescent="0.35">
      <c r="P9501" s="8"/>
    </row>
    <row r="9502" spans="16:16" x14ac:dyDescent="0.35">
      <c r="P9502" s="8"/>
    </row>
    <row r="9503" spans="16:16" x14ac:dyDescent="0.35">
      <c r="P9503" s="8"/>
    </row>
    <row r="9504" spans="16:16" x14ac:dyDescent="0.35">
      <c r="P9504" s="8"/>
    </row>
    <row r="9505" spans="16:16" x14ac:dyDescent="0.35">
      <c r="P9505" s="8"/>
    </row>
    <row r="9506" spans="16:16" x14ac:dyDescent="0.35">
      <c r="P9506" s="8"/>
    </row>
    <row r="9507" spans="16:16" x14ac:dyDescent="0.35">
      <c r="P9507" s="8"/>
    </row>
    <row r="9508" spans="16:16" x14ac:dyDescent="0.35">
      <c r="P9508" s="8"/>
    </row>
    <row r="9509" spans="16:16" x14ac:dyDescent="0.35">
      <c r="P9509" s="8"/>
    </row>
    <row r="9510" spans="16:16" x14ac:dyDescent="0.35">
      <c r="P9510" s="8"/>
    </row>
    <row r="9511" spans="16:16" x14ac:dyDescent="0.35">
      <c r="P9511" s="8"/>
    </row>
    <row r="9512" spans="16:16" x14ac:dyDescent="0.35">
      <c r="P9512" s="8"/>
    </row>
    <row r="9513" spans="16:16" x14ac:dyDescent="0.35">
      <c r="P9513" s="8"/>
    </row>
    <row r="9514" spans="16:16" x14ac:dyDescent="0.35">
      <c r="P9514" s="8"/>
    </row>
    <row r="9515" spans="16:16" x14ac:dyDescent="0.35">
      <c r="P9515" s="8"/>
    </row>
    <row r="9516" spans="16:16" x14ac:dyDescent="0.35">
      <c r="P9516" s="8"/>
    </row>
    <row r="9517" spans="16:16" x14ac:dyDescent="0.35">
      <c r="P9517" s="8"/>
    </row>
    <row r="9518" spans="16:16" x14ac:dyDescent="0.35">
      <c r="P9518" s="8"/>
    </row>
    <row r="9519" spans="16:16" x14ac:dyDescent="0.35">
      <c r="P9519" s="8"/>
    </row>
    <row r="9520" spans="16:16" x14ac:dyDescent="0.35">
      <c r="P9520" s="8"/>
    </row>
    <row r="9521" spans="16:16" x14ac:dyDescent="0.35">
      <c r="P9521" s="8"/>
    </row>
    <row r="9522" spans="16:16" x14ac:dyDescent="0.35">
      <c r="P9522" s="8"/>
    </row>
    <row r="9523" spans="16:16" x14ac:dyDescent="0.35">
      <c r="P9523" s="8"/>
    </row>
    <row r="9524" spans="16:16" x14ac:dyDescent="0.35">
      <c r="P9524" s="8"/>
    </row>
    <row r="9525" spans="16:16" x14ac:dyDescent="0.35">
      <c r="P9525" s="8"/>
    </row>
    <row r="9526" spans="16:16" x14ac:dyDescent="0.35">
      <c r="P9526" s="8"/>
    </row>
    <row r="9527" spans="16:16" x14ac:dyDescent="0.35">
      <c r="P9527" s="8"/>
    </row>
    <row r="9528" spans="16:16" x14ac:dyDescent="0.35">
      <c r="P9528" s="8"/>
    </row>
    <row r="9529" spans="16:16" x14ac:dyDescent="0.35">
      <c r="P9529" s="8"/>
    </row>
    <row r="9530" spans="16:16" x14ac:dyDescent="0.35">
      <c r="P9530" s="8"/>
    </row>
    <row r="9531" spans="16:16" x14ac:dyDescent="0.35">
      <c r="P9531" s="8"/>
    </row>
    <row r="9532" spans="16:16" x14ac:dyDescent="0.35">
      <c r="P9532" s="8"/>
    </row>
    <row r="9533" spans="16:16" x14ac:dyDescent="0.35">
      <c r="P9533" s="8"/>
    </row>
    <row r="9534" spans="16:16" x14ac:dyDescent="0.35">
      <c r="P9534" s="8"/>
    </row>
    <row r="9535" spans="16:16" x14ac:dyDescent="0.35">
      <c r="P9535" s="8"/>
    </row>
    <row r="9536" spans="16:16" x14ac:dyDescent="0.35">
      <c r="P9536" s="8"/>
    </row>
    <row r="9537" spans="16:16" x14ac:dyDescent="0.35">
      <c r="P9537" s="8"/>
    </row>
    <row r="9538" spans="16:16" x14ac:dyDescent="0.35">
      <c r="P9538" s="8"/>
    </row>
    <row r="9539" spans="16:16" x14ac:dyDescent="0.35">
      <c r="P9539" s="8"/>
    </row>
    <row r="9540" spans="16:16" x14ac:dyDescent="0.35">
      <c r="P9540" s="8"/>
    </row>
    <row r="9541" spans="16:16" x14ac:dyDescent="0.35">
      <c r="P9541" s="8"/>
    </row>
    <row r="9542" spans="16:16" x14ac:dyDescent="0.35">
      <c r="P9542" s="8"/>
    </row>
    <row r="9543" spans="16:16" x14ac:dyDescent="0.35">
      <c r="P9543" s="8"/>
    </row>
    <row r="9544" spans="16:16" x14ac:dyDescent="0.35">
      <c r="P9544" s="8"/>
    </row>
    <row r="9545" spans="16:16" x14ac:dyDescent="0.35">
      <c r="P9545" s="8"/>
    </row>
    <row r="9546" spans="16:16" x14ac:dyDescent="0.35">
      <c r="P9546" s="8"/>
    </row>
    <row r="9547" spans="16:16" x14ac:dyDescent="0.35">
      <c r="P9547" s="8"/>
    </row>
    <row r="9548" spans="16:16" x14ac:dyDescent="0.35">
      <c r="P9548" s="8"/>
    </row>
    <row r="9549" spans="16:16" x14ac:dyDescent="0.35">
      <c r="P9549" s="8"/>
    </row>
    <row r="9550" spans="16:16" x14ac:dyDescent="0.35">
      <c r="P9550" s="8"/>
    </row>
    <row r="9551" spans="16:16" x14ac:dyDescent="0.35">
      <c r="P9551" s="8"/>
    </row>
    <row r="9552" spans="16:16" x14ac:dyDescent="0.35">
      <c r="P9552" s="8"/>
    </row>
    <row r="9553" spans="16:16" x14ac:dyDescent="0.35">
      <c r="P9553" s="8"/>
    </row>
    <row r="9554" spans="16:16" x14ac:dyDescent="0.35">
      <c r="P9554" s="8"/>
    </row>
    <row r="9555" spans="16:16" x14ac:dyDescent="0.35">
      <c r="P9555" s="8"/>
    </row>
    <row r="9556" spans="16:16" x14ac:dyDescent="0.35">
      <c r="P9556" s="8"/>
    </row>
    <row r="9557" spans="16:16" x14ac:dyDescent="0.35">
      <c r="P9557" s="8"/>
    </row>
    <row r="9558" spans="16:16" x14ac:dyDescent="0.35">
      <c r="P9558" s="8"/>
    </row>
    <row r="9559" spans="16:16" x14ac:dyDescent="0.35">
      <c r="P9559" s="8"/>
    </row>
    <row r="9560" spans="16:16" x14ac:dyDescent="0.35">
      <c r="P9560" s="8"/>
    </row>
    <row r="9561" spans="16:16" x14ac:dyDescent="0.35">
      <c r="P9561" s="8"/>
    </row>
    <row r="9562" spans="16:16" x14ac:dyDescent="0.35">
      <c r="P9562" s="8"/>
    </row>
    <row r="9563" spans="16:16" x14ac:dyDescent="0.35">
      <c r="P9563" s="8"/>
    </row>
    <row r="9564" spans="16:16" x14ac:dyDescent="0.35">
      <c r="P9564" s="8"/>
    </row>
    <row r="9565" spans="16:16" x14ac:dyDescent="0.35">
      <c r="P9565" s="8"/>
    </row>
    <row r="9566" spans="16:16" x14ac:dyDescent="0.35">
      <c r="P9566" s="8"/>
    </row>
    <row r="9567" spans="16:16" x14ac:dyDescent="0.35">
      <c r="P9567" s="8"/>
    </row>
    <row r="9568" spans="16:16" x14ac:dyDescent="0.35">
      <c r="P9568" s="8"/>
    </row>
    <row r="9569" spans="16:16" x14ac:dyDescent="0.35">
      <c r="P9569" s="8"/>
    </row>
    <row r="9570" spans="16:16" x14ac:dyDescent="0.35">
      <c r="P9570" s="8"/>
    </row>
    <row r="9571" spans="16:16" x14ac:dyDescent="0.35">
      <c r="P9571" s="8"/>
    </row>
    <row r="9572" spans="16:16" x14ac:dyDescent="0.35">
      <c r="P9572" s="8"/>
    </row>
    <row r="9573" spans="16:16" x14ac:dyDescent="0.35">
      <c r="P9573" s="8"/>
    </row>
    <row r="9574" spans="16:16" x14ac:dyDescent="0.35">
      <c r="P9574" s="8"/>
    </row>
    <row r="9575" spans="16:16" x14ac:dyDescent="0.35">
      <c r="P9575" s="8"/>
    </row>
    <row r="9576" spans="16:16" x14ac:dyDescent="0.35">
      <c r="P9576" s="8"/>
    </row>
    <row r="9577" spans="16:16" x14ac:dyDescent="0.35">
      <c r="P9577" s="8"/>
    </row>
    <row r="9578" spans="16:16" x14ac:dyDescent="0.35">
      <c r="P9578" s="8"/>
    </row>
    <row r="9579" spans="16:16" x14ac:dyDescent="0.35">
      <c r="P9579" s="8"/>
    </row>
    <row r="9580" spans="16:16" x14ac:dyDescent="0.35">
      <c r="P9580" s="8"/>
    </row>
    <row r="9581" spans="16:16" x14ac:dyDescent="0.35">
      <c r="P9581" s="8"/>
    </row>
    <row r="9582" spans="16:16" x14ac:dyDescent="0.35">
      <c r="P9582" s="8"/>
    </row>
    <row r="9583" spans="16:16" x14ac:dyDescent="0.35">
      <c r="P9583" s="8"/>
    </row>
    <row r="9584" spans="16:16" x14ac:dyDescent="0.35">
      <c r="P9584" s="8"/>
    </row>
    <row r="9585" spans="16:16" x14ac:dyDescent="0.35">
      <c r="P9585" s="8"/>
    </row>
    <row r="9586" spans="16:16" x14ac:dyDescent="0.35">
      <c r="P9586" s="8"/>
    </row>
    <row r="9587" spans="16:16" x14ac:dyDescent="0.35">
      <c r="P9587" s="8"/>
    </row>
    <row r="9588" spans="16:16" x14ac:dyDescent="0.35">
      <c r="P9588" s="8"/>
    </row>
    <row r="9589" spans="16:16" x14ac:dyDescent="0.35">
      <c r="P9589" s="8"/>
    </row>
    <row r="9590" spans="16:16" x14ac:dyDescent="0.35">
      <c r="P9590" s="8"/>
    </row>
    <row r="9591" spans="16:16" x14ac:dyDescent="0.35">
      <c r="P9591" s="8"/>
    </row>
    <row r="9592" spans="16:16" x14ac:dyDescent="0.35">
      <c r="P9592" s="8"/>
    </row>
    <row r="9593" spans="16:16" x14ac:dyDescent="0.35">
      <c r="P9593" s="8"/>
    </row>
    <row r="9594" spans="16:16" x14ac:dyDescent="0.35">
      <c r="P9594" s="8"/>
    </row>
    <row r="9595" spans="16:16" x14ac:dyDescent="0.35">
      <c r="P9595" s="8"/>
    </row>
    <row r="9596" spans="16:16" x14ac:dyDescent="0.35">
      <c r="P9596" s="8"/>
    </row>
    <row r="9597" spans="16:16" x14ac:dyDescent="0.35">
      <c r="P9597" s="8"/>
    </row>
    <row r="9598" spans="16:16" x14ac:dyDescent="0.35">
      <c r="P9598" s="8"/>
    </row>
    <row r="9599" spans="16:16" x14ac:dyDescent="0.35">
      <c r="P9599" s="8"/>
    </row>
    <row r="9600" spans="16:16" x14ac:dyDescent="0.35">
      <c r="P9600" s="8"/>
    </row>
    <row r="9601" spans="16:16" x14ac:dyDescent="0.35">
      <c r="P9601" s="8"/>
    </row>
    <row r="9602" spans="16:16" x14ac:dyDescent="0.35">
      <c r="P9602" s="8"/>
    </row>
    <row r="9603" spans="16:16" x14ac:dyDescent="0.35">
      <c r="P9603" s="8"/>
    </row>
    <row r="9604" spans="16:16" x14ac:dyDescent="0.35">
      <c r="P9604" s="8"/>
    </row>
    <row r="9605" spans="16:16" x14ac:dyDescent="0.35">
      <c r="P9605" s="8"/>
    </row>
    <row r="9606" spans="16:16" x14ac:dyDescent="0.35">
      <c r="P9606" s="8"/>
    </row>
    <row r="9607" spans="16:16" x14ac:dyDescent="0.35">
      <c r="P9607" s="8"/>
    </row>
    <row r="9608" spans="16:16" x14ac:dyDescent="0.35">
      <c r="P9608" s="8"/>
    </row>
    <row r="9609" spans="16:16" x14ac:dyDescent="0.35">
      <c r="P9609" s="8"/>
    </row>
    <row r="9610" spans="16:16" x14ac:dyDescent="0.35">
      <c r="P9610" s="8"/>
    </row>
    <row r="9611" spans="16:16" x14ac:dyDescent="0.35">
      <c r="P9611" s="8"/>
    </row>
    <row r="9612" spans="16:16" x14ac:dyDescent="0.35">
      <c r="P9612" s="8"/>
    </row>
    <row r="9613" spans="16:16" x14ac:dyDescent="0.35">
      <c r="P9613" s="8"/>
    </row>
    <row r="9614" spans="16:16" x14ac:dyDescent="0.35">
      <c r="P9614" s="8"/>
    </row>
    <row r="9615" spans="16:16" x14ac:dyDescent="0.35">
      <c r="P9615" s="8"/>
    </row>
    <row r="9616" spans="16:16" x14ac:dyDescent="0.35">
      <c r="P9616" s="8"/>
    </row>
    <row r="9617" spans="16:16" x14ac:dyDescent="0.35">
      <c r="P9617" s="8"/>
    </row>
    <row r="9618" spans="16:16" x14ac:dyDescent="0.35">
      <c r="P9618" s="8"/>
    </row>
    <row r="9619" spans="16:16" x14ac:dyDescent="0.35">
      <c r="P9619" s="8"/>
    </row>
    <row r="9620" spans="16:16" x14ac:dyDescent="0.35">
      <c r="P9620" s="8"/>
    </row>
    <row r="9621" spans="16:16" x14ac:dyDescent="0.35">
      <c r="P9621" s="8"/>
    </row>
    <row r="9622" spans="16:16" x14ac:dyDescent="0.35">
      <c r="P9622" s="8"/>
    </row>
    <row r="9623" spans="16:16" x14ac:dyDescent="0.35">
      <c r="P9623" s="8"/>
    </row>
    <row r="9624" spans="16:16" x14ac:dyDescent="0.35">
      <c r="P9624" s="8"/>
    </row>
    <row r="9625" spans="16:16" x14ac:dyDescent="0.35">
      <c r="P9625" s="8"/>
    </row>
    <row r="9626" spans="16:16" x14ac:dyDescent="0.35">
      <c r="P9626" s="8"/>
    </row>
    <row r="9627" spans="16:16" x14ac:dyDescent="0.35">
      <c r="P9627" s="8"/>
    </row>
    <row r="9628" spans="16:16" x14ac:dyDescent="0.35">
      <c r="P9628" s="8"/>
    </row>
    <row r="9629" spans="16:16" x14ac:dyDescent="0.35">
      <c r="P9629" s="8"/>
    </row>
    <row r="9630" spans="16:16" x14ac:dyDescent="0.35">
      <c r="P9630" s="8"/>
    </row>
    <row r="9631" spans="16:16" x14ac:dyDescent="0.35">
      <c r="P9631" s="8"/>
    </row>
    <row r="9632" spans="16:16" x14ac:dyDescent="0.35">
      <c r="P9632" s="8"/>
    </row>
    <row r="9633" spans="16:16" x14ac:dyDescent="0.35">
      <c r="P9633" s="8"/>
    </row>
    <row r="9634" spans="16:16" x14ac:dyDescent="0.35">
      <c r="P9634" s="8"/>
    </row>
    <row r="9635" spans="16:16" x14ac:dyDescent="0.35">
      <c r="P9635" s="8"/>
    </row>
    <row r="9636" spans="16:16" x14ac:dyDescent="0.35">
      <c r="P9636" s="8"/>
    </row>
    <row r="9637" spans="16:16" x14ac:dyDescent="0.35">
      <c r="P9637" s="8"/>
    </row>
    <row r="9638" spans="16:16" x14ac:dyDescent="0.35">
      <c r="P9638" s="8"/>
    </row>
    <row r="9639" spans="16:16" x14ac:dyDescent="0.35">
      <c r="P9639" s="8"/>
    </row>
    <row r="9640" spans="16:16" x14ac:dyDescent="0.35">
      <c r="P9640" s="8"/>
    </row>
    <row r="9641" spans="16:16" x14ac:dyDescent="0.35">
      <c r="P9641" s="8"/>
    </row>
    <row r="9642" spans="16:16" x14ac:dyDescent="0.35">
      <c r="P9642" s="8"/>
    </row>
    <row r="9643" spans="16:16" x14ac:dyDescent="0.35">
      <c r="P9643" s="8"/>
    </row>
    <row r="9644" spans="16:16" x14ac:dyDescent="0.35">
      <c r="P9644" s="8"/>
    </row>
    <row r="9645" spans="16:16" x14ac:dyDescent="0.35">
      <c r="P9645" s="8"/>
    </row>
    <row r="9646" spans="16:16" x14ac:dyDescent="0.35">
      <c r="P9646" s="8"/>
    </row>
    <row r="9647" spans="16:16" x14ac:dyDescent="0.35">
      <c r="P9647" s="8"/>
    </row>
    <row r="9648" spans="16:16" x14ac:dyDescent="0.35">
      <c r="P9648" s="8"/>
    </row>
    <row r="9649" spans="16:16" x14ac:dyDescent="0.35">
      <c r="P9649" s="8"/>
    </row>
    <row r="9650" spans="16:16" x14ac:dyDescent="0.35">
      <c r="P9650" s="8"/>
    </row>
    <row r="9651" spans="16:16" x14ac:dyDescent="0.35">
      <c r="P9651" s="8"/>
    </row>
    <row r="9652" spans="16:16" x14ac:dyDescent="0.35">
      <c r="P9652" s="8"/>
    </row>
    <row r="9653" spans="16:16" x14ac:dyDescent="0.35">
      <c r="P9653" s="8"/>
    </row>
    <row r="9654" spans="16:16" x14ac:dyDescent="0.35">
      <c r="P9654" s="8"/>
    </row>
    <row r="9655" spans="16:16" x14ac:dyDescent="0.35">
      <c r="P9655" s="8"/>
    </row>
    <row r="9656" spans="16:16" x14ac:dyDescent="0.35">
      <c r="P9656" s="8"/>
    </row>
    <row r="9657" spans="16:16" x14ac:dyDescent="0.35">
      <c r="P9657" s="8"/>
    </row>
    <row r="9658" spans="16:16" x14ac:dyDescent="0.35">
      <c r="P9658" s="8"/>
    </row>
    <row r="9659" spans="16:16" x14ac:dyDescent="0.35">
      <c r="P9659" s="8"/>
    </row>
    <row r="9660" spans="16:16" x14ac:dyDescent="0.35">
      <c r="P9660" s="8"/>
    </row>
    <row r="9661" spans="16:16" x14ac:dyDescent="0.35">
      <c r="P9661" s="8"/>
    </row>
    <row r="9662" spans="16:16" x14ac:dyDescent="0.35">
      <c r="P9662" s="8"/>
    </row>
    <row r="9663" spans="16:16" x14ac:dyDescent="0.35">
      <c r="P9663" s="8"/>
    </row>
    <row r="9664" spans="16:16" x14ac:dyDescent="0.35">
      <c r="P9664" s="8"/>
    </row>
    <row r="9665" spans="16:16" x14ac:dyDescent="0.35">
      <c r="P9665" s="8"/>
    </row>
    <row r="9666" spans="16:16" x14ac:dyDescent="0.35">
      <c r="P9666" s="8"/>
    </row>
    <row r="9667" spans="16:16" x14ac:dyDescent="0.35">
      <c r="P9667" s="8"/>
    </row>
    <row r="9668" spans="16:16" x14ac:dyDescent="0.35">
      <c r="P9668" s="8"/>
    </row>
    <row r="9669" spans="16:16" x14ac:dyDescent="0.35">
      <c r="P9669" s="8"/>
    </row>
    <row r="9670" spans="16:16" x14ac:dyDescent="0.35">
      <c r="P9670" s="8"/>
    </row>
    <row r="9671" spans="16:16" x14ac:dyDescent="0.35">
      <c r="P9671" s="8"/>
    </row>
    <row r="9672" spans="16:16" x14ac:dyDescent="0.35">
      <c r="P9672" s="8"/>
    </row>
    <row r="9673" spans="16:16" x14ac:dyDescent="0.35">
      <c r="P9673" s="8"/>
    </row>
    <row r="9674" spans="16:16" x14ac:dyDescent="0.35">
      <c r="P9674" s="8"/>
    </row>
    <row r="9675" spans="16:16" x14ac:dyDescent="0.35">
      <c r="P9675" s="8"/>
    </row>
    <row r="9676" spans="16:16" x14ac:dyDescent="0.35">
      <c r="P9676" s="8"/>
    </row>
    <row r="9677" spans="16:16" x14ac:dyDescent="0.35">
      <c r="P9677" s="8"/>
    </row>
    <row r="9678" spans="16:16" x14ac:dyDescent="0.35">
      <c r="P9678" s="8"/>
    </row>
    <row r="9679" spans="16:16" x14ac:dyDescent="0.35">
      <c r="P9679" s="8"/>
    </row>
    <row r="9680" spans="16:16" x14ac:dyDescent="0.35">
      <c r="P9680" s="8"/>
    </row>
    <row r="9681" spans="16:16" x14ac:dyDescent="0.35">
      <c r="P9681" s="8"/>
    </row>
    <row r="9682" spans="16:16" x14ac:dyDescent="0.35">
      <c r="P9682" s="8"/>
    </row>
    <row r="9683" spans="16:16" x14ac:dyDescent="0.35">
      <c r="P9683" s="8"/>
    </row>
    <row r="9684" spans="16:16" x14ac:dyDescent="0.35">
      <c r="P9684" s="8"/>
    </row>
    <row r="9685" spans="16:16" x14ac:dyDescent="0.35">
      <c r="P9685" s="8"/>
    </row>
    <row r="9686" spans="16:16" x14ac:dyDescent="0.35">
      <c r="P9686" s="8"/>
    </row>
    <row r="9687" spans="16:16" x14ac:dyDescent="0.35">
      <c r="P9687" s="8"/>
    </row>
    <row r="9688" spans="16:16" x14ac:dyDescent="0.35">
      <c r="P9688" s="8"/>
    </row>
    <row r="9689" spans="16:16" x14ac:dyDescent="0.35">
      <c r="P9689" s="8"/>
    </row>
    <row r="9690" spans="16:16" x14ac:dyDescent="0.35">
      <c r="P9690" s="8"/>
    </row>
    <row r="9691" spans="16:16" x14ac:dyDescent="0.35">
      <c r="P9691" s="8"/>
    </row>
    <row r="9692" spans="16:16" x14ac:dyDescent="0.35">
      <c r="P9692" s="8"/>
    </row>
    <row r="9693" spans="16:16" x14ac:dyDescent="0.35">
      <c r="P9693" s="8"/>
    </row>
    <row r="9694" spans="16:16" x14ac:dyDescent="0.35">
      <c r="P9694" s="8"/>
    </row>
    <row r="9695" spans="16:16" x14ac:dyDescent="0.35">
      <c r="P9695" s="8"/>
    </row>
    <row r="9696" spans="16:16" x14ac:dyDescent="0.35">
      <c r="P9696" s="8"/>
    </row>
    <row r="9697" spans="16:16" x14ac:dyDescent="0.35">
      <c r="P9697" s="8"/>
    </row>
    <row r="9698" spans="16:16" x14ac:dyDescent="0.35">
      <c r="P9698" s="8"/>
    </row>
    <row r="9699" spans="16:16" x14ac:dyDescent="0.35">
      <c r="P9699" s="8"/>
    </row>
    <row r="9700" spans="16:16" x14ac:dyDescent="0.35">
      <c r="P9700" s="8"/>
    </row>
    <row r="9701" spans="16:16" x14ac:dyDescent="0.35">
      <c r="P9701" s="8"/>
    </row>
    <row r="9702" spans="16:16" x14ac:dyDescent="0.35">
      <c r="P9702" s="8"/>
    </row>
    <row r="9703" spans="16:16" x14ac:dyDescent="0.35">
      <c r="P9703" s="8"/>
    </row>
    <row r="9704" spans="16:16" x14ac:dyDescent="0.35">
      <c r="P9704" s="8"/>
    </row>
    <row r="9705" spans="16:16" x14ac:dyDescent="0.35">
      <c r="P9705" s="8"/>
    </row>
    <row r="9706" spans="16:16" x14ac:dyDescent="0.35">
      <c r="P9706" s="8"/>
    </row>
    <row r="9707" spans="16:16" x14ac:dyDescent="0.35">
      <c r="P9707" s="8"/>
    </row>
    <row r="9708" spans="16:16" x14ac:dyDescent="0.35">
      <c r="P9708" s="8"/>
    </row>
    <row r="9709" spans="16:16" x14ac:dyDescent="0.35">
      <c r="P9709" s="8"/>
    </row>
    <row r="9710" spans="16:16" x14ac:dyDescent="0.35">
      <c r="P9710" s="8"/>
    </row>
    <row r="9711" spans="16:16" x14ac:dyDescent="0.35">
      <c r="P9711" s="8"/>
    </row>
    <row r="9712" spans="16:16" x14ac:dyDescent="0.35">
      <c r="P9712" s="8"/>
    </row>
    <row r="9713" spans="16:16" x14ac:dyDescent="0.35">
      <c r="P9713" s="8"/>
    </row>
    <row r="9714" spans="16:16" x14ac:dyDescent="0.35">
      <c r="P9714" s="8"/>
    </row>
    <row r="9715" spans="16:16" x14ac:dyDescent="0.35">
      <c r="P9715" s="8"/>
    </row>
    <row r="9716" spans="16:16" x14ac:dyDescent="0.35">
      <c r="P9716" s="8"/>
    </row>
    <row r="9717" spans="16:16" x14ac:dyDescent="0.35">
      <c r="P9717" s="8"/>
    </row>
    <row r="9718" spans="16:16" x14ac:dyDescent="0.35">
      <c r="P9718" s="8"/>
    </row>
    <row r="9719" spans="16:16" x14ac:dyDescent="0.35">
      <c r="P9719" s="8"/>
    </row>
    <row r="9720" spans="16:16" x14ac:dyDescent="0.35">
      <c r="P9720" s="8"/>
    </row>
    <row r="9721" spans="16:16" x14ac:dyDescent="0.35">
      <c r="P9721" s="8"/>
    </row>
    <row r="9722" spans="16:16" x14ac:dyDescent="0.35">
      <c r="P9722" s="8"/>
    </row>
    <row r="9723" spans="16:16" x14ac:dyDescent="0.35">
      <c r="P9723" s="8"/>
    </row>
    <row r="9724" spans="16:16" x14ac:dyDescent="0.35">
      <c r="P9724" s="8"/>
    </row>
    <row r="9725" spans="16:16" x14ac:dyDescent="0.35">
      <c r="P9725" s="8"/>
    </row>
    <row r="9726" spans="16:16" x14ac:dyDescent="0.35">
      <c r="P9726" s="8"/>
    </row>
    <row r="9727" spans="16:16" x14ac:dyDescent="0.35">
      <c r="P9727" s="8"/>
    </row>
    <row r="9728" spans="16:16" x14ac:dyDescent="0.35">
      <c r="P9728" s="8"/>
    </row>
    <row r="9729" spans="16:16" x14ac:dyDescent="0.35">
      <c r="P9729" s="8"/>
    </row>
    <row r="9730" spans="16:16" x14ac:dyDescent="0.35">
      <c r="P9730" s="8"/>
    </row>
    <row r="9731" spans="16:16" x14ac:dyDescent="0.35">
      <c r="P9731" s="8"/>
    </row>
    <row r="9732" spans="16:16" x14ac:dyDescent="0.35">
      <c r="P9732" s="8"/>
    </row>
    <row r="9733" spans="16:16" x14ac:dyDescent="0.35">
      <c r="P9733" s="8"/>
    </row>
    <row r="9734" spans="16:16" x14ac:dyDescent="0.35">
      <c r="P9734" s="8"/>
    </row>
    <row r="9735" spans="16:16" x14ac:dyDescent="0.35">
      <c r="P9735" s="8"/>
    </row>
    <row r="9736" spans="16:16" x14ac:dyDescent="0.35">
      <c r="P9736" s="8"/>
    </row>
    <row r="9737" spans="16:16" x14ac:dyDescent="0.35">
      <c r="P9737" s="8"/>
    </row>
    <row r="9738" spans="16:16" x14ac:dyDescent="0.35">
      <c r="P9738" s="8"/>
    </row>
    <row r="9739" spans="16:16" x14ac:dyDescent="0.35">
      <c r="P9739" s="8"/>
    </row>
    <row r="9740" spans="16:16" x14ac:dyDescent="0.35">
      <c r="P9740" s="8"/>
    </row>
    <row r="9741" spans="16:16" x14ac:dyDescent="0.35">
      <c r="P9741" s="8"/>
    </row>
    <row r="9742" spans="16:16" x14ac:dyDescent="0.35">
      <c r="P9742" s="8"/>
    </row>
    <row r="9743" spans="16:16" x14ac:dyDescent="0.35">
      <c r="P9743" s="8"/>
    </row>
    <row r="9744" spans="16:16" x14ac:dyDescent="0.35">
      <c r="P9744" s="8"/>
    </row>
    <row r="9745" spans="16:16" x14ac:dyDescent="0.35">
      <c r="P9745" s="8"/>
    </row>
    <row r="9746" spans="16:16" x14ac:dyDescent="0.35">
      <c r="P9746" s="8"/>
    </row>
    <row r="9747" spans="16:16" x14ac:dyDescent="0.35">
      <c r="P9747" s="8"/>
    </row>
    <row r="9748" spans="16:16" x14ac:dyDescent="0.35">
      <c r="P9748" s="8"/>
    </row>
    <row r="9749" spans="16:16" x14ac:dyDescent="0.35">
      <c r="P9749" s="8"/>
    </row>
    <row r="9750" spans="16:16" x14ac:dyDescent="0.35">
      <c r="P9750" s="8"/>
    </row>
    <row r="9751" spans="16:16" x14ac:dyDescent="0.35">
      <c r="P9751" s="8"/>
    </row>
    <row r="9752" spans="16:16" x14ac:dyDescent="0.35">
      <c r="P9752" s="8"/>
    </row>
    <row r="9753" spans="16:16" x14ac:dyDescent="0.35">
      <c r="P9753" s="8"/>
    </row>
    <row r="9754" spans="16:16" x14ac:dyDescent="0.35">
      <c r="P9754" s="8"/>
    </row>
    <row r="9755" spans="16:16" x14ac:dyDescent="0.35">
      <c r="P9755" s="8"/>
    </row>
    <row r="9756" spans="16:16" x14ac:dyDescent="0.35">
      <c r="P9756" s="8"/>
    </row>
    <row r="9757" spans="16:16" x14ac:dyDescent="0.35">
      <c r="P9757" s="8"/>
    </row>
    <row r="9758" spans="16:16" x14ac:dyDescent="0.35">
      <c r="P9758" s="8"/>
    </row>
    <row r="9759" spans="16:16" x14ac:dyDescent="0.35">
      <c r="P9759" s="8"/>
    </row>
    <row r="9760" spans="16:16" x14ac:dyDescent="0.35">
      <c r="P9760" s="8"/>
    </row>
    <row r="9761" spans="16:16" x14ac:dyDescent="0.35">
      <c r="P9761" s="8"/>
    </row>
    <row r="9762" spans="16:16" x14ac:dyDescent="0.35">
      <c r="P9762" s="8"/>
    </row>
    <row r="9763" spans="16:16" x14ac:dyDescent="0.35">
      <c r="P9763" s="8"/>
    </row>
    <row r="9764" spans="16:16" x14ac:dyDescent="0.35">
      <c r="P9764" s="8"/>
    </row>
    <row r="9765" spans="16:16" x14ac:dyDescent="0.35">
      <c r="P9765" s="8"/>
    </row>
    <row r="9766" spans="16:16" x14ac:dyDescent="0.35">
      <c r="P9766" s="8"/>
    </row>
    <row r="9767" spans="16:16" x14ac:dyDescent="0.35">
      <c r="P9767" s="8"/>
    </row>
    <row r="9768" spans="16:16" x14ac:dyDescent="0.35">
      <c r="P9768" s="8"/>
    </row>
    <row r="9769" spans="16:16" x14ac:dyDescent="0.35">
      <c r="P9769" s="8"/>
    </row>
    <row r="9770" spans="16:16" x14ac:dyDescent="0.35">
      <c r="P9770" s="8"/>
    </row>
    <row r="9771" spans="16:16" x14ac:dyDescent="0.35">
      <c r="P9771" s="8"/>
    </row>
    <row r="9772" spans="16:16" x14ac:dyDescent="0.35">
      <c r="P9772" s="8"/>
    </row>
    <row r="9773" spans="16:16" x14ac:dyDescent="0.35">
      <c r="P9773" s="8"/>
    </row>
    <row r="9774" spans="16:16" x14ac:dyDescent="0.35">
      <c r="P9774" s="8"/>
    </row>
    <row r="9775" spans="16:16" x14ac:dyDescent="0.35">
      <c r="P9775" s="8"/>
    </row>
    <row r="9776" spans="16:16" x14ac:dyDescent="0.35">
      <c r="P9776" s="8"/>
    </row>
    <row r="9777" spans="16:16" x14ac:dyDescent="0.35">
      <c r="P9777" s="8"/>
    </row>
    <row r="9778" spans="16:16" x14ac:dyDescent="0.35">
      <c r="P9778" s="8"/>
    </row>
    <row r="9779" spans="16:16" x14ac:dyDescent="0.35">
      <c r="P9779" s="8"/>
    </row>
    <row r="9780" spans="16:16" x14ac:dyDescent="0.35">
      <c r="P9780" s="8"/>
    </row>
    <row r="9781" spans="16:16" x14ac:dyDescent="0.35">
      <c r="P9781" s="8"/>
    </row>
    <row r="9782" spans="16:16" x14ac:dyDescent="0.35">
      <c r="P9782" s="8"/>
    </row>
    <row r="9783" spans="16:16" x14ac:dyDescent="0.35">
      <c r="P9783" s="8"/>
    </row>
    <row r="9784" spans="16:16" x14ac:dyDescent="0.35">
      <c r="P9784" s="8"/>
    </row>
    <row r="9785" spans="16:16" x14ac:dyDescent="0.35">
      <c r="P9785" s="8"/>
    </row>
    <row r="9786" spans="16:16" x14ac:dyDescent="0.35">
      <c r="P9786" s="8"/>
    </row>
    <row r="9787" spans="16:16" x14ac:dyDescent="0.35">
      <c r="P9787" s="8"/>
    </row>
    <row r="9788" spans="16:16" x14ac:dyDescent="0.35">
      <c r="P9788" s="8"/>
    </row>
    <row r="9789" spans="16:16" x14ac:dyDescent="0.35">
      <c r="P9789" s="8"/>
    </row>
    <row r="9790" spans="16:16" x14ac:dyDescent="0.35">
      <c r="P9790" s="8"/>
    </row>
    <row r="9791" spans="16:16" x14ac:dyDescent="0.35">
      <c r="P9791" s="8"/>
    </row>
    <row r="9792" spans="16:16" x14ac:dyDescent="0.35">
      <c r="P9792" s="8"/>
    </row>
    <row r="9793" spans="16:16" x14ac:dyDescent="0.35">
      <c r="P9793" s="8"/>
    </row>
    <row r="9794" spans="16:16" x14ac:dyDescent="0.35">
      <c r="P9794" s="8"/>
    </row>
    <row r="9795" spans="16:16" x14ac:dyDescent="0.35">
      <c r="P9795" s="8"/>
    </row>
    <row r="9796" spans="16:16" x14ac:dyDescent="0.35">
      <c r="P9796" s="8"/>
    </row>
    <row r="9797" spans="16:16" x14ac:dyDescent="0.35">
      <c r="P9797" s="8"/>
    </row>
    <row r="9798" spans="16:16" x14ac:dyDescent="0.35">
      <c r="P9798" s="8"/>
    </row>
    <row r="9799" spans="16:16" x14ac:dyDescent="0.35">
      <c r="P9799" s="8"/>
    </row>
    <row r="9800" spans="16:16" x14ac:dyDescent="0.35">
      <c r="P9800" s="8"/>
    </row>
    <row r="9801" spans="16:16" x14ac:dyDescent="0.35">
      <c r="P9801" s="8"/>
    </row>
    <row r="9802" spans="16:16" x14ac:dyDescent="0.35">
      <c r="P9802" s="8"/>
    </row>
    <row r="9803" spans="16:16" x14ac:dyDescent="0.35">
      <c r="P9803" s="8"/>
    </row>
    <row r="9804" spans="16:16" x14ac:dyDescent="0.35">
      <c r="P9804" s="8"/>
    </row>
    <row r="9805" spans="16:16" x14ac:dyDescent="0.35">
      <c r="P9805" s="8"/>
    </row>
    <row r="9806" spans="16:16" x14ac:dyDescent="0.35">
      <c r="P9806" s="8"/>
    </row>
    <row r="9807" spans="16:16" x14ac:dyDescent="0.35">
      <c r="P9807" s="8"/>
    </row>
    <row r="9808" spans="16:16" x14ac:dyDescent="0.35">
      <c r="P9808" s="8"/>
    </row>
    <row r="9809" spans="16:16" x14ac:dyDescent="0.35">
      <c r="P9809" s="8"/>
    </row>
    <row r="9810" spans="16:16" x14ac:dyDescent="0.35">
      <c r="P9810" s="8"/>
    </row>
    <row r="9811" spans="16:16" x14ac:dyDescent="0.35">
      <c r="P9811" s="8"/>
    </row>
    <row r="9812" spans="16:16" x14ac:dyDescent="0.35">
      <c r="P9812" s="8"/>
    </row>
    <row r="9813" spans="16:16" x14ac:dyDescent="0.35">
      <c r="P9813" s="8"/>
    </row>
    <row r="9814" spans="16:16" x14ac:dyDescent="0.35">
      <c r="P9814" s="8"/>
    </row>
    <row r="9815" spans="16:16" x14ac:dyDescent="0.35">
      <c r="P9815" s="8"/>
    </row>
    <row r="9816" spans="16:16" x14ac:dyDescent="0.35">
      <c r="P9816" s="8"/>
    </row>
    <row r="9817" spans="16:16" x14ac:dyDescent="0.35">
      <c r="P9817" s="8"/>
    </row>
    <row r="9818" spans="16:16" x14ac:dyDescent="0.35">
      <c r="P9818" s="8"/>
    </row>
    <row r="9819" spans="16:16" x14ac:dyDescent="0.35">
      <c r="P9819" s="8"/>
    </row>
    <row r="9820" spans="16:16" x14ac:dyDescent="0.35">
      <c r="P9820" s="8"/>
    </row>
    <row r="9821" spans="16:16" x14ac:dyDescent="0.35">
      <c r="P9821" s="8"/>
    </row>
    <row r="9822" spans="16:16" x14ac:dyDescent="0.35">
      <c r="P9822" s="8"/>
    </row>
    <row r="9823" spans="16:16" x14ac:dyDescent="0.35">
      <c r="P9823" s="8"/>
    </row>
    <row r="9824" spans="16:16" x14ac:dyDescent="0.35">
      <c r="P9824" s="8"/>
    </row>
    <row r="9825" spans="16:16" x14ac:dyDescent="0.35">
      <c r="P9825" s="8"/>
    </row>
    <row r="9826" spans="16:16" x14ac:dyDescent="0.35">
      <c r="P9826" s="8"/>
    </row>
    <row r="9827" spans="16:16" x14ac:dyDescent="0.35">
      <c r="P9827" s="8"/>
    </row>
    <row r="9828" spans="16:16" x14ac:dyDescent="0.35">
      <c r="P9828" s="8"/>
    </row>
    <row r="9829" spans="16:16" x14ac:dyDescent="0.35">
      <c r="P9829" s="8"/>
    </row>
    <row r="9830" spans="16:16" x14ac:dyDescent="0.35">
      <c r="P9830" s="8"/>
    </row>
    <row r="9831" spans="16:16" x14ac:dyDescent="0.35">
      <c r="P9831" s="8"/>
    </row>
    <row r="9832" spans="16:16" x14ac:dyDescent="0.35">
      <c r="P9832" s="8"/>
    </row>
    <row r="9833" spans="16:16" x14ac:dyDescent="0.35">
      <c r="P9833" s="8"/>
    </row>
    <row r="9834" spans="16:16" x14ac:dyDescent="0.35">
      <c r="P9834" s="8"/>
    </row>
    <row r="9835" spans="16:16" x14ac:dyDescent="0.35">
      <c r="P9835" s="8"/>
    </row>
    <row r="9836" spans="16:16" x14ac:dyDescent="0.35">
      <c r="P9836" s="8"/>
    </row>
    <row r="9837" spans="16:16" x14ac:dyDescent="0.35">
      <c r="P9837" s="8"/>
    </row>
    <row r="9838" spans="16:16" x14ac:dyDescent="0.35">
      <c r="P9838" s="8"/>
    </row>
    <row r="9839" spans="16:16" x14ac:dyDescent="0.35">
      <c r="P9839" s="8"/>
    </row>
    <row r="9840" spans="16:16" x14ac:dyDescent="0.35">
      <c r="P9840" s="8"/>
    </row>
    <row r="9841" spans="16:16" x14ac:dyDescent="0.35">
      <c r="P9841" s="8"/>
    </row>
    <row r="9842" spans="16:16" x14ac:dyDescent="0.35">
      <c r="P9842" s="8"/>
    </row>
    <row r="9843" spans="16:16" x14ac:dyDescent="0.35">
      <c r="P9843" s="8"/>
    </row>
    <row r="9844" spans="16:16" x14ac:dyDescent="0.35">
      <c r="P9844" s="8"/>
    </row>
    <row r="9845" spans="16:16" x14ac:dyDescent="0.35">
      <c r="P9845" s="8"/>
    </row>
    <row r="9846" spans="16:16" x14ac:dyDescent="0.35">
      <c r="P9846" s="8"/>
    </row>
    <row r="9847" spans="16:16" x14ac:dyDescent="0.35">
      <c r="P9847" s="8"/>
    </row>
    <row r="9848" spans="16:16" x14ac:dyDescent="0.35">
      <c r="P9848" s="8"/>
    </row>
    <row r="9849" spans="16:16" x14ac:dyDescent="0.35">
      <c r="P9849" s="8"/>
    </row>
    <row r="9850" spans="16:16" x14ac:dyDescent="0.35">
      <c r="P9850" s="8"/>
    </row>
    <row r="9851" spans="16:16" x14ac:dyDescent="0.35">
      <c r="P9851" s="8"/>
    </row>
    <row r="9852" spans="16:16" x14ac:dyDescent="0.35">
      <c r="P9852" s="8"/>
    </row>
    <row r="9853" spans="16:16" x14ac:dyDescent="0.35">
      <c r="P9853" s="8"/>
    </row>
    <row r="9854" spans="16:16" x14ac:dyDescent="0.35">
      <c r="P9854" s="8"/>
    </row>
    <row r="9855" spans="16:16" x14ac:dyDescent="0.35">
      <c r="P9855" s="8"/>
    </row>
    <row r="9856" spans="16:16" x14ac:dyDescent="0.35">
      <c r="P9856" s="8"/>
    </row>
    <row r="9857" spans="16:16" x14ac:dyDescent="0.35">
      <c r="P9857" s="8"/>
    </row>
    <row r="9858" spans="16:16" x14ac:dyDescent="0.35">
      <c r="P9858" s="8"/>
    </row>
    <row r="9859" spans="16:16" x14ac:dyDescent="0.35">
      <c r="P9859" s="8"/>
    </row>
    <row r="9860" spans="16:16" x14ac:dyDescent="0.35">
      <c r="P9860" s="8"/>
    </row>
    <row r="9861" spans="16:16" x14ac:dyDescent="0.35">
      <c r="P9861" s="8"/>
    </row>
    <row r="9862" spans="16:16" x14ac:dyDescent="0.35">
      <c r="P9862" s="8"/>
    </row>
    <row r="9863" spans="16:16" x14ac:dyDescent="0.35">
      <c r="P9863" s="8"/>
    </row>
    <row r="9864" spans="16:16" x14ac:dyDescent="0.35">
      <c r="P9864" s="8"/>
    </row>
    <row r="9865" spans="16:16" x14ac:dyDescent="0.35">
      <c r="P9865" s="8"/>
    </row>
    <row r="9866" spans="16:16" x14ac:dyDescent="0.35">
      <c r="P9866" s="8"/>
    </row>
    <row r="9867" spans="16:16" x14ac:dyDescent="0.35">
      <c r="P9867" s="8"/>
    </row>
    <row r="9868" spans="16:16" x14ac:dyDescent="0.35">
      <c r="P9868" s="8"/>
    </row>
    <row r="9869" spans="16:16" x14ac:dyDescent="0.35">
      <c r="P9869" s="8"/>
    </row>
    <row r="9870" spans="16:16" x14ac:dyDescent="0.35">
      <c r="P9870" s="8"/>
    </row>
    <row r="9871" spans="16:16" x14ac:dyDescent="0.35">
      <c r="P9871" s="8"/>
    </row>
    <row r="9872" spans="16:16" x14ac:dyDescent="0.35">
      <c r="P9872" s="8"/>
    </row>
    <row r="9873" spans="16:16" x14ac:dyDescent="0.35">
      <c r="P9873" s="8"/>
    </row>
    <row r="9874" spans="16:16" x14ac:dyDescent="0.35">
      <c r="P9874" s="8"/>
    </row>
    <row r="9875" spans="16:16" x14ac:dyDescent="0.35">
      <c r="P9875" s="8"/>
    </row>
    <row r="9876" spans="16:16" x14ac:dyDescent="0.35">
      <c r="P9876" s="8"/>
    </row>
    <row r="9877" spans="16:16" x14ac:dyDescent="0.35">
      <c r="P9877" s="8"/>
    </row>
    <row r="9878" spans="16:16" x14ac:dyDescent="0.35">
      <c r="P9878" s="8"/>
    </row>
    <row r="9879" spans="16:16" x14ac:dyDescent="0.35">
      <c r="P9879" s="8"/>
    </row>
    <row r="9880" spans="16:16" x14ac:dyDescent="0.35">
      <c r="P9880" s="8"/>
    </row>
    <row r="9881" spans="16:16" x14ac:dyDescent="0.35">
      <c r="P9881" s="8"/>
    </row>
    <row r="9882" spans="16:16" x14ac:dyDescent="0.35">
      <c r="P9882" s="8"/>
    </row>
    <row r="9883" spans="16:16" x14ac:dyDescent="0.35">
      <c r="P9883" s="8"/>
    </row>
    <row r="9884" spans="16:16" x14ac:dyDescent="0.35">
      <c r="P9884" s="8"/>
    </row>
    <row r="9885" spans="16:16" x14ac:dyDescent="0.35">
      <c r="P9885" s="8"/>
    </row>
    <row r="9886" spans="16:16" x14ac:dyDescent="0.35">
      <c r="P9886" s="8"/>
    </row>
    <row r="9887" spans="16:16" x14ac:dyDescent="0.35">
      <c r="P9887" s="8"/>
    </row>
    <row r="9888" spans="16:16" x14ac:dyDescent="0.35">
      <c r="P9888" s="8"/>
    </row>
    <row r="9889" spans="16:16" x14ac:dyDescent="0.35">
      <c r="P9889" s="8"/>
    </row>
    <row r="9890" spans="16:16" x14ac:dyDescent="0.35">
      <c r="P9890" s="8"/>
    </row>
    <row r="9891" spans="16:16" x14ac:dyDescent="0.35">
      <c r="P9891" s="8"/>
    </row>
    <row r="9892" spans="16:16" x14ac:dyDescent="0.35">
      <c r="P9892" s="8"/>
    </row>
    <row r="9893" spans="16:16" x14ac:dyDescent="0.35">
      <c r="P9893" s="8"/>
    </row>
    <row r="9894" spans="16:16" x14ac:dyDescent="0.35">
      <c r="P9894" s="8"/>
    </row>
    <row r="9895" spans="16:16" x14ac:dyDescent="0.35">
      <c r="P9895" s="8"/>
    </row>
    <row r="9896" spans="16:16" x14ac:dyDescent="0.35">
      <c r="P9896" s="8"/>
    </row>
    <row r="9897" spans="16:16" x14ac:dyDescent="0.35">
      <c r="P9897" s="8"/>
    </row>
    <row r="9898" spans="16:16" x14ac:dyDescent="0.35">
      <c r="P9898" s="8"/>
    </row>
    <row r="9899" spans="16:16" x14ac:dyDescent="0.35">
      <c r="P9899" s="8"/>
    </row>
    <row r="9900" spans="16:16" x14ac:dyDescent="0.35">
      <c r="P9900" s="8"/>
    </row>
    <row r="9901" spans="16:16" x14ac:dyDescent="0.35">
      <c r="P9901" s="8"/>
    </row>
    <row r="9902" spans="16:16" x14ac:dyDescent="0.35">
      <c r="P9902" s="8"/>
    </row>
    <row r="9903" spans="16:16" x14ac:dyDescent="0.35">
      <c r="P9903" s="8"/>
    </row>
    <row r="9904" spans="16:16" x14ac:dyDescent="0.35">
      <c r="P9904" s="8"/>
    </row>
    <row r="9905" spans="16:16" x14ac:dyDescent="0.35">
      <c r="P9905" s="8"/>
    </row>
    <row r="9906" spans="16:16" x14ac:dyDescent="0.35">
      <c r="P9906" s="8"/>
    </row>
    <row r="9907" spans="16:16" x14ac:dyDescent="0.35">
      <c r="P9907" s="8"/>
    </row>
    <row r="9908" spans="16:16" x14ac:dyDescent="0.35">
      <c r="P9908" s="8"/>
    </row>
    <row r="9909" spans="16:16" x14ac:dyDescent="0.35">
      <c r="P9909" s="8"/>
    </row>
    <row r="9910" spans="16:16" x14ac:dyDescent="0.35">
      <c r="P9910" s="8"/>
    </row>
    <row r="9911" spans="16:16" x14ac:dyDescent="0.35">
      <c r="P9911" s="8"/>
    </row>
    <row r="9912" spans="16:16" x14ac:dyDescent="0.35">
      <c r="P9912" s="8"/>
    </row>
    <row r="9913" spans="16:16" x14ac:dyDescent="0.35">
      <c r="P9913" s="8"/>
    </row>
    <row r="9914" spans="16:16" x14ac:dyDescent="0.35">
      <c r="P9914" s="8"/>
    </row>
    <row r="9915" spans="16:16" x14ac:dyDescent="0.35">
      <c r="P9915" s="8"/>
    </row>
    <row r="9916" spans="16:16" x14ac:dyDescent="0.35">
      <c r="P9916" s="8"/>
    </row>
    <row r="9917" spans="16:16" x14ac:dyDescent="0.35">
      <c r="P9917" s="8"/>
    </row>
    <row r="9918" spans="16:16" x14ac:dyDescent="0.35">
      <c r="P9918" s="8"/>
    </row>
    <row r="9919" spans="16:16" x14ac:dyDescent="0.35">
      <c r="P9919" s="8"/>
    </row>
    <row r="9920" spans="16:16" x14ac:dyDescent="0.35">
      <c r="P9920" s="8"/>
    </row>
    <row r="9921" spans="16:16" x14ac:dyDescent="0.35">
      <c r="P9921" s="8"/>
    </row>
    <row r="9922" spans="16:16" x14ac:dyDescent="0.35">
      <c r="P9922" s="8"/>
    </row>
    <row r="9923" spans="16:16" x14ac:dyDescent="0.35">
      <c r="P9923" s="8"/>
    </row>
    <row r="9924" spans="16:16" x14ac:dyDescent="0.35">
      <c r="P9924" s="8"/>
    </row>
    <row r="9925" spans="16:16" x14ac:dyDescent="0.35">
      <c r="P9925" s="8"/>
    </row>
    <row r="9926" spans="16:16" x14ac:dyDescent="0.35">
      <c r="P9926" s="8"/>
    </row>
    <row r="9927" spans="16:16" x14ac:dyDescent="0.35">
      <c r="P9927" s="8"/>
    </row>
    <row r="9928" spans="16:16" x14ac:dyDescent="0.35">
      <c r="P9928" s="8"/>
    </row>
    <row r="9929" spans="16:16" x14ac:dyDescent="0.35">
      <c r="P9929" s="8"/>
    </row>
    <row r="9930" spans="16:16" x14ac:dyDescent="0.35">
      <c r="P9930" s="8"/>
    </row>
    <row r="9931" spans="16:16" x14ac:dyDescent="0.35">
      <c r="P9931" s="8"/>
    </row>
    <row r="9932" spans="16:16" x14ac:dyDescent="0.35">
      <c r="P9932" s="8"/>
    </row>
    <row r="9933" spans="16:16" x14ac:dyDescent="0.35">
      <c r="P9933" s="8"/>
    </row>
    <row r="9934" spans="16:16" x14ac:dyDescent="0.35">
      <c r="P9934" s="8"/>
    </row>
    <row r="9935" spans="16:16" x14ac:dyDescent="0.35">
      <c r="P9935" s="8"/>
    </row>
    <row r="9936" spans="16:16" x14ac:dyDescent="0.35">
      <c r="P9936" s="8"/>
    </row>
    <row r="9937" spans="16:16" x14ac:dyDescent="0.35">
      <c r="P9937" s="8"/>
    </row>
    <row r="9938" spans="16:16" x14ac:dyDescent="0.35">
      <c r="P9938" s="8"/>
    </row>
    <row r="9939" spans="16:16" x14ac:dyDescent="0.35">
      <c r="P9939" s="8"/>
    </row>
    <row r="9940" spans="16:16" x14ac:dyDescent="0.35">
      <c r="P9940" s="8"/>
    </row>
    <row r="9941" spans="16:16" x14ac:dyDescent="0.35">
      <c r="P9941" s="8"/>
    </row>
    <row r="9942" spans="16:16" x14ac:dyDescent="0.35">
      <c r="P9942" s="8"/>
    </row>
    <row r="9943" spans="16:16" x14ac:dyDescent="0.35">
      <c r="P9943" s="8"/>
    </row>
    <row r="9944" spans="16:16" x14ac:dyDescent="0.35">
      <c r="P9944" s="8"/>
    </row>
    <row r="9945" spans="16:16" x14ac:dyDescent="0.35">
      <c r="P9945" s="8"/>
    </row>
    <row r="9946" spans="16:16" x14ac:dyDescent="0.35">
      <c r="P9946" s="8"/>
    </row>
    <row r="9947" spans="16:16" x14ac:dyDescent="0.35">
      <c r="P9947" s="8"/>
    </row>
    <row r="9948" spans="16:16" x14ac:dyDescent="0.35">
      <c r="P9948" s="8"/>
    </row>
    <row r="9949" spans="16:16" x14ac:dyDescent="0.35">
      <c r="P9949" s="8"/>
    </row>
    <row r="9950" spans="16:16" x14ac:dyDescent="0.35">
      <c r="P9950" s="8"/>
    </row>
    <row r="9951" spans="16:16" x14ac:dyDescent="0.35">
      <c r="P9951" s="8"/>
    </row>
    <row r="9952" spans="16:16" x14ac:dyDescent="0.35">
      <c r="P9952" s="8"/>
    </row>
    <row r="9953" spans="16:16" x14ac:dyDescent="0.35">
      <c r="P9953" s="8"/>
    </row>
    <row r="9954" spans="16:16" x14ac:dyDescent="0.35">
      <c r="P9954" s="8"/>
    </row>
    <row r="9955" spans="16:16" x14ac:dyDescent="0.35">
      <c r="P9955" s="8"/>
    </row>
    <row r="9956" spans="16:16" x14ac:dyDescent="0.35">
      <c r="P9956" s="8"/>
    </row>
    <row r="9957" spans="16:16" x14ac:dyDescent="0.35">
      <c r="P9957" s="8"/>
    </row>
    <row r="9958" spans="16:16" x14ac:dyDescent="0.35">
      <c r="P9958" s="8"/>
    </row>
    <row r="9959" spans="16:16" x14ac:dyDescent="0.35">
      <c r="P9959" s="8"/>
    </row>
    <row r="9960" spans="16:16" x14ac:dyDescent="0.35">
      <c r="P9960" s="8"/>
    </row>
    <row r="9961" spans="16:16" x14ac:dyDescent="0.35">
      <c r="P9961" s="8"/>
    </row>
    <row r="9962" spans="16:16" x14ac:dyDescent="0.35">
      <c r="P9962" s="8"/>
    </row>
    <row r="9963" spans="16:16" x14ac:dyDescent="0.35">
      <c r="P9963" s="8"/>
    </row>
    <row r="9964" spans="16:16" x14ac:dyDescent="0.35">
      <c r="P9964" s="8"/>
    </row>
    <row r="9965" spans="16:16" x14ac:dyDescent="0.35">
      <c r="P9965" s="8"/>
    </row>
    <row r="9966" spans="16:16" x14ac:dyDescent="0.35">
      <c r="P9966" s="8"/>
    </row>
    <row r="9967" spans="16:16" x14ac:dyDescent="0.35">
      <c r="P9967" s="8"/>
    </row>
    <row r="9968" spans="16:16" x14ac:dyDescent="0.35">
      <c r="P9968" s="8"/>
    </row>
    <row r="9969" spans="16:16" x14ac:dyDescent="0.35">
      <c r="P9969" s="8"/>
    </row>
    <row r="9970" spans="16:16" x14ac:dyDescent="0.35">
      <c r="P9970" s="8"/>
    </row>
    <row r="9971" spans="16:16" x14ac:dyDescent="0.35">
      <c r="P9971" s="8"/>
    </row>
    <row r="9972" spans="16:16" x14ac:dyDescent="0.35">
      <c r="P9972" s="8"/>
    </row>
    <row r="9973" spans="16:16" x14ac:dyDescent="0.35">
      <c r="P9973" s="8"/>
    </row>
    <row r="9974" spans="16:16" x14ac:dyDescent="0.35">
      <c r="P9974" s="8"/>
    </row>
    <row r="9975" spans="16:16" x14ac:dyDescent="0.35">
      <c r="P9975" s="8"/>
    </row>
    <row r="9976" spans="16:16" x14ac:dyDescent="0.35">
      <c r="P9976" s="8"/>
    </row>
    <row r="9977" spans="16:16" x14ac:dyDescent="0.35">
      <c r="P9977" s="8"/>
    </row>
    <row r="9978" spans="16:16" x14ac:dyDescent="0.35">
      <c r="P9978" s="8"/>
    </row>
    <row r="9979" spans="16:16" x14ac:dyDescent="0.35">
      <c r="P9979" s="8"/>
    </row>
    <row r="9980" spans="16:16" x14ac:dyDescent="0.35">
      <c r="P9980" s="8"/>
    </row>
    <row r="9981" spans="16:16" x14ac:dyDescent="0.35">
      <c r="P9981" s="8"/>
    </row>
    <row r="9982" spans="16:16" x14ac:dyDescent="0.35">
      <c r="P9982" s="8"/>
    </row>
    <row r="9983" spans="16:16" x14ac:dyDescent="0.35">
      <c r="P9983" s="8"/>
    </row>
    <row r="9984" spans="16:16" x14ac:dyDescent="0.35">
      <c r="P9984" s="8"/>
    </row>
    <row r="9985" spans="16:16" x14ac:dyDescent="0.35">
      <c r="P9985" s="8"/>
    </row>
    <row r="9986" spans="16:16" x14ac:dyDescent="0.35">
      <c r="P9986" s="8"/>
    </row>
    <row r="9987" spans="16:16" x14ac:dyDescent="0.35">
      <c r="P9987" s="8"/>
    </row>
    <row r="9988" spans="16:16" x14ac:dyDescent="0.35">
      <c r="P9988" s="8"/>
    </row>
    <row r="9989" spans="16:16" x14ac:dyDescent="0.35">
      <c r="P9989" s="8"/>
    </row>
    <row r="9990" spans="16:16" x14ac:dyDescent="0.35">
      <c r="P9990" s="8"/>
    </row>
    <row r="9991" spans="16:16" x14ac:dyDescent="0.35">
      <c r="P9991" s="8"/>
    </row>
    <row r="9992" spans="16:16" x14ac:dyDescent="0.35">
      <c r="P9992" s="8"/>
    </row>
    <row r="9993" spans="16:16" x14ac:dyDescent="0.35">
      <c r="P9993" s="8"/>
    </row>
    <row r="9994" spans="16:16" x14ac:dyDescent="0.35">
      <c r="P9994" s="8"/>
    </row>
    <row r="9995" spans="16:16" x14ac:dyDescent="0.35">
      <c r="P9995" s="8"/>
    </row>
    <row r="9996" spans="16:16" x14ac:dyDescent="0.35">
      <c r="P9996" s="8"/>
    </row>
    <row r="9997" spans="16:16" x14ac:dyDescent="0.35">
      <c r="P9997" s="8"/>
    </row>
    <row r="9998" spans="16:16" x14ac:dyDescent="0.35">
      <c r="P9998" s="8"/>
    </row>
    <row r="9999" spans="16:16" x14ac:dyDescent="0.35">
      <c r="P9999" s="8"/>
    </row>
    <row r="10000" spans="16:16" x14ac:dyDescent="0.35">
      <c r="P10000" s="8"/>
    </row>
    <row r="10001" spans="16:16" x14ac:dyDescent="0.35">
      <c r="P10001" s="8"/>
    </row>
    <row r="10002" spans="16:16" x14ac:dyDescent="0.35">
      <c r="P10002" s="8"/>
    </row>
    <row r="10003" spans="16:16" x14ac:dyDescent="0.35">
      <c r="P10003" s="8"/>
    </row>
    <row r="10004" spans="16:16" x14ac:dyDescent="0.35">
      <c r="P10004" s="8"/>
    </row>
    <row r="10005" spans="16:16" x14ac:dyDescent="0.35">
      <c r="P10005" s="8"/>
    </row>
    <row r="10006" spans="16:16" x14ac:dyDescent="0.35">
      <c r="P10006" s="8"/>
    </row>
    <row r="10007" spans="16:16" x14ac:dyDescent="0.35">
      <c r="P10007" s="8"/>
    </row>
    <row r="10008" spans="16:16" x14ac:dyDescent="0.35">
      <c r="P10008" s="8"/>
    </row>
    <row r="10009" spans="16:16" x14ac:dyDescent="0.35">
      <c r="P10009" s="8"/>
    </row>
    <row r="10010" spans="16:16" x14ac:dyDescent="0.35">
      <c r="P10010" s="8"/>
    </row>
    <row r="10011" spans="16:16" x14ac:dyDescent="0.35">
      <c r="P10011" s="8"/>
    </row>
    <row r="10012" spans="16:16" x14ac:dyDescent="0.35">
      <c r="P10012" s="8"/>
    </row>
    <row r="10013" spans="16:16" x14ac:dyDescent="0.35">
      <c r="P10013" s="8"/>
    </row>
    <row r="10014" spans="16:16" x14ac:dyDescent="0.35">
      <c r="P10014" s="8"/>
    </row>
    <row r="10015" spans="16:16" x14ac:dyDescent="0.35">
      <c r="P10015" s="8"/>
    </row>
    <row r="10016" spans="16:16" x14ac:dyDescent="0.35">
      <c r="P10016" s="8"/>
    </row>
    <row r="10017" spans="16:16" x14ac:dyDescent="0.35">
      <c r="P10017" s="8"/>
    </row>
    <row r="10018" spans="16:16" x14ac:dyDescent="0.35">
      <c r="P10018" s="8"/>
    </row>
    <row r="10019" spans="16:16" x14ac:dyDescent="0.35">
      <c r="P10019" s="8"/>
    </row>
    <row r="10020" spans="16:16" x14ac:dyDescent="0.35">
      <c r="P10020" s="8"/>
    </row>
    <row r="10021" spans="16:16" x14ac:dyDescent="0.35">
      <c r="P10021" s="8"/>
    </row>
    <row r="10022" spans="16:16" x14ac:dyDescent="0.35">
      <c r="P10022" s="8"/>
    </row>
    <row r="10023" spans="16:16" x14ac:dyDescent="0.35">
      <c r="P10023" s="8"/>
    </row>
    <row r="10024" spans="16:16" x14ac:dyDescent="0.35">
      <c r="P10024" s="8"/>
    </row>
    <row r="10025" spans="16:16" x14ac:dyDescent="0.35">
      <c r="P10025" s="8"/>
    </row>
    <row r="10026" spans="16:16" x14ac:dyDescent="0.35">
      <c r="P10026" s="8"/>
    </row>
    <row r="10027" spans="16:16" x14ac:dyDescent="0.35">
      <c r="P10027" s="8"/>
    </row>
    <row r="10028" spans="16:16" x14ac:dyDescent="0.35">
      <c r="P10028" s="8"/>
    </row>
    <row r="10029" spans="16:16" x14ac:dyDescent="0.35">
      <c r="P10029" s="8"/>
    </row>
    <row r="10030" spans="16:16" x14ac:dyDescent="0.35">
      <c r="P10030" s="8"/>
    </row>
    <row r="10031" spans="16:16" x14ac:dyDescent="0.35">
      <c r="P10031" s="8"/>
    </row>
    <row r="10032" spans="16:16" x14ac:dyDescent="0.35">
      <c r="P10032" s="8"/>
    </row>
    <row r="10033" spans="16:16" x14ac:dyDescent="0.35">
      <c r="P10033" s="8"/>
    </row>
    <row r="10034" spans="16:16" x14ac:dyDescent="0.35">
      <c r="P10034" s="8"/>
    </row>
    <row r="10035" spans="16:16" x14ac:dyDescent="0.35">
      <c r="P10035" s="8"/>
    </row>
    <row r="10036" spans="16:16" x14ac:dyDescent="0.35">
      <c r="P10036" s="8"/>
    </row>
    <row r="10037" spans="16:16" x14ac:dyDescent="0.35">
      <c r="P10037" s="8"/>
    </row>
    <row r="10038" spans="16:16" x14ac:dyDescent="0.35">
      <c r="P10038" s="8"/>
    </row>
    <row r="10039" spans="16:16" x14ac:dyDescent="0.35">
      <c r="P10039" s="8"/>
    </row>
    <row r="10040" spans="16:16" x14ac:dyDescent="0.35">
      <c r="P10040" s="8"/>
    </row>
    <row r="10041" spans="16:16" x14ac:dyDescent="0.35">
      <c r="P10041" s="8"/>
    </row>
    <row r="10042" spans="16:16" x14ac:dyDescent="0.35">
      <c r="P10042" s="8"/>
    </row>
    <row r="10043" spans="16:16" x14ac:dyDescent="0.35">
      <c r="P10043" s="8"/>
    </row>
    <row r="10044" spans="16:16" x14ac:dyDescent="0.35">
      <c r="P10044" s="8"/>
    </row>
    <row r="10045" spans="16:16" x14ac:dyDescent="0.35">
      <c r="P10045" s="8"/>
    </row>
    <row r="10046" spans="16:16" x14ac:dyDescent="0.35">
      <c r="P10046" s="8"/>
    </row>
    <row r="10047" spans="16:16" x14ac:dyDescent="0.35">
      <c r="P10047" s="8"/>
    </row>
    <row r="10048" spans="16:16" x14ac:dyDescent="0.35">
      <c r="P10048" s="8"/>
    </row>
    <row r="10049" spans="16:16" x14ac:dyDescent="0.35">
      <c r="P10049" s="8"/>
    </row>
    <row r="10050" spans="16:16" x14ac:dyDescent="0.35">
      <c r="P10050" s="8"/>
    </row>
    <row r="10051" spans="16:16" x14ac:dyDescent="0.35">
      <c r="P10051" s="8"/>
    </row>
    <row r="10052" spans="16:16" x14ac:dyDescent="0.35">
      <c r="P10052" s="8"/>
    </row>
    <row r="10053" spans="16:16" x14ac:dyDescent="0.35">
      <c r="P10053" s="8"/>
    </row>
    <row r="10054" spans="16:16" x14ac:dyDescent="0.35">
      <c r="P10054" s="8"/>
    </row>
    <row r="10055" spans="16:16" x14ac:dyDescent="0.35">
      <c r="P10055" s="8"/>
    </row>
    <row r="10056" spans="16:16" x14ac:dyDescent="0.35">
      <c r="P10056" s="8"/>
    </row>
    <row r="10057" spans="16:16" x14ac:dyDescent="0.35">
      <c r="P10057" s="8"/>
    </row>
    <row r="10058" spans="16:16" x14ac:dyDescent="0.35">
      <c r="P10058" s="8"/>
    </row>
    <row r="10059" spans="16:16" x14ac:dyDescent="0.35">
      <c r="P10059" s="8"/>
    </row>
    <row r="10060" spans="16:16" x14ac:dyDescent="0.35">
      <c r="P10060" s="8"/>
    </row>
    <row r="10061" spans="16:16" x14ac:dyDescent="0.35">
      <c r="P10061" s="8"/>
    </row>
    <row r="10062" spans="16:16" x14ac:dyDescent="0.35">
      <c r="P10062" s="8"/>
    </row>
    <row r="10063" spans="16:16" x14ac:dyDescent="0.35">
      <c r="P10063" s="8"/>
    </row>
    <row r="10064" spans="16:16" x14ac:dyDescent="0.35">
      <c r="P10064" s="8"/>
    </row>
    <row r="10065" spans="16:16" x14ac:dyDescent="0.35">
      <c r="P10065" s="8"/>
    </row>
    <row r="10066" spans="16:16" x14ac:dyDescent="0.35">
      <c r="P10066" s="8"/>
    </row>
    <row r="10067" spans="16:16" x14ac:dyDescent="0.35">
      <c r="P10067" s="8"/>
    </row>
    <row r="10068" spans="16:16" x14ac:dyDescent="0.35">
      <c r="P10068" s="8"/>
    </row>
    <row r="10069" spans="16:16" x14ac:dyDescent="0.35">
      <c r="P10069" s="8"/>
    </row>
    <row r="10070" spans="16:16" x14ac:dyDescent="0.35">
      <c r="P10070" s="8"/>
    </row>
    <row r="10071" spans="16:16" x14ac:dyDescent="0.35">
      <c r="P10071" s="8"/>
    </row>
    <row r="10072" spans="16:16" x14ac:dyDescent="0.35">
      <c r="P10072" s="8"/>
    </row>
    <row r="10073" spans="16:16" x14ac:dyDescent="0.35">
      <c r="P10073" s="8"/>
    </row>
    <row r="10074" spans="16:16" x14ac:dyDescent="0.35">
      <c r="P10074" s="8"/>
    </row>
    <row r="10075" spans="16:16" x14ac:dyDescent="0.35">
      <c r="P10075" s="8"/>
    </row>
    <row r="10076" spans="16:16" x14ac:dyDescent="0.35">
      <c r="P10076" s="8"/>
    </row>
    <row r="10077" spans="16:16" x14ac:dyDescent="0.35">
      <c r="P10077" s="8"/>
    </row>
    <row r="10078" spans="16:16" x14ac:dyDescent="0.35">
      <c r="P10078" s="8"/>
    </row>
    <row r="10079" spans="16:16" x14ac:dyDescent="0.35">
      <c r="P10079" s="8"/>
    </row>
    <row r="10080" spans="16:16" x14ac:dyDescent="0.35">
      <c r="P10080" s="8"/>
    </row>
    <row r="10081" spans="16:16" x14ac:dyDescent="0.35">
      <c r="P10081" s="8"/>
    </row>
    <row r="10082" spans="16:16" x14ac:dyDescent="0.35">
      <c r="P10082" s="8"/>
    </row>
    <row r="10083" spans="16:16" x14ac:dyDescent="0.35">
      <c r="P10083" s="8"/>
    </row>
    <row r="10084" spans="16:16" x14ac:dyDescent="0.35">
      <c r="P10084" s="8"/>
    </row>
    <row r="10085" spans="16:16" x14ac:dyDescent="0.35">
      <c r="P10085" s="8"/>
    </row>
    <row r="10086" spans="16:16" x14ac:dyDescent="0.35">
      <c r="P10086" s="8"/>
    </row>
    <row r="10087" spans="16:16" x14ac:dyDescent="0.35">
      <c r="P10087" s="8"/>
    </row>
    <row r="10088" spans="16:16" x14ac:dyDescent="0.35">
      <c r="P10088" s="8"/>
    </row>
    <row r="10089" spans="16:16" x14ac:dyDescent="0.35">
      <c r="P10089" s="8"/>
    </row>
    <row r="10090" spans="16:16" x14ac:dyDescent="0.35">
      <c r="P10090" s="8"/>
    </row>
    <row r="10091" spans="16:16" x14ac:dyDescent="0.35">
      <c r="P10091" s="8"/>
    </row>
    <row r="10092" spans="16:16" x14ac:dyDescent="0.35">
      <c r="P10092" s="8"/>
    </row>
    <row r="10093" spans="16:16" x14ac:dyDescent="0.35">
      <c r="P10093" s="8"/>
    </row>
    <row r="10094" spans="16:16" x14ac:dyDescent="0.35">
      <c r="P10094" s="8"/>
    </row>
    <row r="10095" spans="16:16" x14ac:dyDescent="0.35">
      <c r="P10095" s="8"/>
    </row>
    <row r="10096" spans="16:16" x14ac:dyDescent="0.35">
      <c r="P10096" s="8"/>
    </row>
    <row r="10097" spans="16:16" x14ac:dyDescent="0.35">
      <c r="P10097" s="8"/>
    </row>
    <row r="10098" spans="16:16" x14ac:dyDescent="0.35">
      <c r="P10098" s="8"/>
    </row>
    <row r="10099" spans="16:16" x14ac:dyDescent="0.35">
      <c r="P10099" s="8"/>
    </row>
    <row r="10100" spans="16:16" x14ac:dyDescent="0.35">
      <c r="P10100" s="8"/>
    </row>
    <row r="10101" spans="16:16" x14ac:dyDescent="0.35">
      <c r="P10101" s="8"/>
    </row>
    <row r="10102" spans="16:16" x14ac:dyDescent="0.35">
      <c r="P10102" s="8"/>
    </row>
    <row r="10103" spans="16:16" x14ac:dyDescent="0.35">
      <c r="P10103" s="8"/>
    </row>
    <row r="10104" spans="16:16" x14ac:dyDescent="0.35">
      <c r="P10104" s="8"/>
    </row>
    <row r="10105" spans="16:16" x14ac:dyDescent="0.35">
      <c r="P10105" s="8"/>
    </row>
    <row r="10106" spans="16:16" x14ac:dyDescent="0.35">
      <c r="P10106" s="8"/>
    </row>
    <row r="10107" spans="16:16" x14ac:dyDescent="0.35">
      <c r="P10107" s="8"/>
    </row>
    <row r="10108" spans="16:16" x14ac:dyDescent="0.35">
      <c r="P10108" s="8"/>
    </row>
    <row r="10109" spans="16:16" x14ac:dyDescent="0.35">
      <c r="P10109" s="8"/>
    </row>
    <row r="10110" spans="16:16" x14ac:dyDescent="0.35">
      <c r="P10110" s="8"/>
    </row>
    <row r="10111" spans="16:16" x14ac:dyDescent="0.35">
      <c r="P10111" s="8"/>
    </row>
    <row r="10112" spans="16:16" x14ac:dyDescent="0.35">
      <c r="P10112" s="8"/>
    </row>
    <row r="10113" spans="16:16" x14ac:dyDescent="0.35">
      <c r="P10113" s="8"/>
    </row>
    <row r="10114" spans="16:16" x14ac:dyDescent="0.35">
      <c r="P10114" s="8"/>
    </row>
    <row r="10115" spans="16:16" x14ac:dyDescent="0.35">
      <c r="P10115" s="8"/>
    </row>
    <row r="10116" spans="16:16" x14ac:dyDescent="0.35">
      <c r="P10116" s="8"/>
    </row>
    <row r="10117" spans="16:16" x14ac:dyDescent="0.35">
      <c r="P10117" s="8"/>
    </row>
    <row r="10118" spans="16:16" x14ac:dyDescent="0.35">
      <c r="P10118" s="8"/>
    </row>
    <row r="10119" spans="16:16" x14ac:dyDescent="0.35">
      <c r="P10119" s="8"/>
    </row>
    <row r="10120" spans="16:16" x14ac:dyDescent="0.35">
      <c r="P10120" s="8"/>
    </row>
    <row r="10121" spans="16:16" x14ac:dyDescent="0.35">
      <c r="P10121" s="8"/>
    </row>
    <row r="10122" spans="16:16" x14ac:dyDescent="0.35">
      <c r="P10122" s="8"/>
    </row>
    <row r="10123" spans="16:16" x14ac:dyDescent="0.35">
      <c r="P10123" s="8"/>
    </row>
    <row r="10124" spans="16:16" x14ac:dyDescent="0.35">
      <c r="P10124" s="8"/>
    </row>
    <row r="10125" spans="16:16" x14ac:dyDescent="0.35">
      <c r="P10125" s="8"/>
    </row>
    <row r="10126" spans="16:16" x14ac:dyDescent="0.35">
      <c r="P10126" s="8"/>
    </row>
    <row r="10127" spans="16:16" x14ac:dyDescent="0.35">
      <c r="P10127" s="8"/>
    </row>
    <row r="10128" spans="16:16" x14ac:dyDescent="0.35">
      <c r="P10128" s="8"/>
    </row>
    <row r="10129" spans="16:16" x14ac:dyDescent="0.35">
      <c r="P10129" s="8"/>
    </row>
    <row r="10130" spans="16:16" x14ac:dyDescent="0.35">
      <c r="P10130" s="8"/>
    </row>
    <row r="10131" spans="16:16" x14ac:dyDescent="0.35">
      <c r="P10131" s="8"/>
    </row>
    <row r="10132" spans="16:16" x14ac:dyDescent="0.35">
      <c r="P10132" s="8"/>
    </row>
    <row r="10133" spans="16:16" x14ac:dyDescent="0.35">
      <c r="P10133" s="8"/>
    </row>
    <row r="10134" spans="16:16" x14ac:dyDescent="0.35">
      <c r="P10134" s="8"/>
    </row>
    <row r="10135" spans="16:16" x14ac:dyDescent="0.35">
      <c r="P10135" s="8"/>
    </row>
    <row r="10136" spans="16:16" x14ac:dyDescent="0.35">
      <c r="P10136" s="8"/>
    </row>
    <row r="10137" spans="16:16" x14ac:dyDescent="0.35">
      <c r="P10137" s="8"/>
    </row>
    <row r="10138" spans="16:16" x14ac:dyDescent="0.35">
      <c r="P10138" s="8"/>
    </row>
    <row r="10139" spans="16:16" x14ac:dyDescent="0.35">
      <c r="P10139" s="8"/>
    </row>
    <row r="10140" spans="16:16" x14ac:dyDescent="0.35">
      <c r="P10140" s="8"/>
    </row>
    <row r="10141" spans="16:16" x14ac:dyDescent="0.35">
      <c r="P10141" s="8"/>
    </row>
    <row r="10142" spans="16:16" x14ac:dyDescent="0.35">
      <c r="P10142" s="8"/>
    </row>
    <row r="10143" spans="16:16" x14ac:dyDescent="0.35">
      <c r="P10143" s="8"/>
    </row>
    <row r="10144" spans="16:16" x14ac:dyDescent="0.35">
      <c r="P10144" s="8"/>
    </row>
    <row r="10145" spans="16:16" x14ac:dyDescent="0.35">
      <c r="P10145" s="8"/>
    </row>
    <row r="10146" spans="16:16" x14ac:dyDescent="0.35">
      <c r="P10146" s="8"/>
    </row>
    <row r="10147" spans="16:16" x14ac:dyDescent="0.35">
      <c r="P10147" s="8"/>
    </row>
    <row r="10148" spans="16:16" x14ac:dyDescent="0.35">
      <c r="P10148" s="8"/>
    </row>
    <row r="10149" spans="16:16" x14ac:dyDescent="0.35">
      <c r="P10149" s="8"/>
    </row>
    <row r="10150" spans="16:16" x14ac:dyDescent="0.35">
      <c r="P10150" s="8"/>
    </row>
    <row r="10151" spans="16:16" x14ac:dyDescent="0.35">
      <c r="P10151" s="8"/>
    </row>
    <row r="10152" spans="16:16" x14ac:dyDescent="0.35">
      <c r="P10152" s="8"/>
    </row>
    <row r="10153" spans="16:16" x14ac:dyDescent="0.35">
      <c r="P10153" s="8"/>
    </row>
    <row r="10154" spans="16:16" x14ac:dyDescent="0.35">
      <c r="P10154" s="8"/>
    </row>
    <row r="10155" spans="16:16" x14ac:dyDescent="0.35">
      <c r="P10155" s="8"/>
    </row>
    <row r="10156" spans="16:16" x14ac:dyDescent="0.35">
      <c r="P10156" s="8"/>
    </row>
    <row r="10157" spans="16:16" x14ac:dyDescent="0.35">
      <c r="P10157" s="8"/>
    </row>
    <row r="10158" spans="16:16" x14ac:dyDescent="0.35">
      <c r="P10158" s="8"/>
    </row>
    <row r="10159" spans="16:16" x14ac:dyDescent="0.35">
      <c r="P10159" s="8"/>
    </row>
    <row r="10160" spans="16:16" x14ac:dyDescent="0.35">
      <c r="P10160" s="8"/>
    </row>
    <row r="10161" spans="16:16" x14ac:dyDescent="0.35">
      <c r="P10161" s="8"/>
    </row>
    <row r="10162" spans="16:16" x14ac:dyDescent="0.35">
      <c r="P10162" s="8"/>
    </row>
    <row r="10163" spans="16:16" x14ac:dyDescent="0.35">
      <c r="P10163" s="8"/>
    </row>
    <row r="10164" spans="16:16" x14ac:dyDescent="0.35">
      <c r="P10164" s="8"/>
    </row>
    <row r="10165" spans="16:16" x14ac:dyDescent="0.35">
      <c r="P10165" s="8"/>
    </row>
    <row r="10166" spans="16:16" x14ac:dyDescent="0.35">
      <c r="P10166" s="8"/>
    </row>
    <row r="10167" spans="16:16" x14ac:dyDescent="0.35">
      <c r="P10167" s="8"/>
    </row>
    <row r="10168" spans="16:16" x14ac:dyDescent="0.35">
      <c r="P10168" s="8"/>
    </row>
    <row r="10169" spans="16:16" x14ac:dyDescent="0.35">
      <c r="P10169" s="8"/>
    </row>
    <row r="10170" spans="16:16" x14ac:dyDescent="0.35">
      <c r="P10170" s="8"/>
    </row>
    <row r="10171" spans="16:16" x14ac:dyDescent="0.35">
      <c r="P10171" s="8"/>
    </row>
    <row r="10172" spans="16:16" x14ac:dyDescent="0.35">
      <c r="P10172" s="8"/>
    </row>
    <row r="10173" spans="16:16" x14ac:dyDescent="0.35">
      <c r="P10173" s="8"/>
    </row>
    <row r="10174" spans="16:16" x14ac:dyDescent="0.35">
      <c r="P10174" s="8"/>
    </row>
    <row r="10175" spans="16:16" x14ac:dyDescent="0.35">
      <c r="P10175" s="8"/>
    </row>
    <row r="10176" spans="16:16" x14ac:dyDescent="0.35">
      <c r="P10176" s="8"/>
    </row>
    <row r="10177" spans="16:16" x14ac:dyDescent="0.35">
      <c r="P10177" s="8"/>
    </row>
    <row r="10178" spans="16:16" x14ac:dyDescent="0.35">
      <c r="P10178" s="8"/>
    </row>
    <row r="10179" spans="16:16" x14ac:dyDescent="0.35">
      <c r="P10179" s="8"/>
    </row>
    <row r="10180" spans="16:16" x14ac:dyDescent="0.35">
      <c r="P10180" s="8"/>
    </row>
    <row r="10181" spans="16:16" x14ac:dyDescent="0.35">
      <c r="P10181" s="8"/>
    </row>
    <row r="10182" spans="16:16" x14ac:dyDescent="0.35">
      <c r="P10182" s="8"/>
    </row>
    <row r="10183" spans="16:16" x14ac:dyDescent="0.35">
      <c r="P10183" s="8"/>
    </row>
    <row r="10184" spans="16:16" x14ac:dyDescent="0.35">
      <c r="P10184" s="8"/>
    </row>
    <row r="10185" spans="16:16" x14ac:dyDescent="0.35">
      <c r="P10185" s="8"/>
    </row>
    <row r="10186" spans="16:16" x14ac:dyDescent="0.35">
      <c r="P10186" s="8"/>
    </row>
    <row r="10187" spans="16:16" x14ac:dyDescent="0.35">
      <c r="P10187" s="8"/>
    </row>
    <row r="10188" spans="16:16" x14ac:dyDescent="0.35">
      <c r="P10188" s="8"/>
    </row>
    <row r="10189" spans="16:16" x14ac:dyDescent="0.35">
      <c r="P10189" s="8"/>
    </row>
    <row r="10190" spans="16:16" x14ac:dyDescent="0.35">
      <c r="P10190" s="8"/>
    </row>
    <row r="10191" spans="16:16" x14ac:dyDescent="0.35">
      <c r="P10191" s="8"/>
    </row>
    <row r="10192" spans="16:16" x14ac:dyDescent="0.35">
      <c r="P10192" s="8"/>
    </row>
    <row r="10193" spans="16:16" x14ac:dyDescent="0.35">
      <c r="P10193" s="8"/>
    </row>
    <row r="10194" spans="16:16" x14ac:dyDescent="0.35">
      <c r="P10194" s="8"/>
    </row>
    <row r="10195" spans="16:16" x14ac:dyDescent="0.35">
      <c r="P10195" s="8"/>
    </row>
    <row r="10196" spans="16:16" x14ac:dyDescent="0.35">
      <c r="P10196" s="8"/>
    </row>
    <row r="10197" spans="16:16" x14ac:dyDescent="0.35">
      <c r="P10197" s="8"/>
    </row>
    <row r="10198" spans="16:16" x14ac:dyDescent="0.35">
      <c r="P10198" s="8"/>
    </row>
    <row r="10199" spans="16:16" x14ac:dyDescent="0.35">
      <c r="P10199" s="8"/>
    </row>
    <row r="10200" spans="16:16" x14ac:dyDescent="0.35">
      <c r="P10200" s="8"/>
    </row>
    <row r="10201" spans="16:16" x14ac:dyDescent="0.35">
      <c r="P10201" s="8"/>
    </row>
    <row r="10202" spans="16:16" x14ac:dyDescent="0.35">
      <c r="P10202" s="8"/>
    </row>
    <row r="10203" spans="16:16" x14ac:dyDescent="0.35">
      <c r="P10203" s="8"/>
    </row>
    <row r="10204" spans="16:16" x14ac:dyDescent="0.35">
      <c r="P10204" s="8"/>
    </row>
    <row r="10205" spans="16:16" x14ac:dyDescent="0.35">
      <c r="P10205" s="8"/>
    </row>
    <row r="10206" spans="16:16" x14ac:dyDescent="0.35">
      <c r="P10206" s="8"/>
    </row>
    <row r="10207" spans="16:16" x14ac:dyDescent="0.35">
      <c r="P10207" s="8"/>
    </row>
    <row r="10208" spans="16:16" x14ac:dyDescent="0.35">
      <c r="P10208" s="8"/>
    </row>
    <row r="10209" spans="16:16" x14ac:dyDescent="0.35">
      <c r="P10209" s="8"/>
    </row>
    <row r="10210" spans="16:16" x14ac:dyDescent="0.35">
      <c r="P10210" s="8"/>
    </row>
    <row r="10211" spans="16:16" x14ac:dyDescent="0.35">
      <c r="P10211" s="8"/>
    </row>
    <row r="10212" spans="16:16" x14ac:dyDescent="0.35">
      <c r="P10212" s="8"/>
    </row>
    <row r="10213" spans="16:16" x14ac:dyDescent="0.35">
      <c r="P10213" s="8"/>
    </row>
    <row r="10214" spans="16:16" x14ac:dyDescent="0.35">
      <c r="P10214" s="8"/>
    </row>
    <row r="10215" spans="16:16" x14ac:dyDescent="0.35">
      <c r="P10215" s="8"/>
    </row>
    <row r="10216" spans="16:16" x14ac:dyDescent="0.35">
      <c r="P10216" s="8"/>
    </row>
    <row r="10217" spans="16:16" x14ac:dyDescent="0.35">
      <c r="P10217" s="8"/>
    </row>
    <row r="10218" spans="16:16" x14ac:dyDescent="0.35">
      <c r="P10218" s="8"/>
    </row>
    <row r="10219" spans="16:16" x14ac:dyDescent="0.35">
      <c r="P10219" s="8"/>
    </row>
    <row r="10220" spans="16:16" x14ac:dyDescent="0.35">
      <c r="P10220" s="8"/>
    </row>
    <row r="10221" spans="16:16" x14ac:dyDescent="0.35">
      <c r="P10221" s="8"/>
    </row>
    <row r="10222" spans="16:16" x14ac:dyDescent="0.35">
      <c r="P10222" s="8"/>
    </row>
    <row r="10223" spans="16:16" x14ac:dyDescent="0.35">
      <c r="P10223" s="8"/>
    </row>
    <row r="10224" spans="16:16" x14ac:dyDescent="0.35">
      <c r="P10224" s="8"/>
    </row>
    <row r="10225" spans="16:16" x14ac:dyDescent="0.35">
      <c r="P10225" s="8"/>
    </row>
    <row r="10226" spans="16:16" x14ac:dyDescent="0.35">
      <c r="P10226" s="8"/>
    </row>
    <row r="10227" spans="16:16" x14ac:dyDescent="0.35">
      <c r="P10227" s="8"/>
    </row>
    <row r="10228" spans="16:16" x14ac:dyDescent="0.35">
      <c r="P10228" s="8"/>
    </row>
    <row r="10229" spans="16:16" x14ac:dyDescent="0.35">
      <c r="P10229" s="8"/>
    </row>
    <row r="10230" spans="16:16" x14ac:dyDescent="0.35">
      <c r="P10230" s="8"/>
    </row>
    <row r="10231" spans="16:16" x14ac:dyDescent="0.35">
      <c r="P10231" s="8"/>
    </row>
    <row r="10232" spans="16:16" x14ac:dyDescent="0.35">
      <c r="P10232" s="8"/>
    </row>
    <row r="10233" spans="16:16" x14ac:dyDescent="0.35">
      <c r="P10233" s="8"/>
    </row>
    <row r="10234" spans="16:16" x14ac:dyDescent="0.35">
      <c r="P10234" s="8"/>
    </row>
    <row r="10235" spans="16:16" x14ac:dyDescent="0.35">
      <c r="P10235" s="8"/>
    </row>
    <row r="10236" spans="16:16" x14ac:dyDescent="0.35">
      <c r="P10236" s="8"/>
    </row>
    <row r="10237" spans="16:16" x14ac:dyDescent="0.35">
      <c r="P10237" s="8"/>
    </row>
    <row r="10238" spans="16:16" x14ac:dyDescent="0.35">
      <c r="P10238" s="8"/>
    </row>
    <row r="10239" spans="16:16" x14ac:dyDescent="0.35">
      <c r="P10239" s="8"/>
    </row>
    <row r="10240" spans="16:16" x14ac:dyDescent="0.35">
      <c r="P10240" s="8"/>
    </row>
    <row r="10241" spans="16:16" x14ac:dyDescent="0.35">
      <c r="P10241" s="8"/>
    </row>
    <row r="10242" spans="16:16" x14ac:dyDescent="0.35">
      <c r="P10242" s="8"/>
    </row>
    <row r="10243" spans="16:16" x14ac:dyDescent="0.35">
      <c r="P10243" s="8"/>
    </row>
    <row r="10244" spans="16:16" x14ac:dyDescent="0.35">
      <c r="P10244" s="8"/>
    </row>
    <row r="10245" spans="16:16" x14ac:dyDescent="0.35">
      <c r="P10245" s="8"/>
    </row>
    <row r="10246" spans="16:16" x14ac:dyDescent="0.35">
      <c r="P10246" s="8"/>
    </row>
    <row r="10247" spans="16:16" x14ac:dyDescent="0.35">
      <c r="P10247" s="8"/>
    </row>
    <row r="10248" spans="16:16" x14ac:dyDescent="0.35">
      <c r="P10248" s="8"/>
    </row>
    <row r="10249" spans="16:16" x14ac:dyDescent="0.35">
      <c r="P10249" s="8"/>
    </row>
    <row r="10250" spans="16:16" x14ac:dyDescent="0.35">
      <c r="P10250" s="8"/>
    </row>
    <row r="10251" spans="16:16" x14ac:dyDescent="0.35">
      <c r="P10251" s="8"/>
    </row>
    <row r="10252" spans="16:16" x14ac:dyDescent="0.35">
      <c r="P10252" s="8"/>
    </row>
    <row r="10253" spans="16:16" x14ac:dyDescent="0.35">
      <c r="P10253" s="8"/>
    </row>
    <row r="10254" spans="16:16" x14ac:dyDescent="0.35">
      <c r="P10254" s="8"/>
    </row>
    <row r="10255" spans="16:16" x14ac:dyDescent="0.35">
      <c r="P10255" s="8"/>
    </row>
    <row r="10256" spans="16:16" x14ac:dyDescent="0.35">
      <c r="P10256" s="8"/>
    </row>
    <row r="10257" spans="16:16" x14ac:dyDescent="0.35">
      <c r="P10257" s="8"/>
    </row>
    <row r="10258" spans="16:16" x14ac:dyDescent="0.35">
      <c r="P10258" s="8"/>
    </row>
    <row r="10259" spans="16:16" x14ac:dyDescent="0.35">
      <c r="P10259" s="8"/>
    </row>
    <row r="10260" spans="16:16" x14ac:dyDescent="0.35">
      <c r="P10260" s="8"/>
    </row>
    <row r="10261" spans="16:16" x14ac:dyDescent="0.35">
      <c r="P10261" s="8"/>
    </row>
    <row r="10262" spans="16:16" x14ac:dyDescent="0.35">
      <c r="P10262" s="8"/>
    </row>
    <row r="10263" spans="16:16" x14ac:dyDescent="0.35">
      <c r="P10263" s="8"/>
    </row>
    <row r="10264" spans="16:16" x14ac:dyDescent="0.35">
      <c r="P10264" s="8"/>
    </row>
    <row r="10265" spans="16:16" x14ac:dyDescent="0.35">
      <c r="P10265" s="8"/>
    </row>
    <row r="10266" spans="16:16" x14ac:dyDescent="0.35">
      <c r="P10266" s="8"/>
    </row>
    <row r="10267" spans="16:16" x14ac:dyDescent="0.35">
      <c r="P10267" s="8"/>
    </row>
    <row r="10268" spans="16:16" x14ac:dyDescent="0.35">
      <c r="P10268" s="8"/>
    </row>
    <row r="10269" spans="16:16" x14ac:dyDescent="0.35">
      <c r="P10269" s="8"/>
    </row>
    <row r="10270" spans="16:16" x14ac:dyDescent="0.35">
      <c r="P10270" s="8"/>
    </row>
    <row r="10271" spans="16:16" x14ac:dyDescent="0.35">
      <c r="P10271" s="8"/>
    </row>
    <row r="10272" spans="16:16" x14ac:dyDescent="0.35">
      <c r="P10272" s="8"/>
    </row>
    <row r="10273" spans="16:16" x14ac:dyDescent="0.35">
      <c r="P10273" s="8"/>
    </row>
    <row r="10274" spans="16:16" x14ac:dyDescent="0.35">
      <c r="P10274" s="8"/>
    </row>
    <row r="10275" spans="16:16" x14ac:dyDescent="0.35">
      <c r="P10275" s="8"/>
    </row>
    <row r="10276" spans="16:16" x14ac:dyDescent="0.35">
      <c r="P10276" s="8"/>
    </row>
    <row r="10277" spans="16:16" x14ac:dyDescent="0.35">
      <c r="P10277" s="8"/>
    </row>
    <row r="10278" spans="16:16" x14ac:dyDescent="0.35">
      <c r="P10278" s="8"/>
    </row>
    <row r="10279" spans="16:16" x14ac:dyDescent="0.35">
      <c r="P10279" s="8"/>
    </row>
    <row r="10280" spans="16:16" x14ac:dyDescent="0.35">
      <c r="P10280" s="8"/>
    </row>
    <row r="10281" spans="16:16" x14ac:dyDescent="0.35">
      <c r="P10281" s="8"/>
    </row>
    <row r="10282" spans="16:16" x14ac:dyDescent="0.35">
      <c r="P10282" s="8"/>
    </row>
    <row r="10283" spans="16:16" x14ac:dyDescent="0.35">
      <c r="P10283" s="8"/>
    </row>
    <row r="10284" spans="16:16" x14ac:dyDescent="0.35">
      <c r="P10284" s="8"/>
    </row>
    <row r="10285" spans="16:16" x14ac:dyDescent="0.35">
      <c r="P10285" s="8"/>
    </row>
    <row r="10286" spans="16:16" x14ac:dyDescent="0.35">
      <c r="P10286" s="8"/>
    </row>
    <row r="10287" spans="16:16" x14ac:dyDescent="0.35">
      <c r="P10287" s="8"/>
    </row>
    <row r="10288" spans="16:16" x14ac:dyDescent="0.35">
      <c r="P10288" s="8"/>
    </row>
    <row r="10289" spans="16:16" x14ac:dyDescent="0.35">
      <c r="P10289" s="8"/>
    </row>
    <row r="10290" spans="16:16" x14ac:dyDescent="0.35">
      <c r="P10290" s="8"/>
    </row>
    <row r="10291" spans="16:16" x14ac:dyDescent="0.35">
      <c r="P10291" s="8"/>
    </row>
    <row r="10292" spans="16:16" x14ac:dyDescent="0.35">
      <c r="P10292" s="8"/>
    </row>
    <row r="10293" spans="16:16" x14ac:dyDescent="0.35">
      <c r="P10293" s="8"/>
    </row>
    <row r="10294" spans="16:16" x14ac:dyDescent="0.35">
      <c r="P10294" s="8"/>
    </row>
    <row r="10295" spans="16:16" x14ac:dyDescent="0.35">
      <c r="P10295" s="8"/>
    </row>
    <row r="10296" spans="16:16" x14ac:dyDescent="0.35">
      <c r="P10296" s="8"/>
    </row>
    <row r="10297" spans="16:16" x14ac:dyDescent="0.35">
      <c r="P10297" s="8"/>
    </row>
    <row r="10298" spans="16:16" x14ac:dyDescent="0.35">
      <c r="P10298" s="8"/>
    </row>
    <row r="10299" spans="16:16" x14ac:dyDescent="0.35">
      <c r="P10299" s="8"/>
    </row>
    <row r="10300" spans="16:16" x14ac:dyDescent="0.35">
      <c r="P10300" s="8"/>
    </row>
    <row r="10301" spans="16:16" x14ac:dyDescent="0.35">
      <c r="P10301" s="8"/>
    </row>
    <row r="10302" spans="16:16" x14ac:dyDescent="0.35">
      <c r="P10302" s="8"/>
    </row>
    <row r="10303" spans="16:16" x14ac:dyDescent="0.35">
      <c r="P10303" s="8"/>
    </row>
    <row r="10304" spans="16:16" x14ac:dyDescent="0.35">
      <c r="P10304" s="8"/>
    </row>
    <row r="10305" spans="16:16" x14ac:dyDescent="0.35">
      <c r="P10305" s="8"/>
    </row>
    <row r="10306" spans="16:16" x14ac:dyDescent="0.35">
      <c r="P10306" s="8"/>
    </row>
    <row r="10307" spans="16:16" x14ac:dyDescent="0.35">
      <c r="P10307" s="8"/>
    </row>
    <row r="10308" spans="16:16" x14ac:dyDescent="0.35">
      <c r="P10308" s="8"/>
    </row>
    <row r="10309" spans="16:16" x14ac:dyDescent="0.35">
      <c r="P10309" s="8"/>
    </row>
    <row r="10310" spans="16:16" x14ac:dyDescent="0.35">
      <c r="P10310" s="8"/>
    </row>
    <row r="10311" spans="16:16" x14ac:dyDescent="0.35">
      <c r="P10311" s="8"/>
    </row>
    <row r="10312" spans="16:16" x14ac:dyDescent="0.35">
      <c r="P10312" s="8"/>
    </row>
    <row r="10313" spans="16:16" x14ac:dyDescent="0.35">
      <c r="P10313" s="8"/>
    </row>
    <row r="10314" spans="16:16" x14ac:dyDescent="0.35">
      <c r="P10314" s="8"/>
    </row>
    <row r="10315" spans="16:16" x14ac:dyDescent="0.35">
      <c r="P10315" s="8"/>
    </row>
    <row r="10316" spans="16:16" x14ac:dyDescent="0.35">
      <c r="P10316" s="8"/>
    </row>
    <row r="10317" spans="16:16" x14ac:dyDescent="0.35">
      <c r="P10317" s="8"/>
    </row>
    <row r="10318" spans="16:16" x14ac:dyDescent="0.35">
      <c r="P10318" s="8"/>
    </row>
    <row r="10319" spans="16:16" x14ac:dyDescent="0.35">
      <c r="P10319" s="8"/>
    </row>
    <row r="10320" spans="16:16" x14ac:dyDescent="0.35">
      <c r="P10320" s="8"/>
    </row>
    <row r="10321" spans="16:16" x14ac:dyDescent="0.35">
      <c r="P10321" s="8"/>
    </row>
    <row r="10322" spans="16:16" x14ac:dyDescent="0.35">
      <c r="P10322" s="8"/>
    </row>
    <row r="10323" spans="16:16" x14ac:dyDescent="0.35">
      <c r="P10323" s="8"/>
    </row>
    <row r="10324" spans="16:16" x14ac:dyDescent="0.35">
      <c r="P10324" s="8"/>
    </row>
    <row r="10325" spans="16:16" x14ac:dyDescent="0.35">
      <c r="P10325" s="8"/>
    </row>
    <row r="10326" spans="16:16" x14ac:dyDescent="0.35">
      <c r="P10326" s="8"/>
    </row>
    <row r="10327" spans="16:16" x14ac:dyDescent="0.35">
      <c r="P10327" s="8"/>
    </row>
    <row r="10328" spans="16:16" x14ac:dyDescent="0.35">
      <c r="P10328" s="8"/>
    </row>
    <row r="10329" spans="16:16" x14ac:dyDescent="0.35">
      <c r="P10329" s="8"/>
    </row>
    <row r="10330" spans="16:16" x14ac:dyDescent="0.35">
      <c r="P10330" s="8"/>
    </row>
    <row r="10331" spans="16:16" x14ac:dyDescent="0.35">
      <c r="P10331" s="8"/>
    </row>
    <row r="10332" spans="16:16" x14ac:dyDescent="0.35">
      <c r="P10332" s="8"/>
    </row>
    <row r="10333" spans="16:16" x14ac:dyDescent="0.35">
      <c r="P10333" s="8"/>
    </row>
    <row r="10334" spans="16:16" x14ac:dyDescent="0.35">
      <c r="P10334" s="8"/>
    </row>
    <row r="10335" spans="16:16" x14ac:dyDescent="0.35">
      <c r="P10335" s="8"/>
    </row>
    <row r="10336" spans="16:16" x14ac:dyDescent="0.35">
      <c r="P10336" s="8"/>
    </row>
    <row r="10337" spans="16:16" x14ac:dyDescent="0.35">
      <c r="P10337" s="8"/>
    </row>
    <row r="10338" spans="16:16" x14ac:dyDescent="0.35">
      <c r="P10338" s="8"/>
    </row>
    <row r="10339" spans="16:16" x14ac:dyDescent="0.35">
      <c r="P10339" s="8"/>
    </row>
    <row r="10340" spans="16:16" x14ac:dyDescent="0.35">
      <c r="P10340" s="8"/>
    </row>
    <row r="10341" spans="16:16" x14ac:dyDescent="0.35">
      <c r="P10341" s="8"/>
    </row>
    <row r="10342" spans="16:16" x14ac:dyDescent="0.35">
      <c r="P10342" s="8"/>
    </row>
    <row r="10343" spans="16:16" x14ac:dyDescent="0.35">
      <c r="P10343" s="8"/>
    </row>
    <row r="10344" spans="16:16" x14ac:dyDescent="0.35">
      <c r="P10344" s="8"/>
    </row>
    <row r="10345" spans="16:16" x14ac:dyDescent="0.35">
      <c r="P10345" s="8"/>
    </row>
    <row r="10346" spans="16:16" x14ac:dyDescent="0.35">
      <c r="P10346" s="8"/>
    </row>
    <row r="10347" spans="16:16" x14ac:dyDescent="0.35">
      <c r="P10347" s="8"/>
    </row>
    <row r="10348" spans="16:16" x14ac:dyDescent="0.35">
      <c r="P10348" s="8"/>
    </row>
    <row r="10349" spans="16:16" x14ac:dyDescent="0.35">
      <c r="P10349" s="8"/>
    </row>
    <row r="10350" spans="16:16" x14ac:dyDescent="0.35">
      <c r="P10350" s="8"/>
    </row>
    <row r="10351" spans="16:16" x14ac:dyDescent="0.35">
      <c r="P10351" s="8"/>
    </row>
    <row r="10352" spans="16:16" x14ac:dyDescent="0.35">
      <c r="P10352" s="8"/>
    </row>
    <row r="10353" spans="16:16" x14ac:dyDescent="0.35">
      <c r="P10353" s="8"/>
    </row>
    <row r="10354" spans="16:16" x14ac:dyDescent="0.35">
      <c r="P10354" s="8"/>
    </row>
    <row r="10355" spans="16:16" x14ac:dyDescent="0.35">
      <c r="P10355" s="8"/>
    </row>
    <row r="10356" spans="16:16" x14ac:dyDescent="0.35">
      <c r="P10356" s="8"/>
    </row>
    <row r="10357" spans="16:16" x14ac:dyDescent="0.35">
      <c r="P10357" s="8"/>
    </row>
    <row r="10358" spans="16:16" x14ac:dyDescent="0.35">
      <c r="P10358" s="8"/>
    </row>
    <row r="10359" spans="16:16" x14ac:dyDescent="0.35">
      <c r="P10359" s="8"/>
    </row>
    <row r="10360" spans="16:16" x14ac:dyDescent="0.35">
      <c r="P10360" s="8"/>
    </row>
    <row r="10361" spans="16:16" x14ac:dyDescent="0.35">
      <c r="P10361" s="8"/>
    </row>
    <row r="10362" spans="16:16" x14ac:dyDescent="0.35">
      <c r="P10362" s="8"/>
    </row>
    <row r="10363" spans="16:16" x14ac:dyDescent="0.35">
      <c r="P10363" s="8"/>
    </row>
    <row r="10364" spans="16:16" x14ac:dyDescent="0.35">
      <c r="P10364" s="8"/>
    </row>
    <row r="10365" spans="16:16" x14ac:dyDescent="0.35">
      <c r="P10365" s="8"/>
    </row>
    <row r="10366" spans="16:16" x14ac:dyDescent="0.35">
      <c r="P10366" s="8"/>
    </row>
    <row r="10367" spans="16:16" x14ac:dyDescent="0.35">
      <c r="P10367" s="8"/>
    </row>
    <row r="10368" spans="16:16" x14ac:dyDescent="0.35">
      <c r="P10368" s="8"/>
    </row>
    <row r="10369" spans="16:16" x14ac:dyDescent="0.35">
      <c r="P10369" s="8"/>
    </row>
    <row r="10370" spans="16:16" x14ac:dyDescent="0.35">
      <c r="P10370" s="8"/>
    </row>
    <row r="10371" spans="16:16" x14ac:dyDescent="0.35">
      <c r="P10371" s="8"/>
    </row>
    <row r="10372" spans="16:16" x14ac:dyDescent="0.35">
      <c r="P10372" s="8"/>
    </row>
    <row r="10373" spans="16:16" x14ac:dyDescent="0.35">
      <c r="P10373" s="8"/>
    </row>
    <row r="10374" spans="16:16" x14ac:dyDescent="0.35">
      <c r="P10374" s="8"/>
    </row>
    <row r="10375" spans="16:16" x14ac:dyDescent="0.35">
      <c r="P10375" s="8"/>
    </row>
    <row r="10376" spans="16:16" x14ac:dyDescent="0.35">
      <c r="P10376" s="8"/>
    </row>
    <row r="10377" spans="16:16" x14ac:dyDescent="0.35">
      <c r="P10377" s="8"/>
    </row>
    <row r="10378" spans="16:16" x14ac:dyDescent="0.35">
      <c r="P10378" s="8"/>
    </row>
    <row r="10379" spans="16:16" x14ac:dyDescent="0.35">
      <c r="P10379" s="8"/>
    </row>
    <row r="10380" spans="16:16" x14ac:dyDescent="0.35">
      <c r="P10380" s="8"/>
    </row>
    <row r="10381" spans="16:16" x14ac:dyDescent="0.35">
      <c r="P10381" s="8"/>
    </row>
    <row r="10382" spans="16:16" x14ac:dyDescent="0.35">
      <c r="P10382" s="8"/>
    </row>
    <row r="10383" spans="16:16" x14ac:dyDescent="0.35">
      <c r="P10383" s="8"/>
    </row>
    <row r="10384" spans="16:16" x14ac:dyDescent="0.35">
      <c r="P10384" s="8"/>
    </row>
    <row r="10385" spans="16:16" x14ac:dyDescent="0.35">
      <c r="P10385" s="8"/>
    </row>
    <row r="10386" spans="16:16" x14ac:dyDescent="0.35">
      <c r="P10386" s="8"/>
    </row>
    <row r="10387" spans="16:16" x14ac:dyDescent="0.35">
      <c r="P10387" s="8"/>
    </row>
    <row r="10388" spans="16:16" x14ac:dyDescent="0.35">
      <c r="P10388" s="8"/>
    </row>
    <row r="10389" spans="16:16" x14ac:dyDescent="0.35">
      <c r="P10389" s="8"/>
    </row>
    <row r="10390" spans="16:16" x14ac:dyDescent="0.35">
      <c r="P10390" s="8"/>
    </row>
    <row r="10391" spans="16:16" x14ac:dyDescent="0.35">
      <c r="P10391" s="8"/>
    </row>
    <row r="10392" spans="16:16" x14ac:dyDescent="0.35">
      <c r="P10392" s="8"/>
    </row>
    <row r="10393" spans="16:16" x14ac:dyDescent="0.35">
      <c r="P10393" s="8"/>
    </row>
    <row r="10394" spans="16:16" x14ac:dyDescent="0.35">
      <c r="P10394" s="8"/>
    </row>
    <row r="10395" spans="16:16" x14ac:dyDescent="0.35">
      <c r="P10395" s="8"/>
    </row>
    <row r="10396" spans="16:16" x14ac:dyDescent="0.35">
      <c r="P10396" s="8"/>
    </row>
    <row r="10397" spans="16:16" x14ac:dyDescent="0.35">
      <c r="P10397" s="8"/>
    </row>
    <row r="10398" spans="16:16" x14ac:dyDescent="0.35">
      <c r="P10398" s="8"/>
    </row>
    <row r="10399" spans="16:16" x14ac:dyDescent="0.35">
      <c r="P10399" s="8"/>
    </row>
    <row r="10400" spans="16:16" x14ac:dyDescent="0.35">
      <c r="P10400" s="8"/>
    </row>
    <row r="10401" spans="16:16" x14ac:dyDescent="0.35">
      <c r="P10401" s="8"/>
    </row>
    <row r="10402" spans="16:16" x14ac:dyDescent="0.35">
      <c r="P10402" s="8"/>
    </row>
    <row r="10403" spans="16:16" x14ac:dyDescent="0.35">
      <c r="P10403" s="8"/>
    </row>
    <row r="10404" spans="16:16" x14ac:dyDescent="0.35">
      <c r="P10404" s="8"/>
    </row>
    <row r="10405" spans="16:16" x14ac:dyDescent="0.35">
      <c r="P10405" s="8"/>
    </row>
    <row r="10406" spans="16:16" x14ac:dyDescent="0.35">
      <c r="P10406" s="8"/>
    </row>
    <row r="10407" spans="16:16" x14ac:dyDescent="0.35">
      <c r="P10407" s="8"/>
    </row>
    <row r="10408" spans="16:16" x14ac:dyDescent="0.35">
      <c r="P10408" s="8"/>
    </row>
    <row r="10409" spans="16:16" x14ac:dyDescent="0.35">
      <c r="P10409" s="8"/>
    </row>
    <row r="10410" spans="16:16" x14ac:dyDescent="0.35">
      <c r="P10410" s="8"/>
    </row>
    <row r="10411" spans="16:16" x14ac:dyDescent="0.35">
      <c r="P10411" s="8"/>
    </row>
    <row r="10412" spans="16:16" x14ac:dyDescent="0.35">
      <c r="P10412" s="8"/>
    </row>
    <row r="10413" spans="16:16" x14ac:dyDescent="0.35">
      <c r="P10413" s="8"/>
    </row>
    <row r="10414" spans="16:16" x14ac:dyDescent="0.35">
      <c r="P10414" s="8"/>
    </row>
    <row r="10415" spans="16:16" x14ac:dyDescent="0.35">
      <c r="P10415" s="8"/>
    </row>
    <row r="10416" spans="16:16" x14ac:dyDescent="0.35">
      <c r="P10416" s="8"/>
    </row>
    <row r="10417" spans="16:16" x14ac:dyDescent="0.35">
      <c r="P10417" s="8"/>
    </row>
    <row r="10418" spans="16:16" x14ac:dyDescent="0.35">
      <c r="P10418" s="8"/>
    </row>
    <row r="10419" spans="16:16" x14ac:dyDescent="0.35">
      <c r="P10419" s="8"/>
    </row>
    <row r="10420" spans="16:16" x14ac:dyDescent="0.35">
      <c r="P10420" s="8"/>
    </row>
    <row r="10421" spans="16:16" x14ac:dyDescent="0.35">
      <c r="P10421" s="8"/>
    </row>
    <row r="10422" spans="16:16" x14ac:dyDescent="0.35">
      <c r="P10422" s="8"/>
    </row>
    <row r="10423" spans="16:16" x14ac:dyDescent="0.35">
      <c r="P10423" s="8"/>
    </row>
    <row r="10424" spans="16:16" x14ac:dyDescent="0.35">
      <c r="P10424" s="8"/>
    </row>
    <row r="10425" spans="16:16" x14ac:dyDescent="0.35">
      <c r="P10425" s="8"/>
    </row>
    <row r="10426" spans="16:16" x14ac:dyDescent="0.35">
      <c r="P10426" s="8"/>
    </row>
    <row r="10427" spans="16:16" x14ac:dyDescent="0.35">
      <c r="P10427" s="8"/>
    </row>
    <row r="10428" spans="16:16" x14ac:dyDescent="0.35">
      <c r="P10428" s="8"/>
    </row>
    <row r="10429" spans="16:16" x14ac:dyDescent="0.35">
      <c r="P10429" s="8"/>
    </row>
    <row r="10430" spans="16:16" x14ac:dyDescent="0.35">
      <c r="P10430" s="8"/>
    </row>
    <row r="10431" spans="16:16" x14ac:dyDescent="0.35">
      <c r="P10431" s="8"/>
    </row>
    <row r="10432" spans="16:16" x14ac:dyDescent="0.35">
      <c r="P10432" s="8"/>
    </row>
    <row r="10433" spans="16:16" x14ac:dyDescent="0.35">
      <c r="P10433" s="8"/>
    </row>
    <row r="10434" spans="16:16" x14ac:dyDescent="0.35">
      <c r="P10434" s="8"/>
    </row>
    <row r="10435" spans="16:16" x14ac:dyDescent="0.35">
      <c r="P10435" s="8"/>
    </row>
    <row r="10436" spans="16:16" x14ac:dyDescent="0.35">
      <c r="P10436" s="8"/>
    </row>
    <row r="10437" spans="16:16" x14ac:dyDescent="0.35">
      <c r="P10437" s="8"/>
    </row>
    <row r="10438" spans="16:16" x14ac:dyDescent="0.35">
      <c r="P10438" s="8"/>
    </row>
    <row r="10439" spans="16:16" x14ac:dyDescent="0.35">
      <c r="P10439" s="8"/>
    </row>
    <row r="10440" spans="16:16" x14ac:dyDescent="0.35">
      <c r="P10440" s="8"/>
    </row>
    <row r="10441" spans="16:16" x14ac:dyDescent="0.35">
      <c r="P10441" s="8"/>
    </row>
    <row r="10442" spans="16:16" x14ac:dyDescent="0.35">
      <c r="P10442" s="8"/>
    </row>
    <row r="10443" spans="16:16" x14ac:dyDescent="0.35">
      <c r="P10443" s="8"/>
    </row>
    <row r="10444" spans="16:16" x14ac:dyDescent="0.35">
      <c r="P10444" s="8"/>
    </row>
    <row r="10445" spans="16:16" x14ac:dyDescent="0.35">
      <c r="P10445" s="8"/>
    </row>
    <row r="10446" spans="16:16" x14ac:dyDescent="0.35">
      <c r="P10446" s="8"/>
    </row>
    <row r="10447" spans="16:16" x14ac:dyDescent="0.35">
      <c r="P10447" s="8"/>
    </row>
    <row r="10448" spans="16:16" x14ac:dyDescent="0.35">
      <c r="P10448" s="8"/>
    </row>
    <row r="10449" spans="16:16" x14ac:dyDescent="0.35">
      <c r="P10449" s="8"/>
    </row>
    <row r="10450" spans="16:16" x14ac:dyDescent="0.35">
      <c r="P10450" s="8"/>
    </row>
    <row r="10451" spans="16:16" x14ac:dyDescent="0.35">
      <c r="P10451" s="8"/>
    </row>
    <row r="10452" spans="16:16" x14ac:dyDescent="0.35">
      <c r="P10452" s="8"/>
    </row>
    <row r="10453" spans="16:16" x14ac:dyDescent="0.35">
      <c r="P10453" s="8"/>
    </row>
    <row r="10454" spans="16:16" x14ac:dyDescent="0.35">
      <c r="P10454" s="8"/>
    </row>
    <row r="10455" spans="16:16" x14ac:dyDescent="0.35">
      <c r="P10455" s="8"/>
    </row>
    <row r="10456" spans="16:16" x14ac:dyDescent="0.35">
      <c r="P10456" s="8"/>
    </row>
    <row r="10457" spans="16:16" x14ac:dyDescent="0.35">
      <c r="P10457" s="8"/>
    </row>
    <row r="10458" spans="16:16" x14ac:dyDescent="0.35">
      <c r="P10458" s="8"/>
    </row>
    <row r="10459" spans="16:16" x14ac:dyDescent="0.35">
      <c r="P10459" s="8"/>
    </row>
    <row r="10460" spans="16:16" x14ac:dyDescent="0.35">
      <c r="P10460" s="8"/>
    </row>
    <row r="10461" spans="16:16" x14ac:dyDescent="0.35">
      <c r="P10461" s="8"/>
    </row>
    <row r="10462" spans="16:16" x14ac:dyDescent="0.35">
      <c r="P10462" s="8"/>
    </row>
    <row r="10463" spans="16:16" x14ac:dyDescent="0.35">
      <c r="P10463" s="8"/>
    </row>
    <row r="10464" spans="16:16" x14ac:dyDescent="0.35">
      <c r="P10464" s="8"/>
    </row>
    <row r="10465" spans="16:16" x14ac:dyDescent="0.35">
      <c r="P10465" s="8"/>
    </row>
    <row r="10466" spans="16:16" x14ac:dyDescent="0.35">
      <c r="P10466" s="8"/>
    </row>
    <row r="10467" spans="16:16" x14ac:dyDescent="0.35">
      <c r="P10467" s="8"/>
    </row>
    <row r="10468" spans="16:16" x14ac:dyDescent="0.35">
      <c r="P10468" s="8"/>
    </row>
    <row r="10469" spans="16:16" x14ac:dyDescent="0.35">
      <c r="P10469" s="8"/>
    </row>
    <row r="10470" spans="16:16" x14ac:dyDescent="0.35">
      <c r="P10470" s="8"/>
    </row>
    <row r="10471" spans="16:16" x14ac:dyDescent="0.35">
      <c r="P10471" s="8"/>
    </row>
    <row r="10472" spans="16:16" x14ac:dyDescent="0.35">
      <c r="P10472" s="8"/>
    </row>
    <row r="10473" spans="16:16" x14ac:dyDescent="0.35">
      <c r="P10473" s="8"/>
    </row>
    <row r="10474" spans="16:16" x14ac:dyDescent="0.35">
      <c r="P10474" s="8"/>
    </row>
    <row r="10475" spans="16:16" x14ac:dyDescent="0.35">
      <c r="P10475" s="8"/>
    </row>
    <row r="10476" spans="16:16" x14ac:dyDescent="0.35">
      <c r="P10476" s="8"/>
    </row>
    <row r="10477" spans="16:16" x14ac:dyDescent="0.35">
      <c r="P10477" s="8"/>
    </row>
    <row r="10478" spans="16:16" x14ac:dyDescent="0.35">
      <c r="P10478" s="8"/>
    </row>
    <row r="10479" spans="16:16" x14ac:dyDescent="0.35">
      <c r="P10479" s="8"/>
    </row>
    <row r="10480" spans="16:16" x14ac:dyDescent="0.35">
      <c r="P10480" s="8"/>
    </row>
    <row r="10481" spans="16:16" x14ac:dyDescent="0.35">
      <c r="P10481" s="8"/>
    </row>
    <row r="10482" spans="16:16" x14ac:dyDescent="0.35">
      <c r="P10482" s="8"/>
    </row>
    <row r="10483" spans="16:16" x14ac:dyDescent="0.35">
      <c r="P10483" s="8"/>
    </row>
    <row r="10484" spans="16:16" x14ac:dyDescent="0.35">
      <c r="P10484" s="8"/>
    </row>
    <row r="10485" spans="16:16" x14ac:dyDescent="0.35">
      <c r="P10485" s="8"/>
    </row>
    <row r="10486" spans="16:16" x14ac:dyDescent="0.35">
      <c r="P10486" s="8"/>
    </row>
    <row r="10487" spans="16:16" x14ac:dyDescent="0.35">
      <c r="P10487" s="8"/>
    </row>
    <row r="10488" spans="16:16" x14ac:dyDescent="0.35">
      <c r="P10488" s="8"/>
    </row>
    <row r="10489" spans="16:16" x14ac:dyDescent="0.35">
      <c r="P10489" s="8"/>
    </row>
    <row r="10490" spans="16:16" x14ac:dyDescent="0.35">
      <c r="P10490" s="8"/>
    </row>
    <row r="10491" spans="16:16" x14ac:dyDescent="0.35">
      <c r="P10491" s="8"/>
    </row>
    <row r="10492" spans="16:16" x14ac:dyDescent="0.35">
      <c r="P10492" s="8"/>
    </row>
    <row r="10493" spans="16:16" x14ac:dyDescent="0.35">
      <c r="P10493" s="8"/>
    </row>
    <row r="10494" spans="16:16" x14ac:dyDescent="0.35">
      <c r="P10494" s="8"/>
    </row>
    <row r="10495" spans="16:16" x14ac:dyDescent="0.35">
      <c r="P10495" s="8"/>
    </row>
    <row r="10496" spans="16:16" x14ac:dyDescent="0.35">
      <c r="P10496" s="8"/>
    </row>
    <row r="10497" spans="16:16" x14ac:dyDescent="0.35">
      <c r="P10497" s="8"/>
    </row>
    <row r="10498" spans="16:16" x14ac:dyDescent="0.35">
      <c r="P10498" s="8"/>
    </row>
    <row r="10499" spans="16:16" x14ac:dyDescent="0.35">
      <c r="P10499" s="8"/>
    </row>
    <row r="10500" spans="16:16" x14ac:dyDescent="0.35">
      <c r="P10500" s="8"/>
    </row>
    <row r="10501" spans="16:16" x14ac:dyDescent="0.35">
      <c r="P10501" s="8"/>
    </row>
    <row r="10502" spans="16:16" x14ac:dyDescent="0.35">
      <c r="P10502" s="8"/>
    </row>
    <row r="10503" spans="16:16" x14ac:dyDescent="0.35">
      <c r="P10503" s="8"/>
    </row>
    <row r="10504" spans="16:16" x14ac:dyDescent="0.35">
      <c r="P10504" s="8"/>
    </row>
    <row r="10505" spans="16:16" x14ac:dyDescent="0.35">
      <c r="P10505" s="8"/>
    </row>
    <row r="10506" spans="16:16" x14ac:dyDescent="0.35">
      <c r="P10506" s="8"/>
    </row>
    <row r="10507" spans="16:16" x14ac:dyDescent="0.35">
      <c r="P10507" s="8"/>
    </row>
    <row r="10508" spans="16:16" x14ac:dyDescent="0.35">
      <c r="P10508" s="8"/>
    </row>
    <row r="10509" spans="16:16" x14ac:dyDescent="0.35">
      <c r="P10509" s="8"/>
    </row>
    <row r="10510" spans="16:16" x14ac:dyDescent="0.35">
      <c r="P10510" s="8"/>
    </row>
    <row r="10511" spans="16:16" x14ac:dyDescent="0.35">
      <c r="P10511" s="8"/>
    </row>
    <row r="10512" spans="16:16" x14ac:dyDescent="0.35">
      <c r="P10512" s="8"/>
    </row>
    <row r="10513" spans="16:16" x14ac:dyDescent="0.35">
      <c r="P10513" s="8"/>
    </row>
    <row r="10514" spans="16:16" x14ac:dyDescent="0.35">
      <c r="P10514" s="8"/>
    </row>
    <row r="10515" spans="16:16" x14ac:dyDescent="0.35">
      <c r="P10515" s="8"/>
    </row>
    <row r="10516" spans="16:16" x14ac:dyDescent="0.35">
      <c r="P10516" s="8"/>
    </row>
    <row r="10517" spans="16:16" x14ac:dyDescent="0.35">
      <c r="P10517" s="8"/>
    </row>
    <row r="10518" spans="16:16" x14ac:dyDescent="0.35">
      <c r="P10518" s="8"/>
    </row>
    <row r="10519" spans="16:16" x14ac:dyDescent="0.35">
      <c r="P10519" s="8"/>
    </row>
    <row r="10520" spans="16:16" x14ac:dyDescent="0.35">
      <c r="P10520" s="8"/>
    </row>
    <row r="10521" spans="16:16" x14ac:dyDescent="0.35">
      <c r="P10521" s="8"/>
    </row>
    <row r="10522" spans="16:16" x14ac:dyDescent="0.35">
      <c r="P10522" s="8"/>
    </row>
    <row r="10523" spans="16:16" x14ac:dyDescent="0.35">
      <c r="P10523" s="8"/>
    </row>
    <row r="10524" spans="16:16" x14ac:dyDescent="0.35">
      <c r="P10524" s="8"/>
    </row>
    <row r="10525" spans="16:16" x14ac:dyDescent="0.35">
      <c r="P10525" s="8"/>
    </row>
    <row r="10526" spans="16:16" x14ac:dyDescent="0.35">
      <c r="P10526" s="8"/>
    </row>
    <row r="10527" spans="16:16" x14ac:dyDescent="0.35">
      <c r="P10527" s="8"/>
    </row>
    <row r="10528" spans="16:16" x14ac:dyDescent="0.35">
      <c r="P10528" s="8"/>
    </row>
    <row r="10529" spans="16:16" x14ac:dyDescent="0.35">
      <c r="P10529" s="8"/>
    </row>
    <row r="10530" spans="16:16" x14ac:dyDescent="0.35">
      <c r="P10530" s="8"/>
    </row>
    <row r="10531" spans="16:16" x14ac:dyDescent="0.35">
      <c r="P10531" s="8"/>
    </row>
    <row r="10532" spans="16:16" x14ac:dyDescent="0.35">
      <c r="P10532" s="8"/>
    </row>
    <row r="10533" spans="16:16" x14ac:dyDescent="0.35">
      <c r="P10533" s="8"/>
    </row>
    <row r="10534" spans="16:16" x14ac:dyDescent="0.35">
      <c r="P10534" s="8"/>
    </row>
    <row r="10535" spans="16:16" x14ac:dyDescent="0.35">
      <c r="P10535" s="8"/>
    </row>
    <row r="10536" spans="16:16" x14ac:dyDescent="0.35">
      <c r="P10536" s="8"/>
    </row>
    <row r="10537" spans="16:16" x14ac:dyDescent="0.35">
      <c r="P10537" s="8"/>
    </row>
    <row r="10538" spans="16:16" x14ac:dyDescent="0.35">
      <c r="P10538" s="8"/>
    </row>
    <row r="10539" spans="16:16" x14ac:dyDescent="0.35">
      <c r="P10539" s="8"/>
    </row>
    <row r="10540" spans="16:16" x14ac:dyDescent="0.35">
      <c r="P10540" s="8"/>
    </row>
    <row r="10541" spans="16:16" x14ac:dyDescent="0.35">
      <c r="P10541" s="8"/>
    </row>
    <row r="10542" spans="16:16" x14ac:dyDescent="0.35">
      <c r="P10542" s="8"/>
    </row>
    <row r="10543" spans="16:16" x14ac:dyDescent="0.35">
      <c r="P10543" s="8"/>
    </row>
    <row r="10544" spans="16:16" x14ac:dyDescent="0.35">
      <c r="P10544" s="8"/>
    </row>
    <row r="10545" spans="16:16" x14ac:dyDescent="0.35">
      <c r="P10545" s="8"/>
    </row>
    <row r="10546" spans="16:16" x14ac:dyDescent="0.35">
      <c r="P10546" s="8"/>
    </row>
    <row r="10547" spans="16:16" x14ac:dyDescent="0.35">
      <c r="P10547" s="8"/>
    </row>
    <row r="10548" spans="16:16" x14ac:dyDescent="0.35">
      <c r="P10548" s="8"/>
    </row>
    <row r="10549" spans="16:16" x14ac:dyDescent="0.35">
      <c r="P10549" s="8"/>
    </row>
    <row r="10550" spans="16:16" x14ac:dyDescent="0.35">
      <c r="P10550" s="8"/>
    </row>
    <row r="10551" spans="16:16" x14ac:dyDescent="0.35">
      <c r="P10551" s="8"/>
    </row>
    <row r="10552" spans="16:16" x14ac:dyDescent="0.35">
      <c r="P10552" s="8"/>
    </row>
    <row r="10553" spans="16:16" x14ac:dyDescent="0.35">
      <c r="P10553" s="8"/>
    </row>
    <row r="10554" spans="16:16" x14ac:dyDescent="0.35">
      <c r="P10554" s="8"/>
    </row>
    <row r="10555" spans="16:16" x14ac:dyDescent="0.35">
      <c r="P10555" s="8"/>
    </row>
    <row r="10556" spans="16:16" x14ac:dyDescent="0.35">
      <c r="P10556" s="8"/>
    </row>
    <row r="10557" spans="16:16" x14ac:dyDescent="0.35">
      <c r="P10557" s="8"/>
    </row>
    <row r="10558" spans="16:16" x14ac:dyDescent="0.35">
      <c r="P10558" s="8"/>
    </row>
    <row r="10559" spans="16:16" x14ac:dyDescent="0.35">
      <c r="P10559" s="8"/>
    </row>
    <row r="10560" spans="16:16" x14ac:dyDescent="0.35">
      <c r="P10560" s="8"/>
    </row>
    <row r="10561" spans="16:16" x14ac:dyDescent="0.35">
      <c r="P10561" s="8"/>
    </row>
    <row r="10562" spans="16:16" x14ac:dyDescent="0.35">
      <c r="P10562" s="8"/>
    </row>
    <row r="10563" spans="16:16" x14ac:dyDescent="0.35">
      <c r="P10563" s="8"/>
    </row>
    <row r="10564" spans="16:16" x14ac:dyDescent="0.35">
      <c r="P10564" s="8"/>
    </row>
    <row r="10565" spans="16:16" x14ac:dyDescent="0.35">
      <c r="P10565" s="8"/>
    </row>
    <row r="10566" spans="16:16" x14ac:dyDescent="0.35">
      <c r="P10566" s="8"/>
    </row>
    <row r="10567" spans="16:16" x14ac:dyDescent="0.35">
      <c r="P10567" s="8"/>
    </row>
    <row r="10568" spans="16:16" x14ac:dyDescent="0.35">
      <c r="P10568" s="8"/>
    </row>
    <row r="10569" spans="16:16" x14ac:dyDescent="0.35">
      <c r="P10569" s="8"/>
    </row>
    <row r="10570" spans="16:16" x14ac:dyDescent="0.35">
      <c r="P10570" s="8"/>
    </row>
    <row r="10571" spans="16:16" x14ac:dyDescent="0.35">
      <c r="P10571" s="8"/>
    </row>
    <row r="10572" spans="16:16" x14ac:dyDescent="0.35">
      <c r="P10572" s="8"/>
    </row>
    <row r="10573" spans="16:16" x14ac:dyDescent="0.35">
      <c r="P10573" s="8"/>
    </row>
    <row r="10574" spans="16:16" x14ac:dyDescent="0.35">
      <c r="P10574" s="8"/>
    </row>
    <row r="10575" spans="16:16" x14ac:dyDescent="0.35">
      <c r="P10575" s="8"/>
    </row>
    <row r="10576" spans="16:16" x14ac:dyDescent="0.35">
      <c r="P10576" s="8"/>
    </row>
    <row r="10577" spans="16:16" x14ac:dyDescent="0.35">
      <c r="P10577" s="8"/>
    </row>
    <row r="10578" spans="16:16" x14ac:dyDescent="0.35">
      <c r="P10578" s="8"/>
    </row>
    <row r="10579" spans="16:16" x14ac:dyDescent="0.35">
      <c r="P10579" s="8"/>
    </row>
    <row r="10580" spans="16:16" x14ac:dyDescent="0.35">
      <c r="P10580" s="8"/>
    </row>
    <row r="10581" spans="16:16" x14ac:dyDescent="0.35">
      <c r="P10581" s="8"/>
    </row>
    <row r="10582" spans="16:16" x14ac:dyDescent="0.35">
      <c r="P10582" s="8"/>
    </row>
    <row r="10583" spans="16:16" x14ac:dyDescent="0.35">
      <c r="P10583" s="8"/>
    </row>
    <row r="10584" spans="16:16" x14ac:dyDescent="0.35">
      <c r="P10584" s="8"/>
    </row>
    <row r="10585" spans="16:16" x14ac:dyDescent="0.35">
      <c r="P10585" s="8"/>
    </row>
    <row r="10586" spans="16:16" x14ac:dyDescent="0.35">
      <c r="P10586" s="8"/>
    </row>
    <row r="10587" spans="16:16" x14ac:dyDescent="0.35">
      <c r="P10587" s="8"/>
    </row>
    <row r="10588" spans="16:16" x14ac:dyDescent="0.35">
      <c r="P10588" s="8"/>
    </row>
    <row r="10589" spans="16:16" x14ac:dyDescent="0.35">
      <c r="P10589" s="8"/>
    </row>
    <row r="10590" spans="16:16" x14ac:dyDescent="0.35">
      <c r="P10590" s="8"/>
    </row>
    <row r="10591" spans="16:16" x14ac:dyDescent="0.35">
      <c r="P10591" s="8"/>
    </row>
    <row r="10592" spans="16:16" x14ac:dyDescent="0.35">
      <c r="P10592" s="8"/>
    </row>
    <row r="10593" spans="16:16" x14ac:dyDescent="0.35">
      <c r="P10593" s="8"/>
    </row>
    <row r="10594" spans="16:16" x14ac:dyDescent="0.35">
      <c r="P10594" s="8"/>
    </row>
    <row r="10595" spans="16:16" x14ac:dyDescent="0.35">
      <c r="P10595" s="8"/>
    </row>
    <row r="10596" spans="16:16" x14ac:dyDescent="0.35">
      <c r="P10596" s="8"/>
    </row>
    <row r="10597" spans="16:16" x14ac:dyDescent="0.35">
      <c r="P10597" s="8"/>
    </row>
    <row r="10598" spans="16:16" x14ac:dyDescent="0.35">
      <c r="P10598" s="8"/>
    </row>
    <row r="10599" spans="16:16" x14ac:dyDescent="0.35">
      <c r="P10599" s="8"/>
    </row>
    <row r="10600" spans="16:16" x14ac:dyDescent="0.35">
      <c r="P10600" s="8"/>
    </row>
    <row r="10601" spans="16:16" x14ac:dyDescent="0.35">
      <c r="P10601" s="8"/>
    </row>
    <row r="10602" spans="16:16" x14ac:dyDescent="0.35">
      <c r="P10602" s="8"/>
    </row>
    <row r="10603" spans="16:16" x14ac:dyDescent="0.35">
      <c r="P10603" s="8"/>
    </row>
    <row r="10604" spans="16:16" x14ac:dyDescent="0.35">
      <c r="P10604" s="8"/>
    </row>
    <row r="10605" spans="16:16" x14ac:dyDescent="0.35">
      <c r="P10605" s="8"/>
    </row>
    <row r="10606" spans="16:16" x14ac:dyDescent="0.35">
      <c r="P10606" s="8"/>
    </row>
    <row r="10607" spans="16:16" x14ac:dyDescent="0.35">
      <c r="P10607" s="8"/>
    </row>
    <row r="10608" spans="16:16" x14ac:dyDescent="0.35">
      <c r="P10608" s="8"/>
    </row>
    <row r="10609" spans="16:16" x14ac:dyDescent="0.35">
      <c r="P10609" s="8"/>
    </row>
    <row r="10610" spans="16:16" x14ac:dyDescent="0.35">
      <c r="P10610" s="8"/>
    </row>
    <row r="10611" spans="16:16" x14ac:dyDescent="0.35">
      <c r="P10611" s="8"/>
    </row>
    <row r="10612" spans="16:16" x14ac:dyDescent="0.35">
      <c r="P10612" s="8"/>
    </row>
    <row r="10613" spans="16:16" x14ac:dyDescent="0.35">
      <c r="P10613" s="8"/>
    </row>
    <row r="10614" spans="16:16" x14ac:dyDescent="0.35">
      <c r="P10614" s="8"/>
    </row>
    <row r="10615" spans="16:16" x14ac:dyDescent="0.35">
      <c r="P10615" s="8"/>
    </row>
    <row r="10616" spans="16:16" x14ac:dyDescent="0.35">
      <c r="P10616" s="8"/>
    </row>
    <row r="10617" spans="16:16" x14ac:dyDescent="0.35">
      <c r="P10617" s="8"/>
    </row>
    <row r="10618" spans="16:16" x14ac:dyDescent="0.35">
      <c r="P10618" s="8"/>
    </row>
    <row r="10619" spans="16:16" x14ac:dyDescent="0.35">
      <c r="P10619" s="8"/>
    </row>
    <row r="10620" spans="16:16" x14ac:dyDescent="0.35">
      <c r="P10620" s="8"/>
    </row>
    <row r="10621" spans="16:16" x14ac:dyDescent="0.35">
      <c r="P10621" s="8"/>
    </row>
    <row r="10622" spans="16:16" x14ac:dyDescent="0.35">
      <c r="P10622" s="8"/>
    </row>
    <row r="10623" spans="16:16" x14ac:dyDescent="0.35">
      <c r="P10623" s="8"/>
    </row>
    <row r="10624" spans="16:16" x14ac:dyDescent="0.35">
      <c r="P10624" s="8"/>
    </row>
    <row r="10625" spans="16:16" x14ac:dyDescent="0.35">
      <c r="P10625" s="8"/>
    </row>
    <row r="10626" spans="16:16" x14ac:dyDescent="0.35">
      <c r="P10626" s="8"/>
    </row>
    <row r="10627" spans="16:16" x14ac:dyDescent="0.35">
      <c r="P10627" s="8"/>
    </row>
    <row r="10628" spans="16:16" x14ac:dyDescent="0.35">
      <c r="P10628" s="8"/>
    </row>
    <row r="10629" spans="16:16" x14ac:dyDescent="0.35">
      <c r="P10629" s="8"/>
    </row>
    <row r="10630" spans="16:16" x14ac:dyDescent="0.35">
      <c r="P10630" s="8"/>
    </row>
    <row r="10631" spans="16:16" x14ac:dyDescent="0.35">
      <c r="P10631" s="8"/>
    </row>
    <row r="10632" spans="16:16" x14ac:dyDescent="0.35">
      <c r="P10632" s="8"/>
    </row>
    <row r="10633" spans="16:16" x14ac:dyDescent="0.35">
      <c r="P10633" s="8"/>
    </row>
    <row r="10634" spans="16:16" x14ac:dyDescent="0.35">
      <c r="P10634" s="8"/>
    </row>
    <row r="10635" spans="16:16" x14ac:dyDescent="0.35">
      <c r="P10635" s="8"/>
    </row>
    <row r="10636" spans="16:16" x14ac:dyDescent="0.35">
      <c r="P10636" s="8"/>
    </row>
    <row r="10637" spans="16:16" x14ac:dyDescent="0.35">
      <c r="P10637" s="8"/>
    </row>
    <row r="10638" spans="16:16" x14ac:dyDescent="0.35">
      <c r="P10638" s="8"/>
    </row>
    <row r="10639" spans="16:16" x14ac:dyDescent="0.35">
      <c r="P10639" s="8"/>
    </row>
    <row r="10640" spans="16:16" x14ac:dyDescent="0.35">
      <c r="P10640" s="8"/>
    </row>
    <row r="10641" spans="16:16" x14ac:dyDescent="0.35">
      <c r="P10641" s="8"/>
    </row>
    <row r="10642" spans="16:16" x14ac:dyDescent="0.35">
      <c r="P10642" s="8"/>
    </row>
    <row r="10643" spans="16:16" x14ac:dyDescent="0.35">
      <c r="P10643" s="8"/>
    </row>
    <row r="10644" spans="16:16" x14ac:dyDescent="0.35">
      <c r="P10644" s="8"/>
    </row>
    <row r="10645" spans="16:16" x14ac:dyDescent="0.35">
      <c r="P10645" s="8"/>
    </row>
    <row r="10646" spans="16:16" x14ac:dyDescent="0.35">
      <c r="P10646" s="8"/>
    </row>
    <row r="10647" spans="16:16" x14ac:dyDescent="0.35">
      <c r="P10647" s="8"/>
    </row>
    <row r="10648" spans="16:16" x14ac:dyDescent="0.35">
      <c r="P10648" s="8"/>
    </row>
    <row r="10649" spans="16:16" x14ac:dyDescent="0.35">
      <c r="P10649" s="8"/>
    </row>
    <row r="10650" spans="16:16" x14ac:dyDescent="0.35">
      <c r="P10650" s="8"/>
    </row>
    <row r="10651" spans="16:16" x14ac:dyDescent="0.35">
      <c r="P10651" s="8"/>
    </row>
    <row r="10652" spans="16:16" x14ac:dyDescent="0.35">
      <c r="P10652" s="8"/>
    </row>
    <row r="10653" spans="16:16" x14ac:dyDescent="0.35">
      <c r="P10653" s="8"/>
    </row>
    <row r="10654" spans="16:16" x14ac:dyDescent="0.35">
      <c r="P10654" s="8"/>
    </row>
    <row r="10655" spans="16:16" x14ac:dyDescent="0.35">
      <c r="P10655" s="8"/>
    </row>
    <row r="10656" spans="16:16" x14ac:dyDescent="0.35">
      <c r="P10656" s="8"/>
    </row>
    <row r="10657" spans="16:16" x14ac:dyDescent="0.35">
      <c r="P10657" s="8"/>
    </row>
    <row r="10658" spans="16:16" x14ac:dyDescent="0.35">
      <c r="P10658" s="8"/>
    </row>
    <row r="10659" spans="16:16" x14ac:dyDescent="0.35">
      <c r="P10659" s="8"/>
    </row>
    <row r="10660" spans="16:16" x14ac:dyDescent="0.35">
      <c r="P10660" s="8"/>
    </row>
    <row r="10661" spans="16:16" x14ac:dyDescent="0.35">
      <c r="P10661" s="8"/>
    </row>
    <row r="10662" spans="16:16" x14ac:dyDescent="0.35">
      <c r="P10662" s="8"/>
    </row>
    <row r="10663" spans="16:16" x14ac:dyDescent="0.35">
      <c r="P10663" s="8"/>
    </row>
    <row r="10664" spans="16:16" x14ac:dyDescent="0.35">
      <c r="P10664" s="8"/>
    </row>
    <row r="10665" spans="16:16" x14ac:dyDescent="0.35">
      <c r="P10665" s="8"/>
    </row>
    <row r="10666" spans="16:16" x14ac:dyDescent="0.35">
      <c r="P10666" s="8"/>
    </row>
    <row r="10667" spans="16:16" x14ac:dyDescent="0.35">
      <c r="P10667" s="8"/>
    </row>
    <row r="10668" spans="16:16" x14ac:dyDescent="0.35">
      <c r="P10668" s="8"/>
    </row>
    <row r="10669" spans="16:16" x14ac:dyDescent="0.35">
      <c r="P10669" s="8"/>
    </row>
    <row r="10670" spans="16:16" x14ac:dyDescent="0.35">
      <c r="P10670" s="8"/>
    </row>
    <row r="10671" spans="16:16" x14ac:dyDescent="0.35">
      <c r="P10671" s="8"/>
    </row>
    <row r="10672" spans="16:16" x14ac:dyDescent="0.35">
      <c r="P10672" s="8"/>
    </row>
    <row r="10673" spans="16:16" x14ac:dyDescent="0.35">
      <c r="P10673" s="8"/>
    </row>
    <row r="10674" spans="16:16" x14ac:dyDescent="0.35">
      <c r="P10674" s="8"/>
    </row>
    <row r="10675" spans="16:16" x14ac:dyDescent="0.35">
      <c r="P10675" s="8"/>
    </row>
    <row r="10676" spans="16:16" x14ac:dyDescent="0.35">
      <c r="P10676" s="8"/>
    </row>
    <row r="10677" spans="16:16" x14ac:dyDescent="0.35">
      <c r="P10677" s="8"/>
    </row>
    <row r="10678" spans="16:16" x14ac:dyDescent="0.35">
      <c r="P10678" s="8"/>
    </row>
    <row r="10679" spans="16:16" x14ac:dyDescent="0.35">
      <c r="P10679" s="8"/>
    </row>
    <row r="10680" spans="16:16" x14ac:dyDescent="0.35">
      <c r="P10680" s="8"/>
    </row>
    <row r="10681" spans="16:16" x14ac:dyDescent="0.35">
      <c r="P10681" s="8"/>
    </row>
    <row r="10682" spans="16:16" x14ac:dyDescent="0.35">
      <c r="P10682" s="8"/>
    </row>
    <row r="10683" spans="16:16" x14ac:dyDescent="0.35">
      <c r="P10683" s="8"/>
    </row>
    <row r="10684" spans="16:16" x14ac:dyDescent="0.35">
      <c r="P10684" s="8"/>
    </row>
    <row r="10685" spans="16:16" x14ac:dyDescent="0.35">
      <c r="P10685" s="8"/>
    </row>
    <row r="10686" spans="16:16" x14ac:dyDescent="0.35">
      <c r="P10686" s="8"/>
    </row>
    <row r="10687" spans="16:16" x14ac:dyDescent="0.35">
      <c r="P10687" s="8"/>
    </row>
    <row r="10688" spans="16:16" x14ac:dyDescent="0.35">
      <c r="P10688" s="8"/>
    </row>
    <row r="10689" spans="16:16" x14ac:dyDescent="0.35">
      <c r="P10689" s="8"/>
    </row>
    <row r="10690" spans="16:16" x14ac:dyDescent="0.35">
      <c r="P10690" s="8"/>
    </row>
    <row r="10691" spans="16:16" x14ac:dyDescent="0.35">
      <c r="P10691" s="8"/>
    </row>
    <row r="10692" spans="16:16" x14ac:dyDescent="0.35">
      <c r="P10692" s="8"/>
    </row>
    <row r="10693" spans="16:16" x14ac:dyDescent="0.35">
      <c r="P10693" s="8"/>
    </row>
    <row r="10694" spans="16:16" x14ac:dyDescent="0.35">
      <c r="P10694" s="8"/>
    </row>
    <row r="10695" spans="16:16" x14ac:dyDescent="0.35">
      <c r="P10695" s="8"/>
    </row>
    <row r="10696" spans="16:16" x14ac:dyDescent="0.35">
      <c r="P10696" s="8"/>
    </row>
    <row r="10697" spans="16:16" x14ac:dyDescent="0.35">
      <c r="P10697" s="8"/>
    </row>
    <row r="10698" spans="16:16" x14ac:dyDescent="0.35">
      <c r="P10698" s="8"/>
    </row>
    <row r="10699" spans="16:16" x14ac:dyDescent="0.35">
      <c r="P10699" s="8"/>
    </row>
    <row r="10700" spans="16:16" x14ac:dyDescent="0.35">
      <c r="P10700" s="8"/>
    </row>
    <row r="10701" spans="16:16" x14ac:dyDescent="0.35">
      <c r="P10701" s="8"/>
    </row>
    <row r="10702" spans="16:16" x14ac:dyDescent="0.35">
      <c r="P10702" s="8"/>
    </row>
    <row r="10703" spans="16:16" x14ac:dyDescent="0.35">
      <c r="P10703" s="8"/>
    </row>
    <row r="10704" spans="16:16" x14ac:dyDescent="0.35">
      <c r="P10704" s="8"/>
    </row>
    <row r="10705" spans="16:16" x14ac:dyDescent="0.35">
      <c r="P10705" s="8"/>
    </row>
    <row r="10706" spans="16:16" x14ac:dyDescent="0.35">
      <c r="P10706" s="8"/>
    </row>
    <row r="10707" spans="16:16" x14ac:dyDescent="0.35">
      <c r="P10707" s="8"/>
    </row>
    <row r="10708" spans="16:16" x14ac:dyDescent="0.35">
      <c r="P10708" s="8"/>
    </row>
    <row r="10709" spans="16:16" x14ac:dyDescent="0.35">
      <c r="P10709" s="8"/>
    </row>
    <row r="10710" spans="16:16" x14ac:dyDescent="0.35">
      <c r="P10710" s="8"/>
    </row>
    <row r="10711" spans="16:16" x14ac:dyDescent="0.35">
      <c r="P10711" s="8"/>
    </row>
    <row r="10712" spans="16:16" x14ac:dyDescent="0.35">
      <c r="P10712" s="8"/>
    </row>
    <row r="10713" spans="16:16" x14ac:dyDescent="0.35">
      <c r="P10713" s="8"/>
    </row>
    <row r="10714" spans="16:16" x14ac:dyDescent="0.35">
      <c r="P10714" s="8"/>
    </row>
    <row r="10715" spans="16:16" x14ac:dyDescent="0.35">
      <c r="P10715" s="8"/>
    </row>
    <row r="10716" spans="16:16" x14ac:dyDescent="0.35">
      <c r="P10716" s="8"/>
    </row>
    <row r="10717" spans="16:16" x14ac:dyDescent="0.35">
      <c r="P10717" s="8"/>
    </row>
    <row r="10718" spans="16:16" x14ac:dyDescent="0.35">
      <c r="P10718" s="8"/>
    </row>
    <row r="10719" spans="16:16" x14ac:dyDescent="0.35">
      <c r="P10719" s="8"/>
    </row>
    <row r="10720" spans="16:16" x14ac:dyDescent="0.35">
      <c r="P10720" s="8"/>
    </row>
    <row r="10721" spans="16:16" x14ac:dyDescent="0.35">
      <c r="P10721" s="8"/>
    </row>
    <row r="10722" spans="16:16" x14ac:dyDescent="0.35">
      <c r="P10722" s="8"/>
    </row>
    <row r="10723" spans="16:16" x14ac:dyDescent="0.35">
      <c r="P10723" s="8"/>
    </row>
    <row r="10724" spans="16:16" x14ac:dyDescent="0.35">
      <c r="P10724" s="8"/>
    </row>
    <row r="10725" spans="16:16" x14ac:dyDescent="0.35">
      <c r="P10725" s="8"/>
    </row>
    <row r="10726" spans="16:16" x14ac:dyDescent="0.35">
      <c r="P10726" s="8"/>
    </row>
    <row r="10727" spans="16:16" x14ac:dyDescent="0.35">
      <c r="P10727" s="8"/>
    </row>
    <row r="10728" spans="16:16" x14ac:dyDescent="0.35">
      <c r="P10728" s="8"/>
    </row>
    <row r="10729" spans="16:16" x14ac:dyDescent="0.35">
      <c r="P10729" s="8"/>
    </row>
    <row r="10730" spans="16:16" x14ac:dyDescent="0.35">
      <c r="P10730" s="8"/>
    </row>
    <row r="10731" spans="16:16" x14ac:dyDescent="0.35">
      <c r="P10731" s="8"/>
    </row>
    <row r="10732" spans="16:16" x14ac:dyDescent="0.35">
      <c r="P10732" s="8"/>
    </row>
    <row r="10733" spans="16:16" x14ac:dyDescent="0.35">
      <c r="P10733" s="8"/>
    </row>
    <row r="10734" spans="16:16" x14ac:dyDescent="0.35">
      <c r="P10734" s="8"/>
    </row>
    <row r="10735" spans="16:16" x14ac:dyDescent="0.35">
      <c r="P10735" s="8"/>
    </row>
    <row r="10736" spans="16:16" x14ac:dyDescent="0.35">
      <c r="P10736" s="8"/>
    </row>
    <row r="10737" spans="16:16" x14ac:dyDescent="0.35">
      <c r="P10737" s="8"/>
    </row>
    <row r="10738" spans="16:16" x14ac:dyDescent="0.35">
      <c r="P10738" s="8"/>
    </row>
    <row r="10739" spans="16:16" x14ac:dyDescent="0.35">
      <c r="P10739" s="8"/>
    </row>
    <row r="10740" spans="16:16" x14ac:dyDescent="0.35">
      <c r="P10740" s="8"/>
    </row>
    <row r="10741" spans="16:16" x14ac:dyDescent="0.35">
      <c r="P10741" s="8"/>
    </row>
    <row r="10742" spans="16:16" x14ac:dyDescent="0.35">
      <c r="P10742" s="8"/>
    </row>
    <row r="10743" spans="16:16" x14ac:dyDescent="0.35">
      <c r="P10743" s="8"/>
    </row>
    <row r="10744" spans="16:16" x14ac:dyDescent="0.35">
      <c r="P10744" s="8"/>
    </row>
    <row r="10745" spans="16:16" x14ac:dyDescent="0.35">
      <c r="P10745" s="8"/>
    </row>
    <row r="10746" spans="16:16" x14ac:dyDescent="0.35">
      <c r="P10746" s="8"/>
    </row>
    <row r="10747" spans="16:16" x14ac:dyDescent="0.35">
      <c r="P10747" s="8"/>
    </row>
    <row r="10748" spans="16:16" x14ac:dyDescent="0.35">
      <c r="P10748" s="8"/>
    </row>
    <row r="10749" spans="16:16" x14ac:dyDescent="0.35">
      <c r="P10749" s="8"/>
    </row>
    <row r="10750" spans="16:16" x14ac:dyDescent="0.35">
      <c r="P10750" s="8"/>
    </row>
    <row r="10751" spans="16:16" x14ac:dyDescent="0.35">
      <c r="P10751" s="8"/>
    </row>
    <row r="10752" spans="16:16" x14ac:dyDescent="0.35">
      <c r="P10752" s="8"/>
    </row>
    <row r="10753" spans="16:16" x14ac:dyDescent="0.35">
      <c r="P10753" s="8"/>
    </row>
    <row r="10754" spans="16:16" x14ac:dyDescent="0.35">
      <c r="P10754" s="8"/>
    </row>
    <row r="10755" spans="16:16" x14ac:dyDescent="0.35">
      <c r="P10755" s="8"/>
    </row>
    <row r="10756" spans="16:16" x14ac:dyDescent="0.35">
      <c r="P10756" s="8"/>
    </row>
    <row r="10757" spans="16:16" x14ac:dyDescent="0.35">
      <c r="P10757" s="8"/>
    </row>
    <row r="10758" spans="16:16" x14ac:dyDescent="0.35">
      <c r="P10758" s="8"/>
    </row>
    <row r="10759" spans="16:16" x14ac:dyDescent="0.35">
      <c r="P10759" s="8"/>
    </row>
    <row r="10760" spans="16:16" x14ac:dyDescent="0.35">
      <c r="P10760" s="8"/>
    </row>
    <row r="10761" spans="16:16" x14ac:dyDescent="0.35">
      <c r="P10761" s="8"/>
    </row>
    <row r="10762" spans="16:16" x14ac:dyDescent="0.35">
      <c r="P10762" s="8"/>
    </row>
    <row r="10763" spans="16:16" x14ac:dyDescent="0.35">
      <c r="P10763" s="8"/>
    </row>
    <row r="10764" spans="16:16" x14ac:dyDescent="0.35">
      <c r="P10764" s="8"/>
    </row>
    <row r="10765" spans="16:16" x14ac:dyDescent="0.35">
      <c r="P10765" s="8"/>
    </row>
    <row r="10766" spans="16:16" x14ac:dyDescent="0.35">
      <c r="P10766" s="8"/>
    </row>
    <row r="10767" spans="16:16" x14ac:dyDescent="0.35">
      <c r="P10767" s="8"/>
    </row>
    <row r="10768" spans="16:16" x14ac:dyDescent="0.35">
      <c r="P10768" s="8"/>
    </row>
    <row r="10769" spans="16:16" x14ac:dyDescent="0.35">
      <c r="P10769" s="8"/>
    </row>
    <row r="10770" spans="16:16" x14ac:dyDescent="0.35">
      <c r="P10770" s="8"/>
    </row>
    <row r="10771" spans="16:16" x14ac:dyDescent="0.35">
      <c r="P10771" s="8"/>
    </row>
    <row r="10772" spans="16:16" x14ac:dyDescent="0.35">
      <c r="P10772" s="8"/>
    </row>
    <row r="10773" spans="16:16" x14ac:dyDescent="0.35">
      <c r="P10773" s="8"/>
    </row>
    <row r="10774" spans="16:16" x14ac:dyDescent="0.35">
      <c r="P10774" s="8"/>
    </row>
    <row r="10775" spans="16:16" x14ac:dyDescent="0.35">
      <c r="P10775" s="8"/>
    </row>
    <row r="10776" spans="16:16" x14ac:dyDescent="0.35">
      <c r="P10776" s="8"/>
    </row>
    <row r="10777" spans="16:16" x14ac:dyDescent="0.35">
      <c r="P10777" s="8"/>
    </row>
    <row r="10778" spans="16:16" x14ac:dyDescent="0.35">
      <c r="P10778" s="8"/>
    </row>
    <row r="10779" spans="16:16" x14ac:dyDescent="0.35">
      <c r="P10779" s="8"/>
    </row>
    <row r="10780" spans="16:16" x14ac:dyDescent="0.35">
      <c r="P10780" s="8"/>
    </row>
    <row r="10781" spans="16:16" x14ac:dyDescent="0.35">
      <c r="P10781" s="8"/>
    </row>
    <row r="10782" spans="16:16" x14ac:dyDescent="0.35">
      <c r="P10782" s="8"/>
    </row>
    <row r="10783" spans="16:16" x14ac:dyDescent="0.35">
      <c r="P10783" s="8"/>
    </row>
    <row r="10784" spans="16:16" x14ac:dyDescent="0.35">
      <c r="P10784" s="8"/>
    </row>
    <row r="10785" spans="16:16" x14ac:dyDescent="0.35">
      <c r="P10785" s="8"/>
    </row>
    <row r="10786" spans="16:16" x14ac:dyDescent="0.35">
      <c r="P10786" s="8"/>
    </row>
    <row r="10787" spans="16:16" x14ac:dyDescent="0.35">
      <c r="P10787" s="8"/>
    </row>
    <row r="10788" spans="16:16" x14ac:dyDescent="0.35">
      <c r="P10788" s="8"/>
    </row>
    <row r="10789" spans="16:16" x14ac:dyDescent="0.35">
      <c r="P10789" s="8"/>
    </row>
    <row r="10790" spans="16:16" x14ac:dyDescent="0.35">
      <c r="P10790" s="8"/>
    </row>
    <row r="10791" spans="16:16" x14ac:dyDescent="0.35">
      <c r="P10791" s="8"/>
    </row>
    <row r="10792" spans="16:16" x14ac:dyDescent="0.35">
      <c r="P10792" s="8"/>
    </row>
    <row r="10793" spans="16:16" x14ac:dyDescent="0.35">
      <c r="P10793" s="8"/>
    </row>
    <row r="10794" spans="16:16" x14ac:dyDescent="0.35">
      <c r="P10794" s="8"/>
    </row>
    <row r="10795" spans="16:16" x14ac:dyDescent="0.35">
      <c r="P10795" s="8"/>
    </row>
    <row r="10796" spans="16:16" x14ac:dyDescent="0.35">
      <c r="P10796" s="8"/>
    </row>
    <row r="10797" spans="16:16" x14ac:dyDescent="0.35">
      <c r="P10797" s="8"/>
    </row>
    <row r="10798" spans="16:16" x14ac:dyDescent="0.35">
      <c r="P10798" s="8"/>
    </row>
    <row r="10799" spans="16:16" x14ac:dyDescent="0.35">
      <c r="P10799" s="8"/>
    </row>
    <row r="10800" spans="16:16" x14ac:dyDescent="0.35">
      <c r="P10800" s="8"/>
    </row>
    <row r="10801" spans="16:16" x14ac:dyDescent="0.35">
      <c r="P10801" s="8"/>
    </row>
    <row r="10802" spans="16:16" x14ac:dyDescent="0.35">
      <c r="P10802" s="8"/>
    </row>
    <row r="10803" spans="16:16" x14ac:dyDescent="0.35">
      <c r="P10803" s="8"/>
    </row>
    <row r="10804" spans="16:16" x14ac:dyDescent="0.35">
      <c r="P10804" s="8"/>
    </row>
    <row r="10805" spans="16:16" x14ac:dyDescent="0.35">
      <c r="P10805" s="8"/>
    </row>
    <row r="10806" spans="16:16" x14ac:dyDescent="0.35">
      <c r="P10806" s="8"/>
    </row>
    <row r="10807" spans="16:16" x14ac:dyDescent="0.35">
      <c r="P10807" s="8"/>
    </row>
    <row r="10808" spans="16:16" x14ac:dyDescent="0.35">
      <c r="P10808" s="8"/>
    </row>
    <row r="10809" spans="16:16" x14ac:dyDescent="0.35">
      <c r="P10809" s="8"/>
    </row>
    <row r="10810" spans="16:16" x14ac:dyDescent="0.35">
      <c r="P10810" s="8"/>
    </row>
    <row r="10811" spans="16:16" x14ac:dyDescent="0.35">
      <c r="P10811" s="8"/>
    </row>
    <row r="10812" spans="16:16" x14ac:dyDescent="0.35">
      <c r="P10812" s="8"/>
    </row>
    <row r="10813" spans="16:16" x14ac:dyDescent="0.35">
      <c r="P10813" s="8"/>
    </row>
    <row r="10814" spans="16:16" x14ac:dyDescent="0.35">
      <c r="P10814" s="8"/>
    </row>
    <row r="10815" spans="16:16" x14ac:dyDescent="0.35">
      <c r="P10815" s="8"/>
    </row>
    <row r="10816" spans="16:16" x14ac:dyDescent="0.35">
      <c r="P10816" s="8"/>
    </row>
    <row r="10817" spans="16:16" x14ac:dyDescent="0.35">
      <c r="P10817" s="8"/>
    </row>
    <row r="10818" spans="16:16" x14ac:dyDescent="0.35">
      <c r="P10818" s="8"/>
    </row>
    <row r="10819" spans="16:16" x14ac:dyDescent="0.35">
      <c r="P10819" s="8"/>
    </row>
    <row r="10820" spans="16:16" x14ac:dyDescent="0.35">
      <c r="P10820" s="8"/>
    </row>
    <row r="10821" spans="16:16" x14ac:dyDescent="0.35">
      <c r="P10821" s="8"/>
    </row>
    <row r="10822" spans="16:16" x14ac:dyDescent="0.35">
      <c r="P10822" s="8"/>
    </row>
    <row r="10823" spans="16:16" x14ac:dyDescent="0.35">
      <c r="P10823" s="8"/>
    </row>
    <row r="10824" spans="16:16" x14ac:dyDescent="0.35">
      <c r="P10824" s="8"/>
    </row>
    <row r="10825" spans="16:16" x14ac:dyDescent="0.35">
      <c r="P10825" s="8"/>
    </row>
    <row r="10826" spans="16:16" x14ac:dyDescent="0.35">
      <c r="P10826" s="8"/>
    </row>
    <row r="10827" spans="16:16" x14ac:dyDescent="0.35">
      <c r="P10827" s="8"/>
    </row>
    <row r="10828" spans="16:16" x14ac:dyDescent="0.35">
      <c r="P10828" s="8"/>
    </row>
    <row r="10829" spans="16:16" x14ac:dyDescent="0.35">
      <c r="P10829" s="8"/>
    </row>
    <row r="10830" spans="16:16" x14ac:dyDescent="0.35">
      <c r="P10830" s="8"/>
    </row>
    <row r="10831" spans="16:16" x14ac:dyDescent="0.35">
      <c r="P10831" s="8"/>
    </row>
    <row r="10832" spans="16:16" x14ac:dyDescent="0.35">
      <c r="P10832" s="8"/>
    </row>
    <row r="10833" spans="16:16" x14ac:dyDescent="0.35">
      <c r="P10833" s="8"/>
    </row>
    <row r="10834" spans="16:16" x14ac:dyDescent="0.35">
      <c r="P10834" s="8"/>
    </row>
    <row r="10835" spans="16:16" x14ac:dyDescent="0.35">
      <c r="P10835" s="8"/>
    </row>
    <row r="10836" spans="16:16" x14ac:dyDescent="0.35">
      <c r="P10836" s="8"/>
    </row>
    <row r="10837" spans="16:16" x14ac:dyDescent="0.35">
      <c r="P10837" s="8"/>
    </row>
    <row r="10838" spans="16:16" x14ac:dyDescent="0.35">
      <c r="P10838" s="8"/>
    </row>
    <row r="10839" spans="16:16" x14ac:dyDescent="0.35">
      <c r="P10839" s="8"/>
    </row>
    <row r="10840" spans="16:16" x14ac:dyDescent="0.35">
      <c r="P10840" s="8"/>
    </row>
    <row r="10841" spans="16:16" x14ac:dyDescent="0.35">
      <c r="P10841" s="8"/>
    </row>
    <row r="10842" spans="16:16" x14ac:dyDescent="0.35">
      <c r="P10842" s="8"/>
    </row>
    <row r="10843" spans="16:16" x14ac:dyDescent="0.35">
      <c r="P10843" s="8"/>
    </row>
    <row r="10844" spans="16:16" x14ac:dyDescent="0.35">
      <c r="P10844" s="8"/>
    </row>
    <row r="10845" spans="16:16" x14ac:dyDescent="0.35">
      <c r="P10845" s="8"/>
    </row>
    <row r="10846" spans="16:16" x14ac:dyDescent="0.35">
      <c r="P10846" s="8"/>
    </row>
    <row r="10847" spans="16:16" x14ac:dyDescent="0.35">
      <c r="P10847" s="8"/>
    </row>
    <row r="10848" spans="16:16" x14ac:dyDescent="0.35">
      <c r="P10848" s="8"/>
    </row>
    <row r="10849" spans="16:16" x14ac:dyDescent="0.35">
      <c r="P10849" s="8"/>
    </row>
    <row r="10850" spans="16:16" x14ac:dyDescent="0.35">
      <c r="P10850" s="8"/>
    </row>
    <row r="10851" spans="16:16" x14ac:dyDescent="0.35">
      <c r="P10851" s="8"/>
    </row>
    <row r="10852" spans="16:16" x14ac:dyDescent="0.35">
      <c r="P10852" s="8"/>
    </row>
    <row r="10853" spans="16:16" x14ac:dyDescent="0.35">
      <c r="P10853" s="8"/>
    </row>
    <row r="10854" spans="16:16" x14ac:dyDescent="0.35">
      <c r="P10854" s="8"/>
    </row>
    <row r="10855" spans="16:16" x14ac:dyDescent="0.35">
      <c r="P10855" s="8"/>
    </row>
    <row r="10856" spans="16:16" x14ac:dyDescent="0.35">
      <c r="P10856" s="8"/>
    </row>
    <row r="10857" spans="16:16" x14ac:dyDescent="0.35">
      <c r="P10857" s="8"/>
    </row>
    <row r="10858" spans="16:16" x14ac:dyDescent="0.35">
      <c r="P10858" s="8"/>
    </row>
    <row r="10859" spans="16:16" x14ac:dyDescent="0.35">
      <c r="P10859" s="8"/>
    </row>
    <row r="10860" spans="16:16" x14ac:dyDescent="0.35">
      <c r="P10860" s="8"/>
    </row>
    <row r="10861" spans="16:16" x14ac:dyDescent="0.35">
      <c r="P10861" s="8"/>
    </row>
    <row r="10862" spans="16:16" x14ac:dyDescent="0.35">
      <c r="P10862" s="8"/>
    </row>
    <row r="10863" spans="16:16" x14ac:dyDescent="0.35">
      <c r="P10863" s="8"/>
    </row>
    <row r="10864" spans="16:16" x14ac:dyDescent="0.35">
      <c r="P10864" s="8"/>
    </row>
    <row r="10865" spans="16:16" x14ac:dyDescent="0.35">
      <c r="P10865" s="8"/>
    </row>
    <row r="10866" spans="16:16" x14ac:dyDescent="0.35">
      <c r="P10866" s="8"/>
    </row>
    <row r="10867" spans="16:16" x14ac:dyDescent="0.35">
      <c r="P10867" s="8"/>
    </row>
    <row r="10868" spans="16:16" x14ac:dyDescent="0.35">
      <c r="P10868" s="8"/>
    </row>
    <row r="10869" spans="16:16" x14ac:dyDescent="0.35">
      <c r="P10869" s="8"/>
    </row>
    <row r="10870" spans="16:16" x14ac:dyDescent="0.35">
      <c r="P10870" s="8"/>
    </row>
    <row r="10871" spans="16:16" x14ac:dyDescent="0.35">
      <c r="P10871" s="8"/>
    </row>
    <row r="10872" spans="16:16" x14ac:dyDescent="0.35">
      <c r="P10872" s="8"/>
    </row>
    <row r="10873" spans="16:16" x14ac:dyDescent="0.35">
      <c r="P10873" s="8"/>
    </row>
    <row r="10874" spans="16:16" x14ac:dyDescent="0.35">
      <c r="P10874" s="8"/>
    </row>
    <row r="10875" spans="16:16" x14ac:dyDescent="0.35">
      <c r="P10875" s="8"/>
    </row>
    <row r="10876" spans="16:16" x14ac:dyDescent="0.35">
      <c r="P10876" s="8"/>
    </row>
    <row r="10877" spans="16:16" x14ac:dyDescent="0.35">
      <c r="P10877" s="8"/>
    </row>
    <row r="10878" spans="16:16" x14ac:dyDescent="0.35">
      <c r="P10878" s="8"/>
    </row>
    <row r="10879" spans="16:16" x14ac:dyDescent="0.35">
      <c r="P10879" s="8"/>
    </row>
    <row r="10880" spans="16:16" x14ac:dyDescent="0.35">
      <c r="P10880" s="8"/>
    </row>
    <row r="10881" spans="16:16" x14ac:dyDescent="0.35">
      <c r="P10881" s="8"/>
    </row>
    <row r="10882" spans="16:16" x14ac:dyDescent="0.35">
      <c r="P10882" s="8"/>
    </row>
    <row r="10883" spans="16:16" x14ac:dyDescent="0.35">
      <c r="P10883" s="8"/>
    </row>
    <row r="10884" spans="16:16" x14ac:dyDescent="0.35">
      <c r="P10884" s="8"/>
    </row>
    <row r="10885" spans="16:16" x14ac:dyDescent="0.35">
      <c r="P10885" s="8"/>
    </row>
    <row r="10886" spans="16:16" x14ac:dyDescent="0.35">
      <c r="P10886" s="8"/>
    </row>
    <row r="10887" spans="16:16" x14ac:dyDescent="0.35">
      <c r="P10887" s="8"/>
    </row>
    <row r="10888" spans="16:16" x14ac:dyDescent="0.35">
      <c r="P10888" s="8"/>
    </row>
    <row r="10889" spans="16:16" x14ac:dyDescent="0.35">
      <c r="P10889" s="8"/>
    </row>
    <row r="10890" spans="16:16" x14ac:dyDescent="0.35">
      <c r="P10890" s="8"/>
    </row>
    <row r="10891" spans="16:16" x14ac:dyDescent="0.35">
      <c r="P10891" s="8"/>
    </row>
    <row r="10892" spans="16:16" x14ac:dyDescent="0.35">
      <c r="P10892" s="8"/>
    </row>
    <row r="10893" spans="16:16" x14ac:dyDescent="0.35">
      <c r="P10893" s="8"/>
    </row>
    <row r="10894" spans="16:16" x14ac:dyDescent="0.35">
      <c r="P10894" s="8"/>
    </row>
    <row r="10895" spans="16:16" x14ac:dyDescent="0.35">
      <c r="P10895" s="8"/>
    </row>
    <row r="10896" spans="16:16" x14ac:dyDescent="0.35">
      <c r="P10896" s="8"/>
    </row>
    <row r="10897" spans="16:16" x14ac:dyDescent="0.35">
      <c r="P10897" s="8"/>
    </row>
    <row r="10898" spans="16:16" x14ac:dyDescent="0.35">
      <c r="P10898" s="8"/>
    </row>
    <row r="10899" spans="16:16" x14ac:dyDescent="0.35">
      <c r="P10899" s="8"/>
    </row>
    <row r="10900" spans="16:16" x14ac:dyDescent="0.35">
      <c r="P10900" s="8"/>
    </row>
    <row r="10901" spans="16:16" x14ac:dyDescent="0.35">
      <c r="P10901" s="8"/>
    </row>
    <row r="10902" spans="16:16" x14ac:dyDescent="0.35">
      <c r="P10902" s="8"/>
    </row>
    <row r="10903" spans="16:16" x14ac:dyDescent="0.35">
      <c r="P10903" s="8"/>
    </row>
    <row r="10904" spans="16:16" x14ac:dyDescent="0.35">
      <c r="P10904" s="8"/>
    </row>
    <row r="10905" spans="16:16" x14ac:dyDescent="0.35">
      <c r="P10905" s="8"/>
    </row>
    <row r="10906" spans="16:16" x14ac:dyDescent="0.35">
      <c r="P10906" s="8"/>
    </row>
    <row r="10907" spans="16:16" x14ac:dyDescent="0.35">
      <c r="P10907" s="8"/>
    </row>
    <row r="10908" spans="16:16" x14ac:dyDescent="0.35">
      <c r="P10908" s="8"/>
    </row>
    <row r="10909" spans="16:16" x14ac:dyDescent="0.35">
      <c r="P10909" s="8"/>
    </row>
    <row r="10910" spans="16:16" x14ac:dyDescent="0.35">
      <c r="P10910" s="8"/>
    </row>
    <row r="10911" spans="16:16" x14ac:dyDescent="0.35">
      <c r="P10911" s="8"/>
    </row>
    <row r="10912" spans="16:16" x14ac:dyDescent="0.35">
      <c r="P10912" s="8"/>
    </row>
    <row r="10913" spans="16:16" x14ac:dyDescent="0.35">
      <c r="P10913" s="8"/>
    </row>
    <row r="10914" spans="16:16" x14ac:dyDescent="0.35">
      <c r="P10914" s="8"/>
    </row>
    <row r="10915" spans="16:16" x14ac:dyDescent="0.35">
      <c r="P10915" s="8"/>
    </row>
    <row r="10916" spans="16:16" x14ac:dyDescent="0.35">
      <c r="P10916" s="8"/>
    </row>
    <row r="10917" spans="16:16" x14ac:dyDescent="0.35">
      <c r="P10917" s="8"/>
    </row>
    <row r="10918" spans="16:16" x14ac:dyDescent="0.35">
      <c r="P10918" s="8"/>
    </row>
    <row r="10919" spans="16:16" x14ac:dyDescent="0.35">
      <c r="P10919" s="8"/>
    </row>
    <row r="10920" spans="16:16" x14ac:dyDescent="0.35">
      <c r="P10920" s="8"/>
    </row>
    <row r="10921" spans="16:16" x14ac:dyDescent="0.35">
      <c r="P10921" s="8"/>
    </row>
    <row r="10922" spans="16:16" x14ac:dyDescent="0.35">
      <c r="P10922" s="8"/>
    </row>
    <row r="10923" spans="16:16" x14ac:dyDescent="0.35">
      <c r="P10923" s="8"/>
    </row>
    <row r="10924" spans="16:16" x14ac:dyDescent="0.35">
      <c r="P10924" s="8"/>
    </row>
    <row r="10925" spans="16:16" x14ac:dyDescent="0.35">
      <c r="P10925" s="8"/>
    </row>
    <row r="10926" spans="16:16" x14ac:dyDescent="0.35">
      <c r="P10926" s="8"/>
    </row>
    <row r="10927" spans="16:16" x14ac:dyDescent="0.35">
      <c r="P10927" s="8"/>
    </row>
    <row r="10928" spans="16:16" x14ac:dyDescent="0.35">
      <c r="P10928" s="8"/>
    </row>
    <row r="10929" spans="16:16" x14ac:dyDescent="0.35">
      <c r="P10929" s="8"/>
    </row>
    <row r="10930" spans="16:16" x14ac:dyDescent="0.35">
      <c r="P10930" s="8"/>
    </row>
    <row r="10931" spans="16:16" x14ac:dyDescent="0.35">
      <c r="P10931" s="8"/>
    </row>
    <row r="10932" spans="16:16" x14ac:dyDescent="0.35">
      <c r="P10932" s="8"/>
    </row>
    <row r="10933" spans="16:16" x14ac:dyDescent="0.35">
      <c r="P10933" s="8"/>
    </row>
    <row r="10934" spans="16:16" x14ac:dyDescent="0.35">
      <c r="P10934" s="8"/>
    </row>
    <row r="10935" spans="16:16" x14ac:dyDescent="0.35">
      <c r="P10935" s="8"/>
    </row>
    <row r="10936" spans="16:16" x14ac:dyDescent="0.35">
      <c r="P10936" s="8"/>
    </row>
    <row r="10937" spans="16:16" x14ac:dyDescent="0.35">
      <c r="P10937" s="8"/>
    </row>
    <row r="10938" spans="16:16" x14ac:dyDescent="0.35">
      <c r="P10938" s="8"/>
    </row>
    <row r="10939" spans="16:16" x14ac:dyDescent="0.35">
      <c r="P10939" s="8"/>
    </row>
    <row r="10940" spans="16:16" x14ac:dyDescent="0.35">
      <c r="P10940" s="8"/>
    </row>
    <row r="10941" spans="16:16" x14ac:dyDescent="0.35">
      <c r="P10941" s="8"/>
    </row>
    <row r="10942" spans="16:16" x14ac:dyDescent="0.35">
      <c r="P10942" s="8"/>
    </row>
    <row r="10943" spans="16:16" x14ac:dyDescent="0.35">
      <c r="P10943" s="8"/>
    </row>
    <row r="10944" spans="16:16" x14ac:dyDescent="0.35">
      <c r="P10944" s="8"/>
    </row>
    <row r="10945" spans="16:16" x14ac:dyDescent="0.35">
      <c r="P10945" s="8"/>
    </row>
    <row r="10946" spans="16:16" x14ac:dyDescent="0.35">
      <c r="P10946" s="8"/>
    </row>
    <row r="10947" spans="16:16" x14ac:dyDescent="0.35">
      <c r="P10947" s="8"/>
    </row>
    <row r="10948" spans="16:16" x14ac:dyDescent="0.35">
      <c r="P10948" s="8"/>
    </row>
    <row r="10949" spans="16:16" x14ac:dyDescent="0.35">
      <c r="P10949" s="8"/>
    </row>
    <row r="10950" spans="16:16" x14ac:dyDescent="0.35">
      <c r="P10950" s="8"/>
    </row>
    <row r="10951" spans="16:16" x14ac:dyDescent="0.35">
      <c r="P10951" s="8"/>
    </row>
    <row r="10952" spans="16:16" x14ac:dyDescent="0.35">
      <c r="P10952" s="8"/>
    </row>
    <row r="10953" spans="16:16" x14ac:dyDescent="0.35">
      <c r="P10953" s="8"/>
    </row>
    <row r="10954" spans="16:16" x14ac:dyDescent="0.35">
      <c r="P10954" s="8"/>
    </row>
    <row r="10955" spans="16:16" x14ac:dyDescent="0.35">
      <c r="P10955" s="8"/>
    </row>
    <row r="10956" spans="16:16" x14ac:dyDescent="0.35">
      <c r="P10956" s="8"/>
    </row>
    <row r="10957" spans="16:16" x14ac:dyDescent="0.35">
      <c r="P10957" s="8"/>
    </row>
    <row r="10958" spans="16:16" x14ac:dyDescent="0.35">
      <c r="P10958" s="8"/>
    </row>
    <row r="10959" spans="16:16" x14ac:dyDescent="0.35">
      <c r="P10959" s="8"/>
    </row>
    <row r="10960" spans="16:16" x14ac:dyDescent="0.35">
      <c r="P10960" s="8"/>
    </row>
    <row r="10961" spans="16:16" x14ac:dyDescent="0.35">
      <c r="P10961" s="8"/>
    </row>
    <row r="10962" spans="16:16" x14ac:dyDescent="0.35">
      <c r="P10962" s="8"/>
    </row>
    <row r="10963" spans="16:16" x14ac:dyDescent="0.35">
      <c r="P10963" s="8"/>
    </row>
    <row r="10964" spans="16:16" x14ac:dyDescent="0.35">
      <c r="P10964" s="8"/>
    </row>
    <row r="10965" spans="16:16" x14ac:dyDescent="0.35">
      <c r="P10965" s="8"/>
    </row>
    <row r="10966" spans="16:16" x14ac:dyDescent="0.35">
      <c r="P10966" s="8"/>
    </row>
    <row r="10967" spans="16:16" x14ac:dyDescent="0.35">
      <c r="P10967" s="8"/>
    </row>
    <row r="10968" spans="16:16" x14ac:dyDescent="0.35">
      <c r="P10968" s="8"/>
    </row>
    <row r="10969" spans="16:16" x14ac:dyDescent="0.35">
      <c r="P10969" s="8"/>
    </row>
    <row r="10970" spans="16:16" x14ac:dyDescent="0.35">
      <c r="P10970" s="8"/>
    </row>
    <row r="10971" spans="16:16" x14ac:dyDescent="0.35">
      <c r="P10971" s="8"/>
    </row>
    <row r="10972" spans="16:16" x14ac:dyDescent="0.35">
      <c r="P10972" s="8"/>
    </row>
    <row r="10973" spans="16:16" x14ac:dyDescent="0.35">
      <c r="P10973" s="8"/>
    </row>
    <row r="10974" spans="16:16" x14ac:dyDescent="0.35">
      <c r="P10974" s="8"/>
    </row>
    <row r="10975" spans="16:16" x14ac:dyDescent="0.35">
      <c r="P10975" s="8"/>
    </row>
    <row r="10976" spans="16:16" x14ac:dyDescent="0.35">
      <c r="P10976" s="8"/>
    </row>
    <row r="10977" spans="16:16" x14ac:dyDescent="0.35">
      <c r="P10977" s="8"/>
    </row>
    <row r="10978" spans="16:16" x14ac:dyDescent="0.35">
      <c r="P10978" s="8"/>
    </row>
    <row r="10979" spans="16:16" x14ac:dyDescent="0.35">
      <c r="P10979" s="8"/>
    </row>
    <row r="10980" spans="16:16" x14ac:dyDescent="0.35">
      <c r="P10980" s="8"/>
    </row>
    <row r="10981" spans="16:16" x14ac:dyDescent="0.35">
      <c r="P10981" s="8"/>
    </row>
    <row r="10982" spans="16:16" x14ac:dyDescent="0.35">
      <c r="P10982" s="8"/>
    </row>
    <row r="10983" spans="16:16" x14ac:dyDescent="0.35">
      <c r="P10983" s="8"/>
    </row>
    <row r="10984" spans="16:16" x14ac:dyDescent="0.35">
      <c r="P10984" s="8"/>
    </row>
    <row r="10985" spans="16:16" x14ac:dyDescent="0.35">
      <c r="P10985" s="8"/>
    </row>
    <row r="10986" spans="16:16" x14ac:dyDescent="0.35">
      <c r="P10986" s="8"/>
    </row>
    <row r="10987" spans="16:16" x14ac:dyDescent="0.35">
      <c r="P10987" s="8"/>
    </row>
    <row r="10988" spans="16:16" x14ac:dyDescent="0.35">
      <c r="P10988" s="8"/>
    </row>
    <row r="10989" spans="16:16" x14ac:dyDescent="0.35">
      <c r="P10989" s="8"/>
    </row>
    <row r="10990" spans="16:16" x14ac:dyDescent="0.35">
      <c r="P10990" s="8"/>
    </row>
    <row r="10991" spans="16:16" x14ac:dyDescent="0.35">
      <c r="P10991" s="8"/>
    </row>
    <row r="10992" spans="16:16" x14ac:dyDescent="0.35">
      <c r="P10992" s="8"/>
    </row>
    <row r="10993" spans="16:16" x14ac:dyDescent="0.35">
      <c r="P10993" s="8"/>
    </row>
    <row r="10994" spans="16:16" x14ac:dyDescent="0.35">
      <c r="P10994" s="8"/>
    </row>
    <row r="10995" spans="16:16" x14ac:dyDescent="0.35">
      <c r="P10995" s="8"/>
    </row>
    <row r="10996" spans="16:16" x14ac:dyDescent="0.35">
      <c r="P10996" s="8"/>
    </row>
    <row r="10997" spans="16:16" x14ac:dyDescent="0.35">
      <c r="P10997" s="8"/>
    </row>
    <row r="10998" spans="16:16" x14ac:dyDescent="0.35">
      <c r="P10998" s="8"/>
    </row>
    <row r="10999" spans="16:16" x14ac:dyDescent="0.35">
      <c r="P10999" s="8"/>
    </row>
    <row r="11000" spans="16:16" x14ac:dyDescent="0.35">
      <c r="P11000" s="8"/>
    </row>
    <row r="11001" spans="16:16" x14ac:dyDescent="0.35">
      <c r="P11001" s="8"/>
    </row>
    <row r="11002" spans="16:16" x14ac:dyDescent="0.35">
      <c r="P11002" s="8"/>
    </row>
    <row r="11003" spans="16:16" x14ac:dyDescent="0.35">
      <c r="P11003" s="8"/>
    </row>
    <row r="11004" spans="16:16" x14ac:dyDescent="0.35">
      <c r="P11004" s="8"/>
    </row>
    <row r="11005" spans="16:16" x14ac:dyDescent="0.35">
      <c r="P11005" s="8"/>
    </row>
    <row r="11006" spans="16:16" x14ac:dyDescent="0.35">
      <c r="P11006" s="8"/>
    </row>
    <row r="11007" spans="16:16" x14ac:dyDescent="0.35">
      <c r="P11007" s="8"/>
    </row>
    <row r="11008" spans="16:16" x14ac:dyDescent="0.35">
      <c r="P11008" s="8"/>
    </row>
    <row r="11009" spans="16:16" x14ac:dyDescent="0.35">
      <c r="P11009" s="8"/>
    </row>
    <row r="11010" spans="16:16" x14ac:dyDescent="0.35">
      <c r="P11010" s="8"/>
    </row>
    <row r="11011" spans="16:16" x14ac:dyDescent="0.35">
      <c r="P11011" s="8"/>
    </row>
    <row r="11012" spans="16:16" x14ac:dyDescent="0.35">
      <c r="P11012" s="8"/>
    </row>
    <row r="11013" spans="16:16" x14ac:dyDescent="0.35">
      <c r="P11013" s="8"/>
    </row>
    <row r="11014" spans="16:16" x14ac:dyDescent="0.35">
      <c r="P11014" s="8"/>
    </row>
    <row r="11015" spans="16:16" x14ac:dyDescent="0.35">
      <c r="P11015" s="8"/>
    </row>
    <row r="11016" spans="16:16" x14ac:dyDescent="0.35">
      <c r="P11016" s="8"/>
    </row>
    <row r="11017" spans="16:16" x14ac:dyDescent="0.35">
      <c r="P11017" s="8"/>
    </row>
    <row r="11018" spans="16:16" x14ac:dyDescent="0.35">
      <c r="P11018" s="8"/>
    </row>
    <row r="11019" spans="16:16" x14ac:dyDescent="0.35">
      <c r="P11019" s="8"/>
    </row>
    <row r="11020" spans="16:16" x14ac:dyDescent="0.35">
      <c r="P11020" s="8"/>
    </row>
    <row r="11021" spans="16:16" x14ac:dyDescent="0.35">
      <c r="P11021" s="8"/>
    </row>
    <row r="11022" spans="16:16" x14ac:dyDescent="0.35">
      <c r="P11022" s="8"/>
    </row>
    <row r="11023" spans="16:16" x14ac:dyDescent="0.35">
      <c r="P11023" s="8"/>
    </row>
    <row r="11024" spans="16:16" x14ac:dyDescent="0.35">
      <c r="P11024" s="8"/>
    </row>
    <row r="11025" spans="16:16" x14ac:dyDescent="0.35">
      <c r="P11025" s="8"/>
    </row>
    <row r="11026" spans="16:16" x14ac:dyDescent="0.35">
      <c r="P11026" s="8"/>
    </row>
    <row r="11027" spans="16:16" x14ac:dyDescent="0.35">
      <c r="P11027" s="8"/>
    </row>
    <row r="11028" spans="16:16" x14ac:dyDescent="0.35">
      <c r="P11028" s="8"/>
    </row>
    <row r="11029" spans="16:16" x14ac:dyDescent="0.35">
      <c r="P11029" s="8"/>
    </row>
    <row r="11030" spans="16:16" x14ac:dyDescent="0.35">
      <c r="P11030" s="8"/>
    </row>
    <row r="11031" spans="16:16" x14ac:dyDescent="0.35">
      <c r="P11031" s="8"/>
    </row>
    <row r="11032" spans="16:16" x14ac:dyDescent="0.35">
      <c r="P11032" s="8"/>
    </row>
    <row r="11033" spans="16:16" x14ac:dyDescent="0.35">
      <c r="P11033" s="8"/>
    </row>
    <row r="11034" spans="16:16" x14ac:dyDescent="0.35">
      <c r="P11034" s="8"/>
    </row>
    <row r="11035" spans="16:16" x14ac:dyDescent="0.35">
      <c r="P11035" s="8"/>
    </row>
    <row r="11036" spans="16:16" x14ac:dyDescent="0.35">
      <c r="P11036" s="8"/>
    </row>
    <row r="11037" spans="16:16" x14ac:dyDescent="0.35">
      <c r="P11037" s="8"/>
    </row>
    <row r="11038" spans="16:16" x14ac:dyDescent="0.35">
      <c r="P11038" s="8"/>
    </row>
    <row r="11039" spans="16:16" x14ac:dyDescent="0.35">
      <c r="P11039" s="8"/>
    </row>
    <row r="11040" spans="16:16" x14ac:dyDescent="0.35">
      <c r="P11040" s="8"/>
    </row>
    <row r="11041" spans="16:16" x14ac:dyDescent="0.35">
      <c r="P11041" s="8"/>
    </row>
    <row r="11042" spans="16:16" x14ac:dyDescent="0.35">
      <c r="P11042" s="8"/>
    </row>
    <row r="11043" spans="16:16" x14ac:dyDescent="0.35">
      <c r="P11043" s="8"/>
    </row>
    <row r="11044" spans="16:16" x14ac:dyDescent="0.35">
      <c r="P11044" s="8"/>
    </row>
    <row r="11045" spans="16:16" x14ac:dyDescent="0.35">
      <c r="P11045" s="8"/>
    </row>
    <row r="11046" spans="16:16" x14ac:dyDescent="0.35">
      <c r="P11046" s="8"/>
    </row>
    <row r="11047" spans="16:16" x14ac:dyDescent="0.35">
      <c r="P11047" s="8"/>
    </row>
    <row r="11048" spans="16:16" x14ac:dyDescent="0.35">
      <c r="P11048" s="8"/>
    </row>
    <row r="11049" spans="16:16" x14ac:dyDescent="0.35">
      <c r="P11049" s="8"/>
    </row>
    <row r="11050" spans="16:16" x14ac:dyDescent="0.35">
      <c r="P11050" s="8"/>
    </row>
    <row r="11051" spans="16:16" x14ac:dyDescent="0.35">
      <c r="P11051" s="8"/>
    </row>
    <row r="11052" spans="16:16" x14ac:dyDescent="0.35">
      <c r="P11052" s="8"/>
    </row>
    <row r="11053" spans="16:16" x14ac:dyDescent="0.35">
      <c r="P11053" s="8"/>
    </row>
    <row r="11054" spans="16:16" x14ac:dyDescent="0.35">
      <c r="P11054" s="8"/>
    </row>
    <row r="11055" spans="16:16" x14ac:dyDescent="0.35">
      <c r="P11055" s="8"/>
    </row>
    <row r="11056" spans="16:16" x14ac:dyDescent="0.35">
      <c r="P11056" s="8"/>
    </row>
    <row r="11057" spans="16:16" x14ac:dyDescent="0.35">
      <c r="P11057" s="8"/>
    </row>
    <row r="11058" spans="16:16" x14ac:dyDescent="0.35">
      <c r="P11058" s="8"/>
    </row>
    <row r="11059" spans="16:16" x14ac:dyDescent="0.35">
      <c r="P11059" s="8"/>
    </row>
    <row r="11060" spans="16:16" x14ac:dyDescent="0.35">
      <c r="P11060" s="8"/>
    </row>
    <row r="11061" spans="16:16" x14ac:dyDescent="0.35">
      <c r="P11061" s="8"/>
    </row>
    <row r="11062" spans="16:16" x14ac:dyDescent="0.35">
      <c r="P11062" s="8"/>
    </row>
    <row r="11063" spans="16:16" x14ac:dyDescent="0.35">
      <c r="P11063" s="8"/>
    </row>
    <row r="11064" spans="16:16" x14ac:dyDescent="0.35">
      <c r="P11064" s="8"/>
    </row>
    <row r="11065" spans="16:16" x14ac:dyDescent="0.35">
      <c r="P11065" s="8"/>
    </row>
    <row r="11066" spans="16:16" x14ac:dyDescent="0.35">
      <c r="P11066" s="8"/>
    </row>
    <row r="11067" spans="16:16" x14ac:dyDescent="0.35">
      <c r="P11067" s="8"/>
    </row>
    <row r="11068" spans="16:16" x14ac:dyDescent="0.35">
      <c r="P11068" s="8"/>
    </row>
    <row r="11069" spans="16:16" x14ac:dyDescent="0.35">
      <c r="P11069" s="8"/>
    </row>
    <row r="11070" spans="16:16" x14ac:dyDescent="0.35">
      <c r="P11070" s="8"/>
    </row>
    <row r="11071" spans="16:16" x14ac:dyDescent="0.35">
      <c r="P11071" s="8"/>
    </row>
    <row r="11072" spans="16:16" x14ac:dyDescent="0.35">
      <c r="P11072" s="8"/>
    </row>
    <row r="11073" spans="16:16" x14ac:dyDescent="0.35">
      <c r="P11073" s="8"/>
    </row>
    <row r="11074" spans="16:16" x14ac:dyDescent="0.35">
      <c r="P11074" s="8"/>
    </row>
    <row r="11075" spans="16:16" x14ac:dyDescent="0.35">
      <c r="P11075" s="8"/>
    </row>
    <row r="11076" spans="16:16" x14ac:dyDescent="0.35">
      <c r="P11076" s="8"/>
    </row>
    <row r="11077" spans="16:16" x14ac:dyDescent="0.35">
      <c r="P11077" s="8"/>
    </row>
    <row r="11078" spans="16:16" x14ac:dyDescent="0.35">
      <c r="P11078" s="8"/>
    </row>
    <row r="11079" spans="16:16" x14ac:dyDescent="0.35">
      <c r="P11079" s="8"/>
    </row>
    <row r="11080" spans="16:16" x14ac:dyDescent="0.35">
      <c r="P11080" s="8"/>
    </row>
    <row r="11081" spans="16:16" x14ac:dyDescent="0.35">
      <c r="P11081" s="8"/>
    </row>
    <row r="11082" spans="16:16" x14ac:dyDescent="0.35">
      <c r="P11082" s="8"/>
    </row>
    <row r="11083" spans="16:16" x14ac:dyDescent="0.35">
      <c r="P11083" s="8"/>
    </row>
    <row r="11084" spans="16:16" x14ac:dyDescent="0.35">
      <c r="P11084" s="8"/>
    </row>
    <row r="11085" spans="16:16" x14ac:dyDescent="0.35">
      <c r="P11085" s="8"/>
    </row>
    <row r="11086" spans="16:16" x14ac:dyDescent="0.35">
      <c r="P11086" s="8"/>
    </row>
    <row r="11087" spans="16:16" x14ac:dyDescent="0.35">
      <c r="P11087" s="8"/>
    </row>
    <row r="11088" spans="16:16" x14ac:dyDescent="0.35">
      <c r="P11088" s="8"/>
    </row>
    <row r="11089" spans="16:16" x14ac:dyDescent="0.35">
      <c r="P11089" s="8"/>
    </row>
    <row r="11090" spans="16:16" x14ac:dyDescent="0.35">
      <c r="P11090" s="8"/>
    </row>
    <row r="11091" spans="16:16" x14ac:dyDescent="0.35">
      <c r="P11091" s="8"/>
    </row>
    <row r="11092" spans="16:16" x14ac:dyDescent="0.35">
      <c r="P11092" s="8"/>
    </row>
    <row r="11093" spans="16:16" x14ac:dyDescent="0.35">
      <c r="P11093" s="8"/>
    </row>
    <row r="11094" spans="16:16" x14ac:dyDescent="0.35">
      <c r="P11094" s="8"/>
    </row>
    <row r="11095" spans="16:16" x14ac:dyDescent="0.35">
      <c r="P11095" s="8"/>
    </row>
    <row r="11096" spans="16:16" x14ac:dyDescent="0.35">
      <c r="P11096" s="8"/>
    </row>
    <row r="11097" spans="16:16" x14ac:dyDescent="0.35">
      <c r="P11097" s="8"/>
    </row>
    <row r="11098" spans="16:16" x14ac:dyDescent="0.35">
      <c r="P11098" s="8"/>
    </row>
    <row r="11099" spans="16:16" x14ac:dyDescent="0.35">
      <c r="P11099" s="8"/>
    </row>
    <row r="11100" spans="16:16" x14ac:dyDescent="0.35">
      <c r="P11100" s="8"/>
    </row>
    <row r="11101" spans="16:16" x14ac:dyDescent="0.35">
      <c r="P11101" s="8"/>
    </row>
    <row r="11102" spans="16:16" x14ac:dyDescent="0.35">
      <c r="P11102" s="8"/>
    </row>
    <row r="11103" spans="16:16" x14ac:dyDescent="0.35">
      <c r="P11103" s="8"/>
    </row>
    <row r="11104" spans="16:16" x14ac:dyDescent="0.35">
      <c r="P11104" s="8"/>
    </row>
    <row r="11105" spans="16:16" x14ac:dyDescent="0.35">
      <c r="P11105" s="8"/>
    </row>
    <row r="11106" spans="16:16" x14ac:dyDescent="0.35">
      <c r="P11106" s="8"/>
    </row>
    <row r="11107" spans="16:16" x14ac:dyDescent="0.35">
      <c r="P11107" s="8"/>
    </row>
    <row r="11108" spans="16:16" x14ac:dyDescent="0.35">
      <c r="P11108" s="8"/>
    </row>
    <row r="11109" spans="16:16" x14ac:dyDescent="0.35">
      <c r="P11109" s="8"/>
    </row>
    <row r="11110" spans="16:16" x14ac:dyDescent="0.35">
      <c r="P11110" s="8"/>
    </row>
    <row r="11111" spans="16:16" x14ac:dyDescent="0.35">
      <c r="P11111" s="8"/>
    </row>
    <row r="11112" spans="16:16" x14ac:dyDescent="0.35">
      <c r="P11112" s="8"/>
    </row>
    <row r="11113" spans="16:16" x14ac:dyDescent="0.35">
      <c r="P11113" s="8"/>
    </row>
    <row r="11114" spans="16:16" x14ac:dyDescent="0.35">
      <c r="P11114" s="8"/>
    </row>
    <row r="11115" spans="16:16" x14ac:dyDescent="0.35">
      <c r="P11115" s="8"/>
    </row>
    <row r="11116" spans="16:16" x14ac:dyDescent="0.35">
      <c r="P11116" s="8"/>
    </row>
    <row r="11117" spans="16:16" x14ac:dyDescent="0.35">
      <c r="P11117" s="8"/>
    </row>
    <row r="11118" spans="16:16" x14ac:dyDescent="0.35">
      <c r="P11118" s="8"/>
    </row>
    <row r="11119" spans="16:16" x14ac:dyDescent="0.35">
      <c r="P11119" s="8"/>
    </row>
    <row r="11120" spans="16:16" x14ac:dyDescent="0.35">
      <c r="P11120" s="8"/>
    </row>
    <row r="11121" spans="16:16" x14ac:dyDescent="0.35">
      <c r="P11121" s="8"/>
    </row>
    <row r="11122" spans="16:16" x14ac:dyDescent="0.35">
      <c r="P11122" s="8"/>
    </row>
    <row r="11123" spans="16:16" x14ac:dyDescent="0.35">
      <c r="P11123" s="8"/>
    </row>
    <row r="11124" spans="16:16" x14ac:dyDescent="0.35">
      <c r="P11124" s="8"/>
    </row>
    <row r="11125" spans="16:16" x14ac:dyDescent="0.35">
      <c r="P11125" s="8"/>
    </row>
    <row r="11126" spans="16:16" x14ac:dyDescent="0.35">
      <c r="P11126" s="8"/>
    </row>
    <row r="11127" spans="16:16" x14ac:dyDescent="0.35">
      <c r="P11127" s="8"/>
    </row>
    <row r="11128" spans="16:16" x14ac:dyDescent="0.35">
      <c r="P11128" s="8"/>
    </row>
    <row r="11129" spans="16:16" x14ac:dyDescent="0.35">
      <c r="P11129" s="8"/>
    </row>
    <row r="11130" spans="16:16" x14ac:dyDescent="0.35">
      <c r="P11130" s="8"/>
    </row>
    <row r="11131" spans="16:16" x14ac:dyDescent="0.35">
      <c r="P11131" s="8"/>
    </row>
    <row r="11132" spans="16:16" x14ac:dyDescent="0.35">
      <c r="P11132" s="8"/>
    </row>
    <row r="11133" spans="16:16" x14ac:dyDescent="0.35">
      <c r="P11133" s="8"/>
    </row>
    <row r="11134" spans="16:16" x14ac:dyDescent="0.35">
      <c r="P11134" s="8"/>
    </row>
    <row r="11135" spans="16:16" x14ac:dyDescent="0.35">
      <c r="P11135" s="8"/>
    </row>
    <row r="11136" spans="16:16" x14ac:dyDescent="0.35">
      <c r="P11136" s="8"/>
    </row>
    <row r="11137" spans="16:16" x14ac:dyDescent="0.35">
      <c r="P11137" s="8"/>
    </row>
    <row r="11138" spans="16:16" x14ac:dyDescent="0.35">
      <c r="P11138" s="8"/>
    </row>
    <row r="11139" spans="16:16" x14ac:dyDescent="0.35">
      <c r="P11139" s="8"/>
    </row>
    <row r="11140" spans="16:16" x14ac:dyDescent="0.35">
      <c r="P11140" s="8"/>
    </row>
    <row r="11141" spans="16:16" x14ac:dyDescent="0.35">
      <c r="P11141" s="8"/>
    </row>
    <row r="11142" spans="16:16" x14ac:dyDescent="0.35">
      <c r="P11142" s="8"/>
    </row>
    <row r="11143" spans="16:16" x14ac:dyDescent="0.35">
      <c r="P11143" s="8"/>
    </row>
    <row r="11144" spans="16:16" x14ac:dyDescent="0.35">
      <c r="P11144" s="8"/>
    </row>
    <row r="11145" spans="16:16" x14ac:dyDescent="0.35">
      <c r="P11145" s="8"/>
    </row>
    <row r="11146" spans="16:16" x14ac:dyDescent="0.35">
      <c r="P11146" s="8"/>
    </row>
    <row r="11147" spans="16:16" x14ac:dyDescent="0.35">
      <c r="P11147" s="8"/>
    </row>
    <row r="11148" spans="16:16" x14ac:dyDescent="0.35">
      <c r="P11148" s="8"/>
    </row>
    <row r="11149" spans="16:16" x14ac:dyDescent="0.35">
      <c r="P11149" s="8"/>
    </row>
    <row r="11150" spans="16:16" x14ac:dyDescent="0.35">
      <c r="P11150" s="8"/>
    </row>
    <row r="11151" spans="16:16" x14ac:dyDescent="0.35">
      <c r="P11151" s="8"/>
    </row>
    <row r="11152" spans="16:16" x14ac:dyDescent="0.35">
      <c r="P11152" s="8"/>
    </row>
    <row r="11153" spans="16:16" x14ac:dyDescent="0.35">
      <c r="P11153" s="8"/>
    </row>
    <row r="11154" spans="16:16" x14ac:dyDescent="0.35">
      <c r="P11154" s="8"/>
    </row>
    <row r="11155" spans="16:16" x14ac:dyDescent="0.35">
      <c r="P11155" s="8"/>
    </row>
    <row r="11156" spans="16:16" x14ac:dyDescent="0.35">
      <c r="P11156" s="8"/>
    </row>
    <row r="11157" spans="16:16" x14ac:dyDescent="0.35">
      <c r="P11157" s="8"/>
    </row>
    <row r="11158" spans="16:16" x14ac:dyDescent="0.35">
      <c r="P11158" s="8"/>
    </row>
    <row r="11159" spans="16:16" x14ac:dyDescent="0.35">
      <c r="P11159" s="8"/>
    </row>
    <row r="11160" spans="16:16" x14ac:dyDescent="0.35">
      <c r="P11160" s="8"/>
    </row>
    <row r="11161" spans="16:16" x14ac:dyDescent="0.35">
      <c r="P11161" s="8"/>
    </row>
    <row r="11162" spans="16:16" x14ac:dyDescent="0.35">
      <c r="P11162" s="8"/>
    </row>
    <row r="11163" spans="16:16" x14ac:dyDescent="0.35">
      <c r="P11163" s="8"/>
    </row>
    <row r="11164" spans="16:16" x14ac:dyDescent="0.35">
      <c r="P11164" s="8"/>
    </row>
    <row r="11165" spans="16:16" x14ac:dyDescent="0.35">
      <c r="P11165" s="8"/>
    </row>
    <row r="11166" spans="16:16" x14ac:dyDescent="0.35">
      <c r="P11166" s="8"/>
    </row>
    <row r="11167" spans="16:16" x14ac:dyDescent="0.35">
      <c r="P11167" s="8"/>
    </row>
    <row r="11168" spans="16:16" x14ac:dyDescent="0.35">
      <c r="P11168" s="8"/>
    </row>
    <row r="11169" spans="16:16" x14ac:dyDescent="0.35">
      <c r="P11169" s="8"/>
    </row>
    <row r="11170" spans="16:16" x14ac:dyDescent="0.35">
      <c r="P11170" s="8"/>
    </row>
    <row r="11171" spans="16:16" x14ac:dyDescent="0.35">
      <c r="P11171" s="8"/>
    </row>
    <row r="11172" spans="16:16" x14ac:dyDescent="0.35">
      <c r="P11172" s="8"/>
    </row>
    <row r="11173" spans="16:16" x14ac:dyDescent="0.35">
      <c r="P11173" s="8"/>
    </row>
    <row r="11174" spans="16:16" x14ac:dyDescent="0.35">
      <c r="P11174" s="8"/>
    </row>
    <row r="11175" spans="16:16" x14ac:dyDescent="0.35">
      <c r="P11175" s="8"/>
    </row>
    <row r="11176" spans="16:16" x14ac:dyDescent="0.35">
      <c r="P11176" s="8"/>
    </row>
    <row r="11177" spans="16:16" x14ac:dyDescent="0.35">
      <c r="P11177" s="8"/>
    </row>
    <row r="11178" spans="16:16" x14ac:dyDescent="0.35">
      <c r="P11178" s="8"/>
    </row>
    <row r="11179" spans="16:16" x14ac:dyDescent="0.35">
      <c r="P11179" s="8"/>
    </row>
    <row r="11180" spans="16:16" x14ac:dyDescent="0.35">
      <c r="P11180" s="8"/>
    </row>
    <row r="11181" spans="16:16" x14ac:dyDescent="0.35">
      <c r="P11181" s="8"/>
    </row>
    <row r="11182" spans="16:16" x14ac:dyDescent="0.35">
      <c r="P11182" s="8"/>
    </row>
    <row r="11183" spans="16:16" x14ac:dyDescent="0.35">
      <c r="P11183" s="8"/>
    </row>
    <row r="11184" spans="16:16" x14ac:dyDescent="0.35">
      <c r="P11184" s="8"/>
    </row>
    <row r="11185" spans="16:16" x14ac:dyDescent="0.35">
      <c r="P11185" s="8"/>
    </row>
    <row r="11186" spans="16:16" x14ac:dyDescent="0.35">
      <c r="P11186" s="8"/>
    </row>
    <row r="11187" spans="16:16" x14ac:dyDescent="0.35">
      <c r="P11187" s="8"/>
    </row>
    <row r="11188" spans="16:16" x14ac:dyDescent="0.35">
      <c r="P11188" s="8"/>
    </row>
    <row r="11189" spans="16:16" x14ac:dyDescent="0.35">
      <c r="P11189" s="8"/>
    </row>
    <row r="11190" spans="16:16" x14ac:dyDescent="0.35">
      <c r="P11190" s="8"/>
    </row>
    <row r="11191" spans="16:16" x14ac:dyDescent="0.35">
      <c r="P11191" s="8"/>
    </row>
    <row r="11192" spans="16:16" x14ac:dyDescent="0.35">
      <c r="P11192" s="8"/>
    </row>
    <row r="11193" spans="16:16" x14ac:dyDescent="0.35">
      <c r="P11193" s="8"/>
    </row>
    <row r="11194" spans="16:16" x14ac:dyDescent="0.35">
      <c r="P11194" s="8"/>
    </row>
    <row r="11195" spans="16:16" x14ac:dyDescent="0.35">
      <c r="P11195" s="8"/>
    </row>
    <row r="11196" spans="16:16" x14ac:dyDescent="0.35">
      <c r="P11196" s="8"/>
    </row>
    <row r="11197" spans="16:16" x14ac:dyDescent="0.35">
      <c r="P11197" s="8"/>
    </row>
    <row r="11198" spans="16:16" x14ac:dyDescent="0.35">
      <c r="P11198" s="8"/>
    </row>
    <row r="11199" spans="16:16" x14ac:dyDescent="0.35">
      <c r="P11199" s="8"/>
    </row>
    <row r="11200" spans="16:16" x14ac:dyDescent="0.35">
      <c r="P11200" s="8"/>
    </row>
    <row r="11201" spans="16:16" x14ac:dyDescent="0.35">
      <c r="P11201" s="8"/>
    </row>
    <row r="11202" spans="16:16" x14ac:dyDescent="0.35">
      <c r="P11202" s="8"/>
    </row>
    <row r="11203" spans="16:16" x14ac:dyDescent="0.35">
      <c r="P11203" s="8"/>
    </row>
    <row r="11204" spans="16:16" x14ac:dyDescent="0.35">
      <c r="P11204" s="8"/>
    </row>
    <row r="11205" spans="16:16" x14ac:dyDescent="0.35">
      <c r="P11205" s="8"/>
    </row>
    <row r="11206" spans="16:16" x14ac:dyDescent="0.35">
      <c r="P11206" s="8"/>
    </row>
    <row r="11207" spans="16:16" x14ac:dyDescent="0.35">
      <c r="P11207" s="8"/>
    </row>
    <row r="11208" spans="16:16" x14ac:dyDescent="0.35">
      <c r="P11208" s="8"/>
    </row>
    <row r="11209" spans="16:16" x14ac:dyDescent="0.35">
      <c r="P11209" s="8"/>
    </row>
    <row r="11210" spans="16:16" x14ac:dyDescent="0.35">
      <c r="P11210" s="8"/>
    </row>
    <row r="11211" spans="16:16" x14ac:dyDescent="0.35">
      <c r="P11211" s="8"/>
    </row>
    <row r="11212" spans="16:16" x14ac:dyDescent="0.35">
      <c r="P11212" s="8"/>
    </row>
    <row r="11213" spans="16:16" x14ac:dyDescent="0.35">
      <c r="P11213" s="8"/>
    </row>
    <row r="11214" spans="16:16" x14ac:dyDescent="0.35">
      <c r="P11214" s="8"/>
    </row>
    <row r="11215" spans="16:16" x14ac:dyDescent="0.35">
      <c r="P11215" s="8"/>
    </row>
    <row r="11216" spans="16:16" x14ac:dyDescent="0.35">
      <c r="P11216" s="8"/>
    </row>
    <row r="11217" spans="16:16" x14ac:dyDescent="0.35">
      <c r="P11217" s="8"/>
    </row>
    <row r="11218" spans="16:16" x14ac:dyDescent="0.35">
      <c r="P11218" s="8"/>
    </row>
    <row r="11219" spans="16:16" x14ac:dyDescent="0.35">
      <c r="P11219" s="8"/>
    </row>
    <row r="11220" spans="16:16" x14ac:dyDescent="0.35">
      <c r="P11220" s="8"/>
    </row>
    <row r="11221" spans="16:16" x14ac:dyDescent="0.35">
      <c r="P11221" s="8"/>
    </row>
    <row r="11222" spans="16:16" x14ac:dyDescent="0.35">
      <c r="P11222" s="8"/>
    </row>
    <row r="11223" spans="16:16" x14ac:dyDescent="0.35">
      <c r="P11223" s="8"/>
    </row>
    <row r="11224" spans="16:16" x14ac:dyDescent="0.35">
      <c r="P11224" s="8"/>
    </row>
    <row r="11225" spans="16:16" x14ac:dyDescent="0.35">
      <c r="P11225" s="8"/>
    </row>
    <row r="11226" spans="16:16" x14ac:dyDescent="0.35">
      <c r="P11226" s="8"/>
    </row>
    <row r="11227" spans="16:16" x14ac:dyDescent="0.35">
      <c r="P11227" s="8"/>
    </row>
    <row r="11228" spans="16:16" x14ac:dyDescent="0.35">
      <c r="P11228" s="8"/>
    </row>
    <row r="11229" spans="16:16" x14ac:dyDescent="0.35">
      <c r="P11229" s="8"/>
    </row>
    <row r="11230" spans="16:16" x14ac:dyDescent="0.35">
      <c r="P11230" s="8"/>
    </row>
    <row r="11231" spans="16:16" x14ac:dyDescent="0.35">
      <c r="P11231" s="8"/>
    </row>
    <row r="11232" spans="16:16" x14ac:dyDescent="0.35">
      <c r="P11232" s="8"/>
    </row>
    <row r="11233" spans="16:16" x14ac:dyDescent="0.35">
      <c r="P11233" s="8"/>
    </row>
    <row r="11234" spans="16:16" x14ac:dyDescent="0.35">
      <c r="P11234" s="8"/>
    </row>
    <row r="11235" spans="16:16" x14ac:dyDescent="0.35">
      <c r="P11235" s="8"/>
    </row>
    <row r="11236" spans="16:16" x14ac:dyDescent="0.35">
      <c r="P11236" s="8"/>
    </row>
    <row r="11237" spans="16:16" x14ac:dyDescent="0.35">
      <c r="P11237" s="8"/>
    </row>
    <row r="11238" spans="16:16" x14ac:dyDescent="0.35">
      <c r="P11238" s="8"/>
    </row>
    <row r="11239" spans="16:16" x14ac:dyDescent="0.35">
      <c r="P11239" s="8"/>
    </row>
    <row r="11240" spans="16:16" x14ac:dyDescent="0.35">
      <c r="P11240" s="8"/>
    </row>
    <row r="11241" spans="16:16" x14ac:dyDescent="0.35">
      <c r="P11241" s="8"/>
    </row>
    <row r="11242" spans="16:16" x14ac:dyDescent="0.35">
      <c r="P11242" s="8"/>
    </row>
    <row r="11243" spans="16:16" x14ac:dyDescent="0.35">
      <c r="P11243" s="8"/>
    </row>
    <row r="11244" spans="16:16" x14ac:dyDescent="0.35">
      <c r="P11244" s="8"/>
    </row>
    <row r="11245" spans="16:16" x14ac:dyDescent="0.35">
      <c r="P11245" s="8"/>
    </row>
    <row r="11246" spans="16:16" x14ac:dyDescent="0.35">
      <c r="P11246" s="8"/>
    </row>
    <row r="11247" spans="16:16" x14ac:dyDescent="0.35">
      <c r="P11247" s="8"/>
    </row>
    <row r="11248" spans="16:16" x14ac:dyDescent="0.35">
      <c r="P11248" s="8"/>
    </row>
    <row r="11249" spans="16:16" x14ac:dyDescent="0.35">
      <c r="P11249" s="8"/>
    </row>
    <row r="11250" spans="16:16" x14ac:dyDescent="0.35">
      <c r="P11250" s="8"/>
    </row>
    <row r="11251" spans="16:16" x14ac:dyDescent="0.35">
      <c r="P11251" s="8"/>
    </row>
    <row r="11252" spans="16:16" x14ac:dyDescent="0.35">
      <c r="P11252" s="8"/>
    </row>
    <row r="11253" spans="16:16" x14ac:dyDescent="0.35">
      <c r="P11253" s="8"/>
    </row>
    <row r="11254" spans="16:16" x14ac:dyDescent="0.35">
      <c r="P11254" s="8"/>
    </row>
    <row r="11255" spans="16:16" x14ac:dyDescent="0.35">
      <c r="P11255" s="8"/>
    </row>
    <row r="11256" spans="16:16" x14ac:dyDescent="0.35">
      <c r="P11256" s="8"/>
    </row>
    <row r="11257" spans="16:16" x14ac:dyDescent="0.35">
      <c r="P11257" s="8"/>
    </row>
    <row r="11258" spans="16:16" x14ac:dyDescent="0.35">
      <c r="P11258" s="8"/>
    </row>
    <row r="11259" spans="16:16" x14ac:dyDescent="0.35">
      <c r="P11259" s="8"/>
    </row>
    <row r="11260" spans="16:16" x14ac:dyDescent="0.35">
      <c r="P11260" s="8"/>
    </row>
    <row r="11261" spans="16:16" x14ac:dyDescent="0.35">
      <c r="P11261" s="8"/>
    </row>
    <row r="11262" spans="16:16" x14ac:dyDescent="0.35">
      <c r="P11262" s="8"/>
    </row>
    <row r="11263" spans="16:16" x14ac:dyDescent="0.35">
      <c r="P11263" s="8"/>
    </row>
    <row r="11264" spans="16:16" x14ac:dyDescent="0.35">
      <c r="P11264" s="8"/>
    </row>
    <row r="11265" spans="16:16" x14ac:dyDescent="0.35">
      <c r="P11265" s="8"/>
    </row>
    <row r="11266" spans="16:16" x14ac:dyDescent="0.35">
      <c r="P11266" s="8"/>
    </row>
    <row r="11267" spans="16:16" x14ac:dyDescent="0.35">
      <c r="P11267" s="8"/>
    </row>
    <row r="11268" spans="16:16" x14ac:dyDescent="0.35">
      <c r="P11268" s="8"/>
    </row>
    <row r="11269" spans="16:16" x14ac:dyDescent="0.35">
      <c r="P11269" s="8"/>
    </row>
    <row r="11270" spans="16:16" x14ac:dyDescent="0.35">
      <c r="P11270" s="8"/>
    </row>
    <row r="11271" spans="16:16" x14ac:dyDescent="0.35">
      <c r="P11271" s="8"/>
    </row>
    <row r="11272" spans="16:16" x14ac:dyDescent="0.35">
      <c r="P11272" s="8"/>
    </row>
    <row r="11273" spans="16:16" x14ac:dyDescent="0.35">
      <c r="P11273" s="8"/>
    </row>
    <row r="11274" spans="16:16" x14ac:dyDescent="0.35">
      <c r="P11274" s="8"/>
    </row>
    <row r="11275" spans="16:16" x14ac:dyDescent="0.35">
      <c r="P11275" s="8"/>
    </row>
    <row r="11276" spans="16:16" x14ac:dyDescent="0.35">
      <c r="P11276" s="8"/>
    </row>
    <row r="11277" spans="16:16" x14ac:dyDescent="0.35">
      <c r="P11277" s="8"/>
    </row>
    <row r="11278" spans="16:16" x14ac:dyDescent="0.35">
      <c r="P11278" s="8"/>
    </row>
    <row r="11279" spans="16:16" x14ac:dyDescent="0.35">
      <c r="P11279" s="8"/>
    </row>
    <row r="11280" spans="16:16" x14ac:dyDescent="0.35">
      <c r="P11280" s="8"/>
    </row>
    <row r="11281" spans="16:16" x14ac:dyDescent="0.35">
      <c r="P11281" s="8"/>
    </row>
    <row r="11282" spans="16:16" x14ac:dyDescent="0.35">
      <c r="P11282" s="8"/>
    </row>
    <row r="11283" spans="16:16" x14ac:dyDescent="0.35">
      <c r="P11283" s="8"/>
    </row>
    <row r="11284" spans="16:16" x14ac:dyDescent="0.35">
      <c r="P11284" s="8"/>
    </row>
    <row r="11285" spans="16:16" x14ac:dyDescent="0.35">
      <c r="P11285" s="8"/>
    </row>
    <row r="11286" spans="16:16" x14ac:dyDescent="0.35">
      <c r="P11286" s="8"/>
    </row>
    <row r="11287" spans="16:16" x14ac:dyDescent="0.35">
      <c r="P11287" s="8"/>
    </row>
    <row r="11288" spans="16:16" x14ac:dyDescent="0.35">
      <c r="P11288" s="8"/>
    </row>
    <row r="11289" spans="16:16" x14ac:dyDescent="0.35">
      <c r="P11289" s="8"/>
    </row>
    <row r="11290" spans="16:16" x14ac:dyDescent="0.35">
      <c r="P11290" s="8"/>
    </row>
    <row r="11291" spans="16:16" x14ac:dyDescent="0.35">
      <c r="P11291" s="8"/>
    </row>
    <row r="11292" spans="16:16" x14ac:dyDescent="0.35">
      <c r="P11292" s="8"/>
    </row>
    <row r="11293" spans="16:16" x14ac:dyDescent="0.35">
      <c r="P11293" s="8"/>
    </row>
    <row r="11294" spans="16:16" x14ac:dyDescent="0.35">
      <c r="P11294" s="8"/>
    </row>
    <row r="11295" spans="16:16" x14ac:dyDescent="0.35">
      <c r="P11295" s="8"/>
    </row>
    <row r="11296" spans="16:16" x14ac:dyDescent="0.35">
      <c r="P11296" s="8"/>
    </row>
    <row r="11297" spans="16:16" x14ac:dyDescent="0.35">
      <c r="P11297" s="8"/>
    </row>
    <row r="11298" spans="16:16" x14ac:dyDescent="0.35">
      <c r="P11298" s="8"/>
    </row>
    <row r="11299" spans="16:16" x14ac:dyDescent="0.35">
      <c r="P11299" s="8"/>
    </row>
    <row r="11300" spans="16:16" x14ac:dyDescent="0.35">
      <c r="P11300" s="8"/>
    </row>
    <row r="11301" spans="16:16" x14ac:dyDescent="0.35">
      <c r="P11301" s="8"/>
    </row>
    <row r="11302" spans="16:16" x14ac:dyDescent="0.35">
      <c r="P11302" s="8"/>
    </row>
    <row r="11303" spans="16:16" x14ac:dyDescent="0.35">
      <c r="P11303" s="8"/>
    </row>
    <row r="11304" spans="16:16" x14ac:dyDescent="0.35">
      <c r="P11304" s="8"/>
    </row>
    <row r="11305" spans="16:16" x14ac:dyDescent="0.35">
      <c r="P11305" s="8"/>
    </row>
    <row r="11306" spans="16:16" x14ac:dyDescent="0.35">
      <c r="P11306" s="8"/>
    </row>
    <row r="11307" spans="16:16" x14ac:dyDescent="0.35">
      <c r="P11307" s="8"/>
    </row>
    <row r="11308" spans="16:16" x14ac:dyDescent="0.35">
      <c r="P11308" s="8"/>
    </row>
    <row r="11309" spans="16:16" x14ac:dyDescent="0.35">
      <c r="P11309" s="8"/>
    </row>
    <row r="11310" spans="16:16" x14ac:dyDescent="0.35">
      <c r="P11310" s="8"/>
    </row>
    <row r="11311" spans="16:16" x14ac:dyDescent="0.35">
      <c r="P11311" s="8"/>
    </row>
    <row r="11312" spans="16:16" x14ac:dyDescent="0.35">
      <c r="P11312" s="8"/>
    </row>
    <row r="11313" spans="16:16" x14ac:dyDescent="0.35">
      <c r="P11313" s="8"/>
    </row>
    <row r="11314" spans="16:16" x14ac:dyDescent="0.35">
      <c r="P11314" s="8"/>
    </row>
    <row r="11315" spans="16:16" x14ac:dyDescent="0.35">
      <c r="P11315" s="8"/>
    </row>
    <row r="11316" spans="16:16" x14ac:dyDescent="0.35">
      <c r="P11316" s="8"/>
    </row>
    <row r="11317" spans="16:16" x14ac:dyDescent="0.35">
      <c r="P11317" s="8"/>
    </row>
    <row r="11318" spans="16:16" x14ac:dyDescent="0.35">
      <c r="P11318" s="8"/>
    </row>
    <row r="11319" spans="16:16" x14ac:dyDescent="0.35">
      <c r="P11319" s="8"/>
    </row>
    <row r="11320" spans="16:16" x14ac:dyDescent="0.35">
      <c r="P11320" s="8"/>
    </row>
    <row r="11321" spans="16:16" x14ac:dyDescent="0.35">
      <c r="P11321" s="8"/>
    </row>
    <row r="11322" spans="16:16" x14ac:dyDescent="0.35">
      <c r="P11322" s="8"/>
    </row>
    <row r="11323" spans="16:16" x14ac:dyDescent="0.35">
      <c r="P11323" s="8"/>
    </row>
    <row r="11324" spans="16:16" x14ac:dyDescent="0.35">
      <c r="P11324" s="8"/>
    </row>
    <row r="11325" spans="16:16" x14ac:dyDescent="0.35">
      <c r="P11325" s="8"/>
    </row>
    <row r="11326" spans="16:16" x14ac:dyDescent="0.35">
      <c r="P11326" s="8"/>
    </row>
    <row r="11327" spans="16:16" x14ac:dyDescent="0.35">
      <c r="P11327" s="8"/>
    </row>
    <row r="11328" spans="16:16" x14ac:dyDescent="0.35">
      <c r="P11328" s="8"/>
    </row>
    <row r="11329" spans="16:16" x14ac:dyDescent="0.35">
      <c r="P11329" s="8"/>
    </row>
    <row r="11330" spans="16:16" x14ac:dyDescent="0.35">
      <c r="P11330" s="8"/>
    </row>
    <row r="11331" spans="16:16" x14ac:dyDescent="0.35">
      <c r="P11331" s="8"/>
    </row>
    <row r="11332" spans="16:16" x14ac:dyDescent="0.35">
      <c r="P11332" s="8"/>
    </row>
    <row r="11333" spans="16:16" x14ac:dyDescent="0.35">
      <c r="P11333" s="8"/>
    </row>
    <row r="11334" spans="16:16" x14ac:dyDescent="0.35">
      <c r="P11334" s="8"/>
    </row>
    <row r="11335" spans="16:16" x14ac:dyDescent="0.35">
      <c r="P11335" s="8"/>
    </row>
    <row r="11336" spans="16:16" x14ac:dyDescent="0.35">
      <c r="P11336" s="8"/>
    </row>
    <row r="11337" spans="16:16" x14ac:dyDescent="0.35">
      <c r="P11337" s="8"/>
    </row>
    <row r="11338" spans="16:16" x14ac:dyDescent="0.35">
      <c r="P11338" s="8"/>
    </row>
    <row r="11339" spans="16:16" x14ac:dyDescent="0.35">
      <c r="P11339" s="8"/>
    </row>
    <row r="11340" spans="16:16" x14ac:dyDescent="0.35">
      <c r="P11340" s="8"/>
    </row>
    <row r="11341" spans="16:16" x14ac:dyDescent="0.35">
      <c r="P11341" s="8"/>
    </row>
    <row r="11342" spans="16:16" x14ac:dyDescent="0.35">
      <c r="P11342" s="8"/>
    </row>
    <row r="11343" spans="16:16" x14ac:dyDescent="0.35">
      <c r="P11343" s="8"/>
    </row>
    <row r="11344" spans="16:16" x14ac:dyDescent="0.35">
      <c r="P11344" s="8"/>
    </row>
    <row r="11345" spans="16:16" x14ac:dyDescent="0.35">
      <c r="P11345" s="8"/>
    </row>
    <row r="11346" spans="16:16" x14ac:dyDescent="0.35">
      <c r="P11346" s="8"/>
    </row>
    <row r="11347" spans="16:16" x14ac:dyDescent="0.35">
      <c r="P11347" s="8"/>
    </row>
    <row r="11348" spans="16:16" x14ac:dyDescent="0.35">
      <c r="P11348" s="8"/>
    </row>
    <row r="11349" spans="16:16" x14ac:dyDescent="0.35">
      <c r="P11349" s="8"/>
    </row>
    <row r="11350" spans="16:16" x14ac:dyDescent="0.35">
      <c r="P11350" s="8"/>
    </row>
    <row r="11351" spans="16:16" x14ac:dyDescent="0.35">
      <c r="P11351" s="8"/>
    </row>
    <row r="11352" spans="16:16" x14ac:dyDescent="0.35">
      <c r="P11352" s="8"/>
    </row>
    <row r="11353" spans="16:16" x14ac:dyDescent="0.35">
      <c r="P11353" s="8"/>
    </row>
    <row r="11354" spans="16:16" x14ac:dyDescent="0.35">
      <c r="P11354" s="8"/>
    </row>
    <row r="11355" spans="16:16" x14ac:dyDescent="0.35">
      <c r="P11355" s="8"/>
    </row>
    <row r="11356" spans="16:16" x14ac:dyDescent="0.35">
      <c r="P11356" s="8"/>
    </row>
    <row r="11357" spans="16:16" x14ac:dyDescent="0.35">
      <c r="P11357" s="8"/>
    </row>
    <row r="11358" spans="16:16" x14ac:dyDescent="0.35">
      <c r="P11358" s="8"/>
    </row>
    <row r="11359" spans="16:16" x14ac:dyDescent="0.35">
      <c r="P11359" s="8"/>
    </row>
    <row r="11360" spans="16:16" x14ac:dyDescent="0.35">
      <c r="P11360" s="8"/>
    </row>
    <row r="11361" spans="16:16" x14ac:dyDescent="0.35">
      <c r="P11361" s="8"/>
    </row>
    <row r="11362" spans="16:16" x14ac:dyDescent="0.35">
      <c r="P11362" s="8"/>
    </row>
    <row r="11363" spans="16:16" x14ac:dyDescent="0.35">
      <c r="P11363" s="8"/>
    </row>
    <row r="11364" spans="16:16" x14ac:dyDescent="0.35">
      <c r="P11364" s="8"/>
    </row>
    <row r="11365" spans="16:16" x14ac:dyDescent="0.35">
      <c r="P11365" s="8"/>
    </row>
    <row r="11366" spans="16:16" x14ac:dyDescent="0.35">
      <c r="P11366" s="8"/>
    </row>
    <row r="11367" spans="16:16" x14ac:dyDescent="0.35">
      <c r="P11367" s="8"/>
    </row>
    <row r="11368" spans="16:16" x14ac:dyDescent="0.35">
      <c r="P11368" s="8"/>
    </row>
    <row r="11369" spans="16:16" x14ac:dyDescent="0.35">
      <c r="P11369" s="8"/>
    </row>
    <row r="11370" spans="16:16" x14ac:dyDescent="0.35">
      <c r="P11370" s="8"/>
    </row>
    <row r="11371" spans="16:16" x14ac:dyDescent="0.35">
      <c r="P11371" s="8"/>
    </row>
    <row r="11372" spans="16:16" x14ac:dyDescent="0.35">
      <c r="P11372" s="8"/>
    </row>
    <row r="11373" spans="16:16" x14ac:dyDescent="0.35">
      <c r="P11373" s="8"/>
    </row>
    <row r="11374" spans="16:16" x14ac:dyDescent="0.35">
      <c r="P11374" s="8"/>
    </row>
    <row r="11375" spans="16:16" x14ac:dyDescent="0.35">
      <c r="P11375" s="8"/>
    </row>
    <row r="11376" spans="16:16" x14ac:dyDescent="0.35">
      <c r="P11376" s="8"/>
    </row>
    <row r="11377" spans="16:16" x14ac:dyDescent="0.35">
      <c r="P11377" s="8"/>
    </row>
    <row r="11378" spans="16:16" x14ac:dyDescent="0.35">
      <c r="P11378" s="8"/>
    </row>
    <row r="11379" spans="16:16" x14ac:dyDescent="0.35">
      <c r="P11379" s="8"/>
    </row>
    <row r="11380" spans="16:16" x14ac:dyDescent="0.35">
      <c r="P11380" s="8"/>
    </row>
    <row r="11381" spans="16:16" x14ac:dyDescent="0.35">
      <c r="P11381" s="8"/>
    </row>
    <row r="11382" spans="16:16" x14ac:dyDescent="0.35">
      <c r="P11382" s="8"/>
    </row>
    <row r="11383" spans="16:16" x14ac:dyDescent="0.35">
      <c r="P11383" s="8"/>
    </row>
    <row r="11384" spans="16:16" x14ac:dyDescent="0.35">
      <c r="P11384" s="8"/>
    </row>
    <row r="11385" spans="16:16" x14ac:dyDescent="0.35">
      <c r="P11385" s="8"/>
    </row>
    <row r="11386" spans="16:16" x14ac:dyDescent="0.35">
      <c r="P11386" s="8"/>
    </row>
    <row r="11387" spans="16:16" x14ac:dyDescent="0.35">
      <c r="P11387" s="8"/>
    </row>
    <row r="11388" spans="16:16" x14ac:dyDescent="0.35">
      <c r="P11388" s="8"/>
    </row>
    <row r="11389" spans="16:16" x14ac:dyDescent="0.35">
      <c r="P11389" s="8"/>
    </row>
    <row r="11390" spans="16:16" x14ac:dyDescent="0.35">
      <c r="P11390" s="8"/>
    </row>
    <row r="11391" spans="16:16" x14ac:dyDescent="0.35">
      <c r="P11391" s="8"/>
    </row>
    <row r="11392" spans="16:16" x14ac:dyDescent="0.35">
      <c r="P11392" s="8"/>
    </row>
    <row r="11393" spans="16:16" x14ac:dyDescent="0.35">
      <c r="P11393" s="8"/>
    </row>
    <row r="11394" spans="16:16" x14ac:dyDescent="0.35">
      <c r="P11394" s="8"/>
    </row>
    <row r="11395" spans="16:16" x14ac:dyDescent="0.35">
      <c r="P11395" s="8"/>
    </row>
    <row r="11396" spans="16:16" x14ac:dyDescent="0.35">
      <c r="P11396" s="8"/>
    </row>
    <row r="11397" spans="16:16" x14ac:dyDescent="0.35">
      <c r="P11397" s="8"/>
    </row>
    <row r="11398" spans="16:16" x14ac:dyDescent="0.35">
      <c r="P11398" s="8"/>
    </row>
    <row r="11399" spans="16:16" x14ac:dyDescent="0.35">
      <c r="P11399" s="8"/>
    </row>
    <row r="11400" spans="16:16" x14ac:dyDescent="0.35">
      <c r="P11400" s="8"/>
    </row>
    <row r="11401" spans="16:16" x14ac:dyDescent="0.35">
      <c r="P11401" s="8"/>
    </row>
    <row r="11402" spans="16:16" x14ac:dyDescent="0.35">
      <c r="P11402" s="8"/>
    </row>
    <row r="11403" spans="16:16" x14ac:dyDescent="0.35">
      <c r="P11403" s="8"/>
    </row>
    <row r="11404" spans="16:16" x14ac:dyDescent="0.35">
      <c r="P11404" s="8"/>
    </row>
    <row r="11405" spans="16:16" x14ac:dyDescent="0.35">
      <c r="P11405" s="8"/>
    </row>
    <row r="11406" spans="16:16" x14ac:dyDescent="0.35">
      <c r="P11406" s="8"/>
    </row>
    <row r="11407" spans="16:16" x14ac:dyDescent="0.35">
      <c r="P11407" s="8"/>
    </row>
    <row r="11408" spans="16:16" x14ac:dyDescent="0.35">
      <c r="P11408" s="8"/>
    </row>
    <row r="11409" spans="16:16" x14ac:dyDescent="0.35">
      <c r="P11409" s="8"/>
    </row>
    <row r="11410" spans="16:16" x14ac:dyDescent="0.35">
      <c r="P11410" s="8"/>
    </row>
    <row r="11411" spans="16:16" x14ac:dyDescent="0.35">
      <c r="P11411" s="8"/>
    </row>
    <row r="11412" spans="16:16" x14ac:dyDescent="0.35">
      <c r="P11412" s="8"/>
    </row>
    <row r="11413" spans="16:16" x14ac:dyDescent="0.35">
      <c r="P11413" s="8"/>
    </row>
    <row r="11414" spans="16:16" x14ac:dyDescent="0.35">
      <c r="P11414" s="8"/>
    </row>
    <row r="11415" spans="16:16" x14ac:dyDescent="0.35">
      <c r="P11415" s="8"/>
    </row>
    <row r="11416" spans="16:16" x14ac:dyDescent="0.35">
      <c r="P11416" s="8"/>
    </row>
    <row r="11417" spans="16:16" x14ac:dyDescent="0.35">
      <c r="P11417" s="8"/>
    </row>
    <row r="11418" spans="16:16" x14ac:dyDescent="0.35">
      <c r="P11418" s="8"/>
    </row>
    <row r="11419" spans="16:16" x14ac:dyDescent="0.35">
      <c r="P11419" s="8"/>
    </row>
    <row r="11420" spans="16:16" x14ac:dyDescent="0.35">
      <c r="P11420" s="8"/>
    </row>
    <row r="11421" spans="16:16" x14ac:dyDescent="0.35">
      <c r="P11421" s="8"/>
    </row>
    <row r="11422" spans="16:16" x14ac:dyDescent="0.35">
      <c r="P11422" s="8"/>
    </row>
    <row r="11423" spans="16:16" x14ac:dyDescent="0.35">
      <c r="P11423" s="8"/>
    </row>
    <row r="11424" spans="16:16" x14ac:dyDescent="0.35">
      <c r="P11424" s="8"/>
    </row>
    <row r="11425" spans="16:16" x14ac:dyDescent="0.35">
      <c r="P11425" s="8"/>
    </row>
    <row r="11426" spans="16:16" x14ac:dyDescent="0.35">
      <c r="P11426" s="8"/>
    </row>
    <row r="11427" spans="16:16" x14ac:dyDescent="0.35">
      <c r="P11427" s="8"/>
    </row>
    <row r="11428" spans="16:16" x14ac:dyDescent="0.35">
      <c r="P11428" s="8"/>
    </row>
    <row r="11429" spans="16:16" x14ac:dyDescent="0.35">
      <c r="P11429" s="8"/>
    </row>
    <row r="11430" spans="16:16" x14ac:dyDescent="0.35">
      <c r="P11430" s="8"/>
    </row>
    <row r="11431" spans="16:16" x14ac:dyDescent="0.35">
      <c r="P11431" s="8"/>
    </row>
    <row r="11432" spans="16:16" x14ac:dyDescent="0.35">
      <c r="P11432" s="8"/>
    </row>
    <row r="11433" spans="16:16" x14ac:dyDescent="0.35">
      <c r="P11433" s="8"/>
    </row>
    <row r="11434" spans="16:16" x14ac:dyDescent="0.35">
      <c r="P11434" s="8"/>
    </row>
    <row r="11435" spans="16:16" x14ac:dyDescent="0.35">
      <c r="P11435" s="8"/>
    </row>
    <row r="11436" spans="16:16" x14ac:dyDescent="0.35">
      <c r="P11436" s="8"/>
    </row>
    <row r="11437" spans="16:16" x14ac:dyDescent="0.35">
      <c r="P11437" s="8"/>
    </row>
    <row r="11438" spans="16:16" x14ac:dyDescent="0.35">
      <c r="P11438" s="8"/>
    </row>
    <row r="11439" spans="16:16" x14ac:dyDescent="0.35">
      <c r="P11439" s="8"/>
    </row>
    <row r="11440" spans="16:16" x14ac:dyDescent="0.35">
      <c r="P11440" s="8"/>
    </row>
    <row r="11441" spans="16:16" x14ac:dyDescent="0.35">
      <c r="P11441" s="8"/>
    </row>
    <row r="11442" spans="16:16" x14ac:dyDescent="0.35">
      <c r="P11442" s="8"/>
    </row>
    <row r="11443" spans="16:16" x14ac:dyDescent="0.35">
      <c r="P11443" s="8"/>
    </row>
    <row r="11444" spans="16:16" x14ac:dyDescent="0.35">
      <c r="P11444" s="8"/>
    </row>
    <row r="11445" spans="16:16" x14ac:dyDescent="0.35">
      <c r="P11445" s="8"/>
    </row>
    <row r="11446" spans="16:16" x14ac:dyDescent="0.35">
      <c r="P11446" s="8"/>
    </row>
    <row r="11447" spans="16:16" x14ac:dyDescent="0.35">
      <c r="P11447" s="8"/>
    </row>
    <row r="11448" spans="16:16" x14ac:dyDescent="0.35">
      <c r="P11448" s="8"/>
    </row>
    <row r="11449" spans="16:16" x14ac:dyDescent="0.35">
      <c r="P11449" s="8"/>
    </row>
    <row r="11450" spans="16:16" x14ac:dyDescent="0.35">
      <c r="P11450" s="8"/>
    </row>
    <row r="11451" spans="16:16" x14ac:dyDescent="0.35">
      <c r="P11451" s="8"/>
    </row>
    <row r="11452" spans="16:16" x14ac:dyDescent="0.35">
      <c r="P11452" s="8"/>
    </row>
    <row r="11453" spans="16:16" x14ac:dyDescent="0.35">
      <c r="P11453" s="8"/>
    </row>
    <row r="11454" spans="16:16" x14ac:dyDescent="0.35">
      <c r="P11454" s="8"/>
    </row>
    <row r="11455" spans="16:16" x14ac:dyDescent="0.35">
      <c r="P11455" s="8"/>
    </row>
    <row r="11456" spans="16:16" x14ac:dyDescent="0.35">
      <c r="P11456" s="8"/>
    </row>
    <row r="11457" spans="16:16" x14ac:dyDescent="0.35">
      <c r="P11457" s="8"/>
    </row>
    <row r="11458" spans="16:16" x14ac:dyDescent="0.35">
      <c r="P11458" s="8"/>
    </row>
    <row r="11459" spans="16:16" x14ac:dyDescent="0.35">
      <c r="P11459" s="8"/>
    </row>
    <row r="11460" spans="16:16" x14ac:dyDescent="0.35">
      <c r="P11460" s="8"/>
    </row>
    <row r="11461" spans="16:16" x14ac:dyDescent="0.35">
      <c r="P11461" s="8"/>
    </row>
    <row r="11462" spans="16:16" x14ac:dyDescent="0.35">
      <c r="P11462" s="8"/>
    </row>
    <row r="11463" spans="16:16" x14ac:dyDescent="0.35">
      <c r="P11463" s="8"/>
    </row>
    <row r="11464" spans="16:16" x14ac:dyDescent="0.35">
      <c r="P11464" s="8"/>
    </row>
    <row r="11465" spans="16:16" x14ac:dyDescent="0.35">
      <c r="P11465" s="8"/>
    </row>
    <row r="11466" spans="16:16" x14ac:dyDescent="0.35">
      <c r="P11466" s="8"/>
    </row>
    <row r="11467" spans="16:16" x14ac:dyDescent="0.35">
      <c r="P11467" s="8"/>
    </row>
    <row r="11468" spans="16:16" x14ac:dyDescent="0.35">
      <c r="P11468" s="8"/>
    </row>
    <row r="11469" spans="16:16" x14ac:dyDescent="0.35">
      <c r="P11469" s="8"/>
    </row>
    <row r="11470" spans="16:16" x14ac:dyDescent="0.35">
      <c r="P11470" s="8"/>
    </row>
    <row r="11471" spans="16:16" x14ac:dyDescent="0.35">
      <c r="P11471" s="8"/>
    </row>
    <row r="11472" spans="16:16" x14ac:dyDescent="0.35">
      <c r="P11472" s="8"/>
    </row>
    <row r="11473" spans="16:16" x14ac:dyDescent="0.35">
      <c r="P11473" s="8"/>
    </row>
    <row r="11474" spans="16:16" x14ac:dyDescent="0.35">
      <c r="P11474" s="8"/>
    </row>
    <row r="11475" spans="16:16" x14ac:dyDescent="0.35">
      <c r="P11475" s="8"/>
    </row>
    <row r="11476" spans="16:16" x14ac:dyDescent="0.35">
      <c r="P11476" s="8"/>
    </row>
    <row r="11477" spans="16:16" x14ac:dyDescent="0.35">
      <c r="P11477" s="8"/>
    </row>
    <row r="11478" spans="16:16" x14ac:dyDescent="0.35">
      <c r="P11478" s="8"/>
    </row>
    <row r="11479" spans="16:16" x14ac:dyDescent="0.35">
      <c r="P11479" s="8"/>
    </row>
    <row r="11480" spans="16:16" x14ac:dyDescent="0.35">
      <c r="P11480" s="8"/>
    </row>
    <row r="11481" spans="16:16" x14ac:dyDescent="0.35">
      <c r="P11481" s="8"/>
    </row>
    <row r="11482" spans="16:16" x14ac:dyDescent="0.35">
      <c r="P11482" s="8"/>
    </row>
    <row r="11483" spans="16:16" x14ac:dyDescent="0.35">
      <c r="P11483" s="8"/>
    </row>
    <row r="11484" spans="16:16" x14ac:dyDescent="0.35">
      <c r="P11484" s="8"/>
    </row>
    <row r="11485" spans="16:16" x14ac:dyDescent="0.35">
      <c r="P11485" s="8"/>
    </row>
    <row r="11486" spans="16:16" x14ac:dyDescent="0.35">
      <c r="P11486" s="8"/>
    </row>
    <row r="11487" spans="16:16" x14ac:dyDescent="0.35">
      <c r="P11487" s="8"/>
    </row>
    <row r="11488" spans="16:16" x14ac:dyDescent="0.35">
      <c r="P11488" s="8"/>
    </row>
    <row r="11489" spans="16:16" x14ac:dyDescent="0.35">
      <c r="P11489" s="8"/>
    </row>
    <row r="11490" spans="16:16" x14ac:dyDescent="0.35">
      <c r="P11490" s="8"/>
    </row>
    <row r="11491" spans="16:16" x14ac:dyDescent="0.35">
      <c r="P11491" s="8"/>
    </row>
    <row r="11492" spans="16:16" x14ac:dyDescent="0.35">
      <c r="P11492" s="8"/>
    </row>
    <row r="11493" spans="16:16" x14ac:dyDescent="0.35">
      <c r="P11493" s="8"/>
    </row>
    <row r="11494" spans="16:16" x14ac:dyDescent="0.35">
      <c r="P11494" s="8"/>
    </row>
    <row r="11495" spans="16:16" x14ac:dyDescent="0.35">
      <c r="P11495" s="8"/>
    </row>
    <row r="11496" spans="16:16" x14ac:dyDescent="0.35">
      <c r="P11496" s="8"/>
    </row>
    <row r="11497" spans="16:16" x14ac:dyDescent="0.35">
      <c r="P11497" s="8"/>
    </row>
    <row r="11498" spans="16:16" x14ac:dyDescent="0.35">
      <c r="P11498" s="8"/>
    </row>
    <row r="11499" spans="16:16" x14ac:dyDescent="0.35">
      <c r="P11499" s="8"/>
    </row>
    <row r="11500" spans="16:16" x14ac:dyDescent="0.35">
      <c r="P11500" s="8"/>
    </row>
    <row r="11501" spans="16:16" x14ac:dyDescent="0.35">
      <c r="P11501" s="8"/>
    </row>
    <row r="11502" spans="16:16" x14ac:dyDescent="0.35">
      <c r="P11502" s="8"/>
    </row>
    <row r="11503" spans="16:16" x14ac:dyDescent="0.35">
      <c r="P11503" s="8"/>
    </row>
    <row r="11504" spans="16:16" x14ac:dyDescent="0.35">
      <c r="P11504" s="8"/>
    </row>
    <row r="11505" spans="16:16" x14ac:dyDescent="0.35">
      <c r="P11505" s="8"/>
    </row>
    <row r="11506" spans="16:16" x14ac:dyDescent="0.35">
      <c r="P11506" s="8"/>
    </row>
    <row r="11507" spans="16:16" x14ac:dyDescent="0.35">
      <c r="P11507" s="8"/>
    </row>
    <row r="11508" spans="16:16" x14ac:dyDescent="0.35">
      <c r="P11508" s="8"/>
    </row>
    <row r="11509" spans="16:16" x14ac:dyDescent="0.35">
      <c r="P11509" s="8"/>
    </row>
    <row r="11510" spans="16:16" x14ac:dyDescent="0.35">
      <c r="P11510" s="8"/>
    </row>
    <row r="11511" spans="16:16" x14ac:dyDescent="0.35">
      <c r="P11511" s="8"/>
    </row>
    <row r="11512" spans="16:16" x14ac:dyDescent="0.35">
      <c r="P11512" s="8"/>
    </row>
    <row r="11513" spans="16:16" x14ac:dyDescent="0.35">
      <c r="P11513" s="8"/>
    </row>
    <row r="11514" spans="16:16" x14ac:dyDescent="0.35">
      <c r="P11514" s="8"/>
    </row>
    <row r="11515" spans="16:16" x14ac:dyDescent="0.35">
      <c r="P11515" s="8"/>
    </row>
    <row r="11516" spans="16:16" x14ac:dyDescent="0.35">
      <c r="P11516" s="8"/>
    </row>
    <row r="11517" spans="16:16" x14ac:dyDescent="0.35">
      <c r="P11517" s="8"/>
    </row>
    <row r="11518" spans="16:16" x14ac:dyDescent="0.35">
      <c r="P11518" s="8"/>
    </row>
    <row r="11519" spans="16:16" x14ac:dyDescent="0.35">
      <c r="P11519" s="8"/>
    </row>
    <row r="11520" spans="16:16" x14ac:dyDescent="0.35">
      <c r="P11520" s="8"/>
    </row>
    <row r="11521" spans="16:16" x14ac:dyDescent="0.35">
      <c r="P11521" s="8"/>
    </row>
    <row r="11522" spans="16:16" x14ac:dyDescent="0.35">
      <c r="P11522" s="8"/>
    </row>
    <row r="11523" spans="16:16" x14ac:dyDescent="0.35">
      <c r="P11523" s="8"/>
    </row>
    <row r="11524" spans="16:16" x14ac:dyDescent="0.35">
      <c r="P11524" s="8"/>
    </row>
    <row r="11525" spans="16:16" x14ac:dyDescent="0.35">
      <c r="P11525" s="8"/>
    </row>
    <row r="11526" spans="16:16" x14ac:dyDescent="0.35">
      <c r="P11526" s="8"/>
    </row>
    <row r="11527" spans="16:16" x14ac:dyDescent="0.35">
      <c r="P11527" s="8"/>
    </row>
    <row r="11528" spans="16:16" x14ac:dyDescent="0.35">
      <c r="P11528" s="8"/>
    </row>
    <row r="11529" spans="16:16" x14ac:dyDescent="0.35">
      <c r="P11529" s="8"/>
    </row>
    <row r="11530" spans="16:16" x14ac:dyDescent="0.35">
      <c r="P11530" s="8"/>
    </row>
    <row r="11531" spans="16:16" x14ac:dyDescent="0.35">
      <c r="P11531" s="8"/>
    </row>
    <row r="11532" spans="16:16" x14ac:dyDescent="0.35">
      <c r="P11532" s="8"/>
    </row>
    <row r="11533" spans="16:16" x14ac:dyDescent="0.35">
      <c r="P11533" s="8"/>
    </row>
    <row r="11534" spans="16:16" x14ac:dyDescent="0.35">
      <c r="P11534" s="8"/>
    </row>
    <row r="11535" spans="16:16" x14ac:dyDescent="0.35">
      <c r="P11535" s="8"/>
    </row>
    <row r="11536" spans="16:16" x14ac:dyDescent="0.35">
      <c r="P11536" s="8"/>
    </row>
    <row r="11537" spans="16:16" x14ac:dyDescent="0.35">
      <c r="P11537" s="8"/>
    </row>
    <row r="11538" spans="16:16" x14ac:dyDescent="0.35">
      <c r="P11538" s="8"/>
    </row>
    <row r="11539" spans="16:16" x14ac:dyDescent="0.35">
      <c r="P11539" s="8"/>
    </row>
    <row r="11540" spans="16:16" x14ac:dyDescent="0.35">
      <c r="P11540" s="8"/>
    </row>
    <row r="11541" spans="16:16" x14ac:dyDescent="0.35">
      <c r="P11541" s="8"/>
    </row>
    <row r="11542" spans="16:16" x14ac:dyDescent="0.35">
      <c r="P11542" s="8"/>
    </row>
    <row r="11543" spans="16:16" x14ac:dyDescent="0.35">
      <c r="P11543" s="8"/>
    </row>
    <row r="11544" spans="16:16" x14ac:dyDescent="0.35">
      <c r="P11544" s="8"/>
    </row>
    <row r="11545" spans="16:16" x14ac:dyDescent="0.35">
      <c r="P11545" s="8"/>
    </row>
    <row r="11546" spans="16:16" x14ac:dyDescent="0.35">
      <c r="P11546" s="8"/>
    </row>
    <row r="11547" spans="16:16" x14ac:dyDescent="0.35">
      <c r="P11547" s="8"/>
    </row>
    <row r="11548" spans="16:16" x14ac:dyDescent="0.35">
      <c r="P11548" s="8"/>
    </row>
    <row r="11549" spans="16:16" x14ac:dyDescent="0.35">
      <c r="P11549" s="8"/>
    </row>
    <row r="11550" spans="16:16" x14ac:dyDescent="0.35">
      <c r="P11550" s="8"/>
    </row>
    <row r="11551" spans="16:16" x14ac:dyDescent="0.35">
      <c r="P11551" s="8"/>
    </row>
    <row r="11552" spans="16:16" x14ac:dyDescent="0.35">
      <c r="P11552" s="8"/>
    </row>
    <row r="11553" spans="16:16" x14ac:dyDescent="0.35">
      <c r="P11553" s="8"/>
    </row>
    <row r="11554" spans="16:16" x14ac:dyDescent="0.35">
      <c r="P11554" s="8"/>
    </row>
    <row r="11555" spans="16:16" x14ac:dyDescent="0.35">
      <c r="P11555" s="8"/>
    </row>
    <row r="11556" spans="16:16" x14ac:dyDescent="0.35">
      <c r="P11556" s="8"/>
    </row>
    <row r="11557" spans="16:16" x14ac:dyDescent="0.35">
      <c r="P11557" s="8"/>
    </row>
    <row r="11558" spans="16:16" x14ac:dyDescent="0.35">
      <c r="P11558" s="8"/>
    </row>
    <row r="11559" spans="16:16" x14ac:dyDescent="0.35">
      <c r="P11559" s="8"/>
    </row>
    <row r="11560" spans="16:16" x14ac:dyDescent="0.35">
      <c r="P11560" s="8"/>
    </row>
    <row r="11561" spans="16:16" x14ac:dyDescent="0.35">
      <c r="P11561" s="8"/>
    </row>
    <row r="11562" spans="16:16" x14ac:dyDescent="0.35">
      <c r="P11562" s="8"/>
    </row>
    <row r="11563" spans="16:16" x14ac:dyDescent="0.35">
      <c r="P11563" s="8"/>
    </row>
    <row r="11564" spans="16:16" x14ac:dyDescent="0.35">
      <c r="P11564" s="8"/>
    </row>
    <row r="11565" spans="16:16" x14ac:dyDescent="0.35">
      <c r="P11565" s="8"/>
    </row>
    <row r="11566" spans="16:16" x14ac:dyDescent="0.35">
      <c r="P11566" s="8"/>
    </row>
    <row r="11567" spans="16:16" x14ac:dyDescent="0.35">
      <c r="P11567" s="8"/>
    </row>
    <row r="11568" spans="16:16" x14ac:dyDescent="0.35">
      <c r="P11568" s="8"/>
    </row>
    <row r="11569" spans="16:16" x14ac:dyDescent="0.35">
      <c r="P11569" s="8"/>
    </row>
    <row r="11570" spans="16:16" x14ac:dyDescent="0.35">
      <c r="P11570" s="8"/>
    </row>
    <row r="11571" spans="16:16" x14ac:dyDescent="0.35">
      <c r="P11571" s="8"/>
    </row>
    <row r="11572" spans="16:16" x14ac:dyDescent="0.35">
      <c r="P11572" s="8"/>
    </row>
    <row r="11573" spans="16:16" x14ac:dyDescent="0.35">
      <c r="P11573" s="8"/>
    </row>
    <row r="11574" spans="16:16" x14ac:dyDescent="0.35">
      <c r="P11574" s="8"/>
    </row>
    <row r="11575" spans="16:16" x14ac:dyDescent="0.35">
      <c r="P11575" s="8"/>
    </row>
    <row r="11576" spans="16:16" x14ac:dyDescent="0.35">
      <c r="P11576" s="8"/>
    </row>
    <row r="11577" spans="16:16" x14ac:dyDescent="0.35">
      <c r="P11577" s="8"/>
    </row>
    <row r="11578" spans="16:16" x14ac:dyDescent="0.35">
      <c r="P11578" s="8"/>
    </row>
    <row r="11579" spans="16:16" x14ac:dyDescent="0.35">
      <c r="P11579" s="8"/>
    </row>
    <row r="11580" spans="16:16" x14ac:dyDescent="0.35">
      <c r="P11580" s="8"/>
    </row>
    <row r="11581" spans="16:16" x14ac:dyDescent="0.35">
      <c r="P11581" s="8"/>
    </row>
    <row r="11582" spans="16:16" x14ac:dyDescent="0.35">
      <c r="P11582" s="8"/>
    </row>
    <row r="11583" spans="16:16" x14ac:dyDescent="0.35">
      <c r="P11583" s="8"/>
    </row>
    <row r="11584" spans="16:16" x14ac:dyDescent="0.35">
      <c r="P11584" s="8"/>
    </row>
    <row r="11585" spans="16:16" x14ac:dyDescent="0.35">
      <c r="P11585" s="8"/>
    </row>
    <row r="11586" spans="16:16" x14ac:dyDescent="0.35">
      <c r="P11586" s="8"/>
    </row>
    <row r="11587" spans="16:16" x14ac:dyDescent="0.35">
      <c r="P11587" s="8"/>
    </row>
    <row r="11588" spans="16:16" x14ac:dyDescent="0.35">
      <c r="P11588" s="8"/>
    </row>
    <row r="11589" spans="16:16" x14ac:dyDescent="0.35">
      <c r="P11589" s="8"/>
    </row>
    <row r="11590" spans="16:16" x14ac:dyDescent="0.35">
      <c r="P11590" s="8"/>
    </row>
    <row r="11591" spans="16:16" x14ac:dyDescent="0.35">
      <c r="P11591" s="8"/>
    </row>
    <row r="11592" spans="16:16" x14ac:dyDescent="0.35">
      <c r="P11592" s="8"/>
    </row>
    <row r="11593" spans="16:16" x14ac:dyDescent="0.35">
      <c r="P11593" s="8"/>
    </row>
    <row r="11594" spans="16:16" x14ac:dyDescent="0.35">
      <c r="P11594" s="8"/>
    </row>
    <row r="11595" spans="16:16" x14ac:dyDescent="0.35">
      <c r="P11595" s="8"/>
    </row>
    <row r="11596" spans="16:16" x14ac:dyDescent="0.35">
      <c r="P11596" s="8"/>
    </row>
    <row r="11597" spans="16:16" x14ac:dyDescent="0.35">
      <c r="P11597" s="8"/>
    </row>
    <row r="11598" spans="16:16" x14ac:dyDescent="0.35">
      <c r="P11598" s="8"/>
    </row>
    <row r="11599" spans="16:16" x14ac:dyDescent="0.35">
      <c r="P11599" s="8"/>
    </row>
    <row r="11600" spans="16:16" x14ac:dyDescent="0.35">
      <c r="P11600" s="8"/>
    </row>
    <row r="11601" spans="16:16" x14ac:dyDescent="0.35">
      <c r="P11601" s="8"/>
    </row>
    <row r="11602" spans="16:16" x14ac:dyDescent="0.35">
      <c r="P11602" s="8"/>
    </row>
    <row r="11603" spans="16:16" x14ac:dyDescent="0.35">
      <c r="P11603" s="8"/>
    </row>
    <row r="11604" spans="16:16" x14ac:dyDescent="0.35">
      <c r="P11604" s="8"/>
    </row>
    <row r="11605" spans="16:16" x14ac:dyDescent="0.35">
      <c r="P11605" s="8"/>
    </row>
    <row r="11606" spans="16:16" x14ac:dyDescent="0.35">
      <c r="P11606" s="8"/>
    </row>
    <row r="11607" spans="16:16" x14ac:dyDescent="0.35">
      <c r="P11607" s="8"/>
    </row>
    <row r="11608" spans="16:16" x14ac:dyDescent="0.35">
      <c r="P11608" s="8"/>
    </row>
    <row r="11609" spans="16:16" x14ac:dyDescent="0.35">
      <c r="P11609" s="8"/>
    </row>
    <row r="11610" spans="16:16" x14ac:dyDescent="0.35">
      <c r="P11610" s="8"/>
    </row>
    <row r="11611" spans="16:16" x14ac:dyDescent="0.35">
      <c r="P11611" s="8"/>
    </row>
    <row r="11612" spans="16:16" x14ac:dyDescent="0.35">
      <c r="P11612" s="8"/>
    </row>
    <row r="11613" spans="16:16" x14ac:dyDescent="0.35">
      <c r="P11613" s="8"/>
    </row>
    <row r="11614" spans="16:16" x14ac:dyDescent="0.35">
      <c r="P11614" s="8"/>
    </row>
    <row r="11615" spans="16:16" x14ac:dyDescent="0.35">
      <c r="P11615" s="8"/>
    </row>
    <row r="11616" spans="16:16" x14ac:dyDescent="0.35">
      <c r="P11616" s="8"/>
    </row>
    <row r="11617" spans="16:16" x14ac:dyDescent="0.35">
      <c r="P11617" s="8"/>
    </row>
    <row r="11618" spans="16:16" x14ac:dyDescent="0.35">
      <c r="P11618" s="8"/>
    </row>
    <row r="11619" spans="16:16" x14ac:dyDescent="0.35">
      <c r="P11619" s="8"/>
    </row>
    <row r="11620" spans="16:16" x14ac:dyDescent="0.35">
      <c r="P11620" s="8"/>
    </row>
    <row r="11621" spans="16:16" x14ac:dyDescent="0.35">
      <c r="P11621" s="8"/>
    </row>
    <row r="11622" spans="16:16" x14ac:dyDescent="0.35">
      <c r="P11622" s="8"/>
    </row>
    <row r="11623" spans="16:16" x14ac:dyDescent="0.35">
      <c r="P11623" s="8"/>
    </row>
    <row r="11624" spans="16:16" x14ac:dyDescent="0.35">
      <c r="P11624" s="8"/>
    </row>
    <row r="11625" spans="16:16" x14ac:dyDescent="0.35">
      <c r="P11625" s="8"/>
    </row>
    <row r="11626" spans="16:16" x14ac:dyDescent="0.35">
      <c r="P11626" s="8"/>
    </row>
    <row r="11627" spans="16:16" x14ac:dyDescent="0.35">
      <c r="P11627" s="8"/>
    </row>
    <row r="11628" spans="16:16" x14ac:dyDescent="0.35">
      <c r="P11628" s="8"/>
    </row>
    <row r="11629" spans="16:16" x14ac:dyDescent="0.35">
      <c r="P11629" s="8"/>
    </row>
    <row r="11630" spans="16:16" x14ac:dyDescent="0.35">
      <c r="P11630" s="8"/>
    </row>
    <row r="11631" spans="16:16" x14ac:dyDescent="0.35">
      <c r="P11631" s="8"/>
    </row>
    <row r="11632" spans="16:16" x14ac:dyDescent="0.35">
      <c r="P11632" s="8"/>
    </row>
    <row r="11633" spans="16:16" x14ac:dyDescent="0.35">
      <c r="P11633" s="8"/>
    </row>
    <row r="11634" spans="16:16" x14ac:dyDescent="0.35">
      <c r="P11634" s="8"/>
    </row>
    <row r="11635" spans="16:16" x14ac:dyDescent="0.35">
      <c r="P11635" s="8"/>
    </row>
    <row r="11636" spans="16:16" x14ac:dyDescent="0.35">
      <c r="P11636" s="8"/>
    </row>
    <row r="11637" spans="16:16" x14ac:dyDescent="0.35">
      <c r="P11637" s="8"/>
    </row>
    <row r="11638" spans="16:16" x14ac:dyDescent="0.35">
      <c r="P11638" s="8"/>
    </row>
    <row r="11639" spans="16:16" x14ac:dyDescent="0.35">
      <c r="P11639" s="8"/>
    </row>
    <row r="11640" spans="16:16" x14ac:dyDescent="0.35">
      <c r="P11640" s="8"/>
    </row>
    <row r="11641" spans="16:16" x14ac:dyDescent="0.35">
      <c r="P11641" s="8"/>
    </row>
    <row r="11642" spans="16:16" x14ac:dyDescent="0.35">
      <c r="P11642" s="8"/>
    </row>
    <row r="11643" spans="16:16" x14ac:dyDescent="0.35">
      <c r="P11643" s="8"/>
    </row>
    <row r="11644" spans="16:16" x14ac:dyDescent="0.35">
      <c r="P11644" s="8"/>
    </row>
    <row r="11645" spans="16:16" x14ac:dyDescent="0.35">
      <c r="P11645" s="8"/>
    </row>
    <row r="11646" spans="16:16" x14ac:dyDescent="0.35">
      <c r="P11646" s="8"/>
    </row>
    <row r="11647" spans="16:16" x14ac:dyDescent="0.35">
      <c r="P11647" s="8"/>
    </row>
    <row r="11648" spans="16:16" x14ac:dyDescent="0.35">
      <c r="P11648" s="8"/>
    </row>
    <row r="11649" spans="16:16" x14ac:dyDescent="0.35">
      <c r="P11649" s="8"/>
    </row>
    <row r="11650" spans="16:16" x14ac:dyDescent="0.35">
      <c r="P11650" s="8"/>
    </row>
    <row r="11651" spans="16:16" x14ac:dyDescent="0.35">
      <c r="P11651" s="8"/>
    </row>
    <row r="11652" spans="16:16" x14ac:dyDescent="0.35">
      <c r="P11652" s="8"/>
    </row>
    <row r="11653" spans="16:16" x14ac:dyDescent="0.35">
      <c r="P11653" s="8"/>
    </row>
    <row r="11654" spans="16:16" x14ac:dyDescent="0.35">
      <c r="P11654" s="8"/>
    </row>
    <row r="11655" spans="16:16" x14ac:dyDescent="0.35">
      <c r="P11655" s="8"/>
    </row>
    <row r="11656" spans="16:16" x14ac:dyDescent="0.35">
      <c r="P11656" s="8"/>
    </row>
    <row r="11657" spans="16:16" x14ac:dyDescent="0.35">
      <c r="P11657" s="8"/>
    </row>
    <row r="11658" spans="16:16" x14ac:dyDescent="0.35">
      <c r="P11658" s="8"/>
    </row>
    <row r="11659" spans="16:16" x14ac:dyDescent="0.35">
      <c r="P11659" s="8"/>
    </row>
    <row r="11660" spans="16:16" x14ac:dyDescent="0.35">
      <c r="P11660" s="8"/>
    </row>
    <row r="11661" spans="16:16" x14ac:dyDescent="0.35">
      <c r="P11661" s="8"/>
    </row>
    <row r="11662" spans="16:16" x14ac:dyDescent="0.35">
      <c r="P11662" s="8"/>
    </row>
    <row r="11663" spans="16:16" x14ac:dyDescent="0.35">
      <c r="P11663" s="8"/>
    </row>
    <row r="11664" spans="16:16" x14ac:dyDescent="0.35">
      <c r="P11664" s="8"/>
    </row>
    <row r="11665" spans="16:16" x14ac:dyDescent="0.35">
      <c r="P11665" s="8"/>
    </row>
    <row r="11666" spans="16:16" x14ac:dyDescent="0.35">
      <c r="P11666" s="8"/>
    </row>
    <row r="11667" spans="16:16" x14ac:dyDescent="0.35">
      <c r="P11667" s="8"/>
    </row>
    <row r="11668" spans="16:16" x14ac:dyDescent="0.35">
      <c r="P11668" s="8"/>
    </row>
    <row r="11669" spans="16:16" x14ac:dyDescent="0.35">
      <c r="P11669" s="8"/>
    </row>
    <row r="11670" spans="16:16" x14ac:dyDescent="0.35">
      <c r="P11670" s="8"/>
    </row>
    <row r="11671" spans="16:16" x14ac:dyDescent="0.35">
      <c r="P11671" s="8"/>
    </row>
    <row r="11672" spans="16:16" x14ac:dyDescent="0.35">
      <c r="P11672" s="8"/>
    </row>
    <row r="11673" spans="16:16" x14ac:dyDescent="0.35">
      <c r="P11673" s="8"/>
    </row>
    <row r="11674" spans="16:16" x14ac:dyDescent="0.35">
      <c r="P11674" s="8"/>
    </row>
    <row r="11675" spans="16:16" x14ac:dyDescent="0.35">
      <c r="P11675" s="8"/>
    </row>
    <row r="11676" spans="16:16" x14ac:dyDescent="0.35">
      <c r="P11676" s="8"/>
    </row>
    <row r="11677" spans="16:16" x14ac:dyDescent="0.35">
      <c r="P11677" s="8"/>
    </row>
    <row r="11678" spans="16:16" x14ac:dyDescent="0.35">
      <c r="P11678" s="8"/>
    </row>
    <row r="11679" spans="16:16" x14ac:dyDescent="0.35">
      <c r="P11679" s="8"/>
    </row>
    <row r="11680" spans="16:16" x14ac:dyDescent="0.35">
      <c r="P11680" s="8"/>
    </row>
    <row r="11681" spans="16:16" x14ac:dyDescent="0.35">
      <c r="P11681" s="8"/>
    </row>
    <row r="11682" spans="16:16" x14ac:dyDescent="0.35">
      <c r="P11682" s="8"/>
    </row>
    <row r="11683" spans="16:16" x14ac:dyDescent="0.35">
      <c r="P11683" s="8"/>
    </row>
    <row r="11684" spans="16:16" x14ac:dyDescent="0.35">
      <c r="P11684" s="8"/>
    </row>
    <row r="11685" spans="16:16" x14ac:dyDescent="0.35">
      <c r="P11685" s="8"/>
    </row>
    <row r="11686" spans="16:16" x14ac:dyDescent="0.35">
      <c r="P11686" s="8"/>
    </row>
    <row r="11687" spans="16:16" x14ac:dyDescent="0.35">
      <c r="P11687" s="8"/>
    </row>
    <row r="11688" spans="16:16" x14ac:dyDescent="0.35">
      <c r="P11688" s="8"/>
    </row>
    <row r="11689" spans="16:16" x14ac:dyDescent="0.35">
      <c r="P11689" s="8"/>
    </row>
    <row r="11690" spans="16:16" x14ac:dyDescent="0.35">
      <c r="P11690" s="8"/>
    </row>
    <row r="11691" spans="16:16" x14ac:dyDescent="0.35">
      <c r="P11691" s="8"/>
    </row>
    <row r="11692" spans="16:16" x14ac:dyDescent="0.35">
      <c r="P11692" s="8"/>
    </row>
    <row r="11693" spans="16:16" x14ac:dyDescent="0.35">
      <c r="P11693" s="8"/>
    </row>
    <row r="11694" spans="16:16" x14ac:dyDescent="0.35">
      <c r="P11694" s="8"/>
    </row>
    <row r="11695" spans="16:16" x14ac:dyDescent="0.35">
      <c r="P11695" s="8"/>
    </row>
    <row r="11696" spans="16:16" x14ac:dyDescent="0.35">
      <c r="P11696" s="8"/>
    </row>
    <row r="11697" spans="16:16" x14ac:dyDescent="0.35">
      <c r="P11697" s="8"/>
    </row>
    <row r="11698" spans="16:16" x14ac:dyDescent="0.35">
      <c r="P11698" s="8"/>
    </row>
    <row r="11699" spans="16:16" x14ac:dyDescent="0.35">
      <c r="P11699" s="8"/>
    </row>
    <row r="11700" spans="16:16" x14ac:dyDescent="0.35">
      <c r="P11700" s="8"/>
    </row>
    <row r="11701" spans="16:16" x14ac:dyDescent="0.35">
      <c r="P11701" s="8"/>
    </row>
    <row r="11702" spans="16:16" x14ac:dyDescent="0.35">
      <c r="P11702" s="8"/>
    </row>
    <row r="11703" spans="16:16" x14ac:dyDescent="0.35">
      <c r="P11703" s="8"/>
    </row>
    <row r="11704" spans="16:16" x14ac:dyDescent="0.35">
      <c r="P11704" s="8"/>
    </row>
    <row r="11705" spans="16:16" x14ac:dyDescent="0.35">
      <c r="P11705" s="8"/>
    </row>
    <row r="11706" spans="16:16" x14ac:dyDescent="0.35">
      <c r="P11706" s="8"/>
    </row>
    <row r="11707" spans="16:16" x14ac:dyDescent="0.35">
      <c r="P11707" s="8"/>
    </row>
    <row r="11708" spans="16:16" x14ac:dyDescent="0.35">
      <c r="P11708" s="8"/>
    </row>
    <row r="11709" spans="16:16" x14ac:dyDescent="0.35">
      <c r="P11709" s="8"/>
    </row>
    <row r="11710" spans="16:16" x14ac:dyDescent="0.35">
      <c r="P11710" s="8"/>
    </row>
    <row r="11711" spans="16:16" x14ac:dyDescent="0.35">
      <c r="P11711" s="8"/>
    </row>
    <row r="11712" spans="16:16" x14ac:dyDescent="0.35">
      <c r="P11712" s="8"/>
    </row>
    <row r="11713" spans="16:16" x14ac:dyDescent="0.35">
      <c r="P11713" s="8"/>
    </row>
    <row r="11714" spans="16:16" x14ac:dyDescent="0.35">
      <c r="P11714" s="8"/>
    </row>
    <row r="11715" spans="16:16" x14ac:dyDescent="0.35">
      <c r="P11715" s="8"/>
    </row>
    <row r="11716" spans="16:16" x14ac:dyDescent="0.35">
      <c r="P11716" s="8"/>
    </row>
    <row r="11717" spans="16:16" x14ac:dyDescent="0.35">
      <c r="P11717" s="8"/>
    </row>
    <row r="11718" spans="16:16" x14ac:dyDescent="0.35">
      <c r="P11718" s="8"/>
    </row>
    <row r="11719" spans="16:16" x14ac:dyDescent="0.35">
      <c r="P11719" s="8"/>
    </row>
    <row r="11720" spans="16:16" x14ac:dyDescent="0.35">
      <c r="P11720" s="8"/>
    </row>
    <row r="11721" spans="16:16" x14ac:dyDescent="0.35">
      <c r="P11721" s="8"/>
    </row>
    <row r="11722" spans="16:16" x14ac:dyDescent="0.35">
      <c r="P11722" s="8"/>
    </row>
    <row r="11723" spans="16:16" x14ac:dyDescent="0.35">
      <c r="P11723" s="8"/>
    </row>
    <row r="11724" spans="16:16" x14ac:dyDescent="0.35">
      <c r="P11724" s="8"/>
    </row>
    <row r="11725" spans="16:16" x14ac:dyDescent="0.35">
      <c r="P11725" s="8"/>
    </row>
    <row r="11726" spans="16:16" x14ac:dyDescent="0.35">
      <c r="P11726" s="8"/>
    </row>
    <row r="11727" spans="16:16" x14ac:dyDescent="0.35">
      <c r="P11727" s="8"/>
    </row>
    <row r="11728" spans="16:16" x14ac:dyDescent="0.35">
      <c r="P11728" s="8"/>
    </row>
    <row r="11729" spans="16:16" x14ac:dyDescent="0.35">
      <c r="P11729" s="8"/>
    </row>
    <row r="11730" spans="16:16" x14ac:dyDescent="0.35">
      <c r="P11730" s="8"/>
    </row>
    <row r="11731" spans="16:16" x14ac:dyDescent="0.35">
      <c r="P11731" s="8"/>
    </row>
    <row r="11732" spans="16:16" x14ac:dyDescent="0.35">
      <c r="P11732" s="8"/>
    </row>
    <row r="11733" spans="16:16" x14ac:dyDescent="0.35">
      <c r="P11733" s="8"/>
    </row>
    <row r="11734" spans="16:16" x14ac:dyDescent="0.35">
      <c r="P11734" s="8"/>
    </row>
    <row r="11735" spans="16:16" x14ac:dyDescent="0.35">
      <c r="P11735" s="8"/>
    </row>
    <row r="11736" spans="16:16" x14ac:dyDescent="0.35">
      <c r="P11736" s="8"/>
    </row>
    <row r="11737" spans="16:16" x14ac:dyDescent="0.35">
      <c r="P11737" s="8"/>
    </row>
    <row r="11738" spans="16:16" x14ac:dyDescent="0.35">
      <c r="P11738" s="8"/>
    </row>
    <row r="11739" spans="16:16" x14ac:dyDescent="0.35">
      <c r="P11739" s="8"/>
    </row>
    <row r="11740" spans="16:16" x14ac:dyDescent="0.35">
      <c r="P11740" s="8"/>
    </row>
    <row r="11741" spans="16:16" x14ac:dyDescent="0.35">
      <c r="P11741" s="8"/>
    </row>
    <row r="11742" spans="16:16" x14ac:dyDescent="0.35">
      <c r="P11742" s="8"/>
    </row>
    <row r="11743" spans="16:16" x14ac:dyDescent="0.35">
      <c r="P11743" s="8"/>
    </row>
    <row r="11744" spans="16:16" x14ac:dyDescent="0.35">
      <c r="P11744" s="8"/>
    </row>
    <row r="11745" spans="16:16" x14ac:dyDescent="0.35">
      <c r="P11745" s="8"/>
    </row>
    <row r="11746" spans="16:16" x14ac:dyDescent="0.35">
      <c r="P11746" s="8"/>
    </row>
    <row r="11747" spans="16:16" x14ac:dyDescent="0.35">
      <c r="P11747" s="8"/>
    </row>
    <row r="11748" spans="16:16" x14ac:dyDescent="0.35">
      <c r="P11748" s="8"/>
    </row>
    <row r="11749" spans="16:16" x14ac:dyDescent="0.35">
      <c r="P11749" s="8"/>
    </row>
    <row r="11750" spans="16:16" x14ac:dyDescent="0.35">
      <c r="P11750" s="8"/>
    </row>
    <row r="11751" spans="16:16" x14ac:dyDescent="0.35">
      <c r="P11751" s="8"/>
    </row>
    <row r="11752" spans="16:16" x14ac:dyDescent="0.35">
      <c r="P11752" s="8"/>
    </row>
    <row r="11753" spans="16:16" x14ac:dyDescent="0.35">
      <c r="P11753" s="8"/>
    </row>
    <row r="11754" spans="16:16" x14ac:dyDescent="0.35">
      <c r="P11754" s="8"/>
    </row>
    <row r="11755" spans="16:16" x14ac:dyDescent="0.35">
      <c r="P11755" s="8"/>
    </row>
    <row r="11756" spans="16:16" x14ac:dyDescent="0.35">
      <c r="P11756" s="8"/>
    </row>
    <row r="11757" spans="16:16" x14ac:dyDescent="0.35">
      <c r="P11757" s="8"/>
    </row>
    <row r="11758" spans="16:16" x14ac:dyDescent="0.35">
      <c r="P11758" s="8"/>
    </row>
    <row r="11759" spans="16:16" x14ac:dyDescent="0.35">
      <c r="P11759" s="8"/>
    </row>
    <row r="11760" spans="16:16" x14ac:dyDescent="0.35">
      <c r="P11760" s="8"/>
    </row>
    <row r="11761" spans="16:16" x14ac:dyDescent="0.35">
      <c r="P11761" s="8"/>
    </row>
    <row r="11762" spans="16:16" x14ac:dyDescent="0.35">
      <c r="P11762" s="8"/>
    </row>
    <row r="11763" spans="16:16" x14ac:dyDescent="0.35">
      <c r="P11763" s="8"/>
    </row>
    <row r="11764" spans="16:16" x14ac:dyDescent="0.35">
      <c r="P11764" s="8"/>
    </row>
    <row r="11765" spans="16:16" x14ac:dyDescent="0.35">
      <c r="P11765" s="8"/>
    </row>
    <row r="11766" spans="16:16" x14ac:dyDescent="0.35">
      <c r="P11766" s="8"/>
    </row>
    <row r="11767" spans="16:16" x14ac:dyDescent="0.35">
      <c r="P11767" s="8"/>
    </row>
    <row r="11768" spans="16:16" x14ac:dyDescent="0.35">
      <c r="P11768" s="8"/>
    </row>
    <row r="11769" spans="16:16" x14ac:dyDescent="0.35">
      <c r="P11769" s="8"/>
    </row>
    <row r="11770" spans="16:16" x14ac:dyDescent="0.35">
      <c r="P11770" s="8"/>
    </row>
    <row r="11771" spans="16:16" x14ac:dyDescent="0.35">
      <c r="P11771" s="8"/>
    </row>
    <row r="11772" spans="16:16" x14ac:dyDescent="0.35">
      <c r="P11772" s="8"/>
    </row>
    <row r="11773" spans="16:16" x14ac:dyDescent="0.35">
      <c r="P11773" s="8"/>
    </row>
    <row r="11774" spans="16:16" x14ac:dyDescent="0.35">
      <c r="P11774" s="8"/>
    </row>
    <row r="11775" spans="16:16" x14ac:dyDescent="0.35">
      <c r="P11775" s="8"/>
    </row>
    <row r="11776" spans="16:16" x14ac:dyDescent="0.35">
      <c r="P11776" s="8"/>
    </row>
    <row r="11777" spans="16:16" x14ac:dyDescent="0.35">
      <c r="P11777" s="8"/>
    </row>
    <row r="11778" spans="16:16" x14ac:dyDescent="0.35">
      <c r="P11778" s="8"/>
    </row>
    <row r="11779" spans="16:16" x14ac:dyDescent="0.35">
      <c r="P11779" s="8"/>
    </row>
    <row r="11780" spans="16:16" x14ac:dyDescent="0.35">
      <c r="P11780" s="8"/>
    </row>
    <row r="11781" spans="16:16" x14ac:dyDescent="0.35">
      <c r="P11781" s="8"/>
    </row>
    <row r="11782" spans="16:16" x14ac:dyDescent="0.35">
      <c r="P11782" s="8"/>
    </row>
    <row r="11783" spans="16:16" x14ac:dyDescent="0.35">
      <c r="P11783" s="8"/>
    </row>
    <row r="11784" spans="16:16" x14ac:dyDescent="0.35">
      <c r="P11784" s="8"/>
    </row>
    <row r="11785" spans="16:16" x14ac:dyDescent="0.35">
      <c r="P11785" s="8"/>
    </row>
    <row r="11786" spans="16:16" x14ac:dyDescent="0.35">
      <c r="P11786" s="8"/>
    </row>
    <row r="11787" spans="16:16" x14ac:dyDescent="0.35">
      <c r="P11787" s="8"/>
    </row>
    <row r="11788" spans="16:16" x14ac:dyDescent="0.35">
      <c r="P11788" s="8"/>
    </row>
    <row r="11789" spans="16:16" x14ac:dyDescent="0.35">
      <c r="P11789" s="8"/>
    </row>
    <row r="11790" spans="16:16" x14ac:dyDescent="0.35">
      <c r="P11790" s="8"/>
    </row>
    <row r="11791" spans="16:16" x14ac:dyDescent="0.35">
      <c r="P11791" s="8"/>
    </row>
    <row r="11792" spans="16:16" x14ac:dyDescent="0.35">
      <c r="P11792" s="8"/>
    </row>
    <row r="11793" spans="16:16" x14ac:dyDescent="0.35">
      <c r="P11793" s="8"/>
    </row>
    <row r="11794" spans="16:16" x14ac:dyDescent="0.35">
      <c r="P11794" s="8"/>
    </row>
    <row r="11795" spans="16:16" x14ac:dyDescent="0.35">
      <c r="P11795" s="8"/>
    </row>
    <row r="11796" spans="16:16" x14ac:dyDescent="0.35">
      <c r="P11796" s="8"/>
    </row>
    <row r="11797" spans="16:16" x14ac:dyDescent="0.35">
      <c r="P11797" s="8"/>
    </row>
    <row r="11798" spans="16:16" x14ac:dyDescent="0.35">
      <c r="P11798" s="8"/>
    </row>
    <row r="11799" spans="16:16" x14ac:dyDescent="0.35">
      <c r="P11799" s="8"/>
    </row>
    <row r="11800" spans="16:16" x14ac:dyDescent="0.35">
      <c r="P11800" s="8"/>
    </row>
    <row r="11801" spans="16:16" x14ac:dyDescent="0.35">
      <c r="P11801" s="8"/>
    </row>
    <row r="11802" spans="16:16" x14ac:dyDescent="0.35">
      <c r="P11802" s="8"/>
    </row>
    <row r="11803" spans="16:16" x14ac:dyDescent="0.35">
      <c r="P11803" s="8"/>
    </row>
    <row r="11804" spans="16:16" x14ac:dyDescent="0.35">
      <c r="P11804" s="8"/>
    </row>
    <row r="11805" spans="16:16" x14ac:dyDescent="0.35">
      <c r="P11805" s="8"/>
    </row>
    <row r="11806" spans="16:16" x14ac:dyDescent="0.35">
      <c r="P11806" s="8"/>
    </row>
    <row r="11807" spans="16:16" x14ac:dyDescent="0.35">
      <c r="P11807" s="8"/>
    </row>
    <row r="11808" spans="16:16" x14ac:dyDescent="0.35">
      <c r="P11808" s="8"/>
    </row>
    <row r="11809" spans="16:16" x14ac:dyDescent="0.35">
      <c r="P11809" s="8"/>
    </row>
    <row r="11810" spans="16:16" x14ac:dyDescent="0.35">
      <c r="P11810" s="8"/>
    </row>
    <row r="11811" spans="16:16" x14ac:dyDescent="0.35">
      <c r="P11811" s="8"/>
    </row>
    <row r="11812" spans="16:16" x14ac:dyDescent="0.35">
      <c r="P11812" s="8"/>
    </row>
    <row r="11813" spans="16:16" x14ac:dyDescent="0.35">
      <c r="P11813" s="8"/>
    </row>
    <row r="11814" spans="16:16" x14ac:dyDescent="0.35">
      <c r="P11814" s="8"/>
    </row>
    <row r="11815" spans="16:16" x14ac:dyDescent="0.35">
      <c r="P11815" s="8"/>
    </row>
    <row r="11816" spans="16:16" x14ac:dyDescent="0.35">
      <c r="P11816" s="8"/>
    </row>
    <row r="11817" spans="16:16" x14ac:dyDescent="0.35">
      <c r="P11817" s="8"/>
    </row>
    <row r="11818" spans="16:16" x14ac:dyDescent="0.35">
      <c r="P11818" s="8"/>
    </row>
    <row r="11819" spans="16:16" x14ac:dyDescent="0.35">
      <c r="P11819" s="8"/>
    </row>
    <row r="11820" spans="16:16" x14ac:dyDescent="0.35">
      <c r="P11820" s="8"/>
    </row>
    <row r="11821" spans="16:16" x14ac:dyDescent="0.35">
      <c r="P11821" s="8"/>
    </row>
    <row r="11822" spans="16:16" x14ac:dyDescent="0.35">
      <c r="P11822" s="8"/>
    </row>
    <row r="11823" spans="16:16" x14ac:dyDescent="0.35">
      <c r="P11823" s="8"/>
    </row>
    <row r="11824" spans="16:16" x14ac:dyDescent="0.35">
      <c r="P11824" s="8"/>
    </row>
    <row r="11825" spans="16:16" x14ac:dyDescent="0.35">
      <c r="P11825" s="8"/>
    </row>
    <row r="11826" spans="16:16" x14ac:dyDescent="0.35">
      <c r="P11826" s="8"/>
    </row>
    <row r="11827" spans="16:16" x14ac:dyDescent="0.35">
      <c r="P11827" s="8"/>
    </row>
    <row r="11828" spans="16:16" x14ac:dyDescent="0.35">
      <c r="P11828" s="8"/>
    </row>
    <row r="11829" spans="16:16" x14ac:dyDescent="0.35">
      <c r="P11829" s="8"/>
    </row>
    <row r="11830" spans="16:16" x14ac:dyDescent="0.35">
      <c r="P11830" s="8"/>
    </row>
    <row r="11831" spans="16:16" x14ac:dyDescent="0.35">
      <c r="P11831" s="8"/>
    </row>
    <row r="11832" spans="16:16" x14ac:dyDescent="0.35">
      <c r="P11832" s="8"/>
    </row>
    <row r="11833" spans="16:16" x14ac:dyDescent="0.35">
      <c r="P11833" s="8"/>
    </row>
    <row r="11834" spans="16:16" x14ac:dyDescent="0.35">
      <c r="P11834" s="8"/>
    </row>
    <row r="11835" spans="16:16" x14ac:dyDescent="0.35">
      <c r="P11835" s="8"/>
    </row>
    <row r="11836" spans="16:16" x14ac:dyDescent="0.35">
      <c r="P11836" s="8"/>
    </row>
    <row r="11837" spans="16:16" x14ac:dyDescent="0.35">
      <c r="P11837" s="8"/>
    </row>
    <row r="11838" spans="16:16" x14ac:dyDescent="0.35">
      <c r="P11838" s="8"/>
    </row>
    <row r="11839" spans="16:16" x14ac:dyDescent="0.35">
      <c r="P11839" s="8"/>
    </row>
    <row r="11840" spans="16:16" x14ac:dyDescent="0.35">
      <c r="P11840" s="8"/>
    </row>
    <row r="11841" spans="16:16" x14ac:dyDescent="0.35">
      <c r="P11841" s="8"/>
    </row>
    <row r="11842" spans="16:16" x14ac:dyDescent="0.35">
      <c r="P11842" s="8"/>
    </row>
    <row r="11843" spans="16:16" x14ac:dyDescent="0.35">
      <c r="P11843" s="8"/>
    </row>
    <row r="11844" spans="16:16" x14ac:dyDescent="0.35">
      <c r="P11844" s="8"/>
    </row>
    <row r="11845" spans="16:16" x14ac:dyDescent="0.35">
      <c r="P11845" s="8"/>
    </row>
    <row r="11846" spans="16:16" x14ac:dyDescent="0.35">
      <c r="P11846" s="8"/>
    </row>
    <row r="11847" spans="16:16" x14ac:dyDescent="0.35">
      <c r="P11847" s="8"/>
    </row>
    <row r="11848" spans="16:16" x14ac:dyDescent="0.35">
      <c r="P11848" s="8"/>
    </row>
    <row r="11849" spans="16:16" x14ac:dyDescent="0.35">
      <c r="P11849" s="8"/>
    </row>
    <row r="11850" spans="16:16" x14ac:dyDescent="0.35">
      <c r="P11850" s="8"/>
    </row>
    <row r="11851" spans="16:16" x14ac:dyDescent="0.35">
      <c r="P11851" s="8"/>
    </row>
    <row r="11852" spans="16:16" x14ac:dyDescent="0.35">
      <c r="P11852" s="8"/>
    </row>
    <row r="11853" spans="16:16" x14ac:dyDescent="0.35">
      <c r="P11853" s="8"/>
    </row>
    <row r="11854" spans="16:16" x14ac:dyDescent="0.35">
      <c r="P11854" s="8"/>
    </row>
    <row r="11855" spans="16:16" x14ac:dyDescent="0.35">
      <c r="P11855" s="8"/>
    </row>
    <row r="11856" spans="16:16" x14ac:dyDescent="0.35">
      <c r="P11856" s="8"/>
    </row>
    <row r="11857" spans="16:16" x14ac:dyDescent="0.35">
      <c r="P11857" s="8"/>
    </row>
    <row r="11858" spans="16:16" x14ac:dyDescent="0.35">
      <c r="P11858" s="8"/>
    </row>
    <row r="11859" spans="16:16" x14ac:dyDescent="0.35">
      <c r="P11859" s="8"/>
    </row>
    <row r="11860" spans="16:16" x14ac:dyDescent="0.35">
      <c r="P11860" s="8"/>
    </row>
    <row r="11861" spans="16:16" x14ac:dyDescent="0.35">
      <c r="P11861" s="8"/>
    </row>
    <row r="11862" spans="16:16" x14ac:dyDescent="0.35">
      <c r="P11862" s="8"/>
    </row>
    <row r="11863" spans="16:16" x14ac:dyDescent="0.35">
      <c r="P11863" s="8"/>
    </row>
    <row r="11864" spans="16:16" x14ac:dyDescent="0.35">
      <c r="P11864" s="8"/>
    </row>
    <row r="11865" spans="16:16" x14ac:dyDescent="0.35">
      <c r="P11865" s="8"/>
    </row>
    <row r="11866" spans="16:16" x14ac:dyDescent="0.35">
      <c r="P11866" s="8"/>
    </row>
    <row r="11867" spans="16:16" x14ac:dyDescent="0.35">
      <c r="P11867" s="8"/>
    </row>
    <row r="11868" spans="16:16" x14ac:dyDescent="0.35">
      <c r="P11868" s="8"/>
    </row>
    <row r="11869" spans="16:16" x14ac:dyDescent="0.35">
      <c r="P11869" s="8"/>
    </row>
    <row r="11870" spans="16:16" x14ac:dyDescent="0.35">
      <c r="P11870" s="8"/>
    </row>
    <row r="11871" spans="16:16" x14ac:dyDescent="0.35">
      <c r="P11871" s="8"/>
    </row>
    <row r="11872" spans="16:16" x14ac:dyDescent="0.35">
      <c r="P11872" s="8"/>
    </row>
    <row r="11873" spans="16:16" x14ac:dyDescent="0.35">
      <c r="P11873" s="8"/>
    </row>
    <row r="11874" spans="16:16" x14ac:dyDescent="0.35">
      <c r="P11874" s="8"/>
    </row>
    <row r="11875" spans="16:16" x14ac:dyDescent="0.35">
      <c r="P11875" s="8"/>
    </row>
    <row r="11876" spans="16:16" x14ac:dyDescent="0.35">
      <c r="P11876" s="8"/>
    </row>
    <row r="11877" spans="16:16" x14ac:dyDescent="0.35">
      <c r="P11877" s="8"/>
    </row>
    <row r="11878" spans="16:16" x14ac:dyDescent="0.35">
      <c r="P11878" s="8"/>
    </row>
    <row r="11879" spans="16:16" x14ac:dyDescent="0.35">
      <c r="P11879" s="8"/>
    </row>
    <row r="11880" spans="16:16" x14ac:dyDescent="0.35">
      <c r="P11880" s="8"/>
    </row>
    <row r="11881" spans="16:16" x14ac:dyDescent="0.35">
      <c r="P11881" s="8"/>
    </row>
    <row r="11882" spans="16:16" x14ac:dyDescent="0.35">
      <c r="P11882" s="8"/>
    </row>
    <row r="11883" spans="16:16" x14ac:dyDescent="0.35">
      <c r="P11883" s="8"/>
    </row>
    <row r="11884" spans="16:16" x14ac:dyDescent="0.35">
      <c r="P11884" s="8"/>
    </row>
    <row r="11885" spans="16:16" x14ac:dyDescent="0.35">
      <c r="P11885" s="8"/>
    </row>
    <row r="11886" spans="16:16" x14ac:dyDescent="0.35">
      <c r="P11886" s="8"/>
    </row>
    <row r="11887" spans="16:16" x14ac:dyDescent="0.35">
      <c r="P11887" s="8"/>
    </row>
    <row r="11888" spans="16:16" x14ac:dyDescent="0.35">
      <c r="P11888" s="8"/>
    </row>
    <row r="11889" spans="16:16" x14ac:dyDescent="0.35">
      <c r="P11889" s="8"/>
    </row>
    <row r="11890" spans="16:16" x14ac:dyDescent="0.35">
      <c r="P11890" s="8"/>
    </row>
    <row r="11891" spans="16:16" x14ac:dyDescent="0.35">
      <c r="P11891" s="8"/>
    </row>
    <row r="11892" spans="16:16" x14ac:dyDescent="0.35">
      <c r="P11892" s="8"/>
    </row>
    <row r="11893" spans="16:16" x14ac:dyDescent="0.35">
      <c r="P11893" s="8"/>
    </row>
    <row r="11894" spans="16:16" x14ac:dyDescent="0.35">
      <c r="P11894" s="8"/>
    </row>
    <row r="11895" spans="16:16" x14ac:dyDescent="0.35">
      <c r="P11895" s="8"/>
    </row>
    <row r="11896" spans="16:16" x14ac:dyDescent="0.35">
      <c r="P11896" s="8"/>
    </row>
    <row r="11897" spans="16:16" x14ac:dyDescent="0.35">
      <c r="P11897" s="8"/>
    </row>
    <row r="11898" spans="16:16" x14ac:dyDescent="0.35">
      <c r="P11898" s="8"/>
    </row>
    <row r="11899" spans="16:16" x14ac:dyDescent="0.35">
      <c r="P11899" s="8"/>
    </row>
    <row r="11900" spans="16:16" x14ac:dyDescent="0.35">
      <c r="P11900" s="8"/>
    </row>
    <row r="11901" spans="16:16" x14ac:dyDescent="0.35">
      <c r="P11901" s="8"/>
    </row>
    <row r="11902" spans="16:16" x14ac:dyDescent="0.35">
      <c r="P11902" s="8"/>
    </row>
    <row r="11903" spans="16:16" x14ac:dyDescent="0.35">
      <c r="P11903" s="8"/>
    </row>
    <row r="11904" spans="16:16" x14ac:dyDescent="0.35">
      <c r="P11904" s="8"/>
    </row>
    <row r="11905" spans="16:16" x14ac:dyDescent="0.35">
      <c r="P11905" s="8"/>
    </row>
    <row r="11906" spans="16:16" x14ac:dyDescent="0.35">
      <c r="P11906" s="8"/>
    </row>
    <row r="11907" spans="16:16" x14ac:dyDescent="0.35">
      <c r="P11907" s="8"/>
    </row>
    <row r="11908" spans="16:16" x14ac:dyDescent="0.35">
      <c r="P11908" s="8"/>
    </row>
    <row r="11909" spans="16:16" x14ac:dyDescent="0.35">
      <c r="P11909" s="8"/>
    </row>
    <row r="11910" spans="16:16" x14ac:dyDescent="0.35">
      <c r="P11910" s="8"/>
    </row>
    <row r="11911" spans="16:16" x14ac:dyDescent="0.35">
      <c r="P11911" s="8"/>
    </row>
    <row r="11912" spans="16:16" x14ac:dyDescent="0.35">
      <c r="P11912" s="8"/>
    </row>
    <row r="11913" spans="16:16" x14ac:dyDescent="0.35">
      <c r="P11913" s="8"/>
    </row>
    <row r="11914" spans="16:16" x14ac:dyDescent="0.35">
      <c r="P11914" s="8"/>
    </row>
    <row r="11915" spans="16:16" x14ac:dyDescent="0.35">
      <c r="P11915" s="8"/>
    </row>
    <row r="11916" spans="16:16" x14ac:dyDescent="0.35">
      <c r="P11916" s="8"/>
    </row>
    <row r="11917" spans="16:16" x14ac:dyDescent="0.35">
      <c r="P11917" s="8"/>
    </row>
    <row r="11918" spans="16:16" x14ac:dyDescent="0.35">
      <c r="P11918" s="8"/>
    </row>
    <row r="11919" spans="16:16" x14ac:dyDescent="0.35">
      <c r="P11919" s="8"/>
    </row>
    <row r="11920" spans="16:16" x14ac:dyDescent="0.35">
      <c r="P11920" s="8"/>
    </row>
    <row r="11921" spans="16:16" x14ac:dyDescent="0.35">
      <c r="P11921" s="8"/>
    </row>
    <row r="11922" spans="16:16" x14ac:dyDescent="0.35">
      <c r="P11922" s="8"/>
    </row>
    <row r="11923" spans="16:16" x14ac:dyDescent="0.35">
      <c r="P11923" s="8"/>
    </row>
    <row r="11924" spans="16:16" x14ac:dyDescent="0.35">
      <c r="P11924" s="8"/>
    </row>
    <row r="11925" spans="16:16" x14ac:dyDescent="0.35">
      <c r="P11925" s="8"/>
    </row>
    <row r="11926" spans="16:16" x14ac:dyDescent="0.35">
      <c r="P11926" s="8"/>
    </row>
    <row r="11927" spans="16:16" x14ac:dyDescent="0.35">
      <c r="P11927" s="8"/>
    </row>
    <row r="11928" spans="16:16" x14ac:dyDescent="0.35">
      <c r="P11928" s="8"/>
    </row>
    <row r="11929" spans="16:16" x14ac:dyDescent="0.35">
      <c r="P11929" s="8"/>
    </row>
    <row r="11930" spans="16:16" x14ac:dyDescent="0.35">
      <c r="P11930" s="8"/>
    </row>
    <row r="11931" spans="16:16" x14ac:dyDescent="0.35">
      <c r="P11931" s="8"/>
    </row>
    <row r="11932" spans="16:16" x14ac:dyDescent="0.35">
      <c r="P11932" s="8"/>
    </row>
    <row r="11933" spans="16:16" x14ac:dyDescent="0.35">
      <c r="P11933" s="8"/>
    </row>
    <row r="11934" spans="16:16" x14ac:dyDescent="0.35">
      <c r="P11934" s="8"/>
    </row>
    <row r="11935" spans="16:16" x14ac:dyDescent="0.35">
      <c r="P11935" s="8"/>
    </row>
    <row r="11936" spans="16:16" x14ac:dyDescent="0.35">
      <c r="P11936" s="8"/>
    </row>
    <row r="11937" spans="16:16" x14ac:dyDescent="0.35">
      <c r="P11937" s="8"/>
    </row>
    <row r="11938" spans="16:16" x14ac:dyDescent="0.35">
      <c r="P11938" s="8"/>
    </row>
    <row r="11939" spans="16:16" x14ac:dyDescent="0.35">
      <c r="P11939" s="8"/>
    </row>
    <row r="11940" spans="16:16" x14ac:dyDescent="0.35">
      <c r="P11940" s="8"/>
    </row>
    <row r="11941" spans="16:16" x14ac:dyDescent="0.35">
      <c r="P11941" s="8"/>
    </row>
    <row r="11942" spans="16:16" x14ac:dyDescent="0.35">
      <c r="P11942" s="8"/>
    </row>
    <row r="11943" spans="16:16" x14ac:dyDescent="0.35">
      <c r="P11943" s="8"/>
    </row>
    <row r="11944" spans="16:16" x14ac:dyDescent="0.35">
      <c r="P11944" s="8"/>
    </row>
    <row r="11945" spans="16:16" x14ac:dyDescent="0.35">
      <c r="P11945" s="8"/>
    </row>
    <row r="11946" spans="16:16" x14ac:dyDescent="0.35">
      <c r="P11946" s="8"/>
    </row>
    <row r="11947" spans="16:16" x14ac:dyDescent="0.35">
      <c r="P11947" s="8"/>
    </row>
    <row r="11948" spans="16:16" x14ac:dyDescent="0.35">
      <c r="P11948" s="8"/>
    </row>
    <row r="11949" spans="16:16" x14ac:dyDescent="0.35">
      <c r="P11949" s="8"/>
    </row>
    <row r="11950" spans="16:16" x14ac:dyDescent="0.35">
      <c r="P11950" s="8"/>
    </row>
    <row r="11951" spans="16:16" x14ac:dyDescent="0.35">
      <c r="P11951" s="8"/>
    </row>
    <row r="11952" spans="16:16" x14ac:dyDescent="0.35">
      <c r="P11952" s="8"/>
    </row>
    <row r="11953" spans="16:16" x14ac:dyDescent="0.35">
      <c r="P11953" s="8"/>
    </row>
    <row r="11954" spans="16:16" x14ac:dyDescent="0.35">
      <c r="P11954" s="8"/>
    </row>
    <row r="11955" spans="16:16" x14ac:dyDescent="0.35">
      <c r="P11955" s="8"/>
    </row>
    <row r="11956" spans="16:16" x14ac:dyDescent="0.35">
      <c r="P11956" s="8"/>
    </row>
    <row r="11957" spans="16:16" x14ac:dyDescent="0.35">
      <c r="P11957" s="8"/>
    </row>
    <row r="11958" spans="16:16" x14ac:dyDescent="0.35">
      <c r="P11958" s="8"/>
    </row>
    <row r="11959" spans="16:16" x14ac:dyDescent="0.35">
      <c r="P11959" s="8"/>
    </row>
    <row r="11960" spans="16:16" x14ac:dyDescent="0.35">
      <c r="P11960" s="8"/>
    </row>
    <row r="11961" spans="16:16" x14ac:dyDescent="0.35">
      <c r="P11961" s="8"/>
    </row>
    <row r="11962" spans="16:16" x14ac:dyDescent="0.35">
      <c r="P11962" s="8"/>
    </row>
    <row r="11963" spans="16:16" x14ac:dyDescent="0.35">
      <c r="P11963" s="8"/>
    </row>
    <row r="11964" spans="16:16" x14ac:dyDescent="0.35">
      <c r="P11964" s="8"/>
    </row>
    <row r="11965" spans="16:16" x14ac:dyDescent="0.35">
      <c r="P11965" s="8"/>
    </row>
    <row r="11966" spans="16:16" x14ac:dyDescent="0.35">
      <c r="P11966" s="8"/>
    </row>
    <row r="11967" spans="16:16" x14ac:dyDescent="0.35">
      <c r="P11967" s="8"/>
    </row>
    <row r="11968" spans="16:16" x14ac:dyDescent="0.35">
      <c r="P11968" s="8"/>
    </row>
    <row r="11969" spans="16:16" x14ac:dyDescent="0.35">
      <c r="P11969" s="8"/>
    </row>
    <row r="11970" spans="16:16" x14ac:dyDescent="0.35">
      <c r="P11970" s="8"/>
    </row>
    <row r="11971" spans="16:16" x14ac:dyDescent="0.35">
      <c r="P11971" s="8"/>
    </row>
    <row r="11972" spans="16:16" x14ac:dyDescent="0.35">
      <c r="P11972" s="8"/>
    </row>
    <row r="11973" spans="16:16" x14ac:dyDescent="0.35">
      <c r="P11973" s="8"/>
    </row>
    <row r="11974" spans="16:16" x14ac:dyDescent="0.35">
      <c r="P11974" s="8"/>
    </row>
    <row r="11975" spans="16:16" x14ac:dyDescent="0.35">
      <c r="P11975" s="8"/>
    </row>
    <row r="11976" spans="16:16" x14ac:dyDescent="0.35">
      <c r="P11976" s="8"/>
    </row>
    <row r="11977" spans="16:16" x14ac:dyDescent="0.35">
      <c r="P11977" s="8"/>
    </row>
    <row r="11978" spans="16:16" x14ac:dyDescent="0.35">
      <c r="P11978" s="8"/>
    </row>
    <row r="11979" spans="16:16" x14ac:dyDescent="0.35">
      <c r="P11979" s="8"/>
    </row>
    <row r="11980" spans="16:16" x14ac:dyDescent="0.35">
      <c r="P11980" s="8"/>
    </row>
    <row r="11981" spans="16:16" x14ac:dyDescent="0.35">
      <c r="P11981" s="8"/>
    </row>
    <row r="11982" spans="16:16" x14ac:dyDescent="0.35">
      <c r="P11982" s="8"/>
    </row>
    <row r="11983" spans="16:16" x14ac:dyDescent="0.35">
      <c r="P11983" s="8"/>
    </row>
    <row r="11984" spans="16:16" x14ac:dyDescent="0.35">
      <c r="P11984" s="8"/>
    </row>
    <row r="11985" spans="16:16" x14ac:dyDescent="0.35">
      <c r="P11985" s="8"/>
    </row>
    <row r="11986" spans="16:16" x14ac:dyDescent="0.35">
      <c r="P11986" s="8"/>
    </row>
    <row r="11987" spans="16:16" x14ac:dyDescent="0.35">
      <c r="P11987" s="8"/>
    </row>
    <row r="11988" spans="16:16" x14ac:dyDescent="0.35">
      <c r="P11988" s="8"/>
    </row>
    <row r="11989" spans="16:16" x14ac:dyDescent="0.35">
      <c r="P11989" s="8"/>
    </row>
    <row r="11990" spans="16:16" x14ac:dyDescent="0.35">
      <c r="P11990" s="8"/>
    </row>
    <row r="11991" spans="16:16" x14ac:dyDescent="0.35">
      <c r="P11991" s="8"/>
    </row>
    <row r="11992" spans="16:16" x14ac:dyDescent="0.35">
      <c r="P11992" s="8"/>
    </row>
    <row r="11993" spans="16:16" x14ac:dyDescent="0.35">
      <c r="P11993" s="8"/>
    </row>
    <row r="11994" spans="16:16" x14ac:dyDescent="0.35">
      <c r="P11994" s="8"/>
    </row>
    <row r="11995" spans="16:16" x14ac:dyDescent="0.35">
      <c r="P11995" s="8"/>
    </row>
    <row r="11996" spans="16:16" x14ac:dyDescent="0.35">
      <c r="P11996" s="8"/>
    </row>
    <row r="11997" spans="16:16" x14ac:dyDescent="0.35">
      <c r="P11997" s="8"/>
    </row>
    <row r="11998" spans="16:16" x14ac:dyDescent="0.35">
      <c r="P11998" s="8"/>
    </row>
    <row r="11999" spans="16:16" x14ac:dyDescent="0.35">
      <c r="P11999" s="8"/>
    </row>
    <row r="12000" spans="16:16" x14ac:dyDescent="0.35">
      <c r="P12000" s="8"/>
    </row>
    <row r="12001" spans="16:16" x14ac:dyDescent="0.35">
      <c r="P12001" s="8"/>
    </row>
    <row r="12002" spans="16:16" x14ac:dyDescent="0.35">
      <c r="P12002" s="8"/>
    </row>
    <row r="12003" spans="16:16" x14ac:dyDescent="0.35">
      <c r="P12003" s="8"/>
    </row>
    <row r="12004" spans="16:16" x14ac:dyDescent="0.35">
      <c r="P12004" s="8"/>
    </row>
    <row r="12005" spans="16:16" x14ac:dyDescent="0.35">
      <c r="P12005" s="8"/>
    </row>
    <row r="12006" spans="16:16" x14ac:dyDescent="0.35">
      <c r="P12006" s="8"/>
    </row>
    <row r="12007" spans="16:16" x14ac:dyDescent="0.35">
      <c r="P12007" s="8"/>
    </row>
    <row r="12008" spans="16:16" x14ac:dyDescent="0.35">
      <c r="P12008" s="8"/>
    </row>
    <row r="12009" spans="16:16" x14ac:dyDescent="0.35">
      <c r="P12009" s="8"/>
    </row>
    <row r="12010" spans="16:16" x14ac:dyDescent="0.35">
      <c r="P12010" s="8"/>
    </row>
    <row r="12011" spans="16:16" x14ac:dyDescent="0.35">
      <c r="P12011" s="8"/>
    </row>
    <row r="12012" spans="16:16" x14ac:dyDescent="0.35">
      <c r="P12012" s="8"/>
    </row>
    <row r="12013" spans="16:16" x14ac:dyDescent="0.35">
      <c r="P12013" s="8"/>
    </row>
    <row r="12014" spans="16:16" x14ac:dyDescent="0.35">
      <c r="P12014" s="8"/>
    </row>
    <row r="12015" spans="16:16" x14ac:dyDescent="0.35">
      <c r="P12015" s="8"/>
    </row>
    <row r="12016" spans="16:16" x14ac:dyDescent="0.35">
      <c r="P12016" s="8"/>
    </row>
    <row r="12017" spans="16:16" x14ac:dyDescent="0.35">
      <c r="P12017" s="8"/>
    </row>
    <row r="12018" spans="16:16" x14ac:dyDescent="0.35">
      <c r="P12018" s="8"/>
    </row>
    <row r="12019" spans="16:16" x14ac:dyDescent="0.35">
      <c r="P12019" s="8"/>
    </row>
    <row r="12020" spans="16:16" x14ac:dyDescent="0.35">
      <c r="P12020" s="8"/>
    </row>
    <row r="12021" spans="16:16" x14ac:dyDescent="0.35">
      <c r="P12021" s="8"/>
    </row>
    <row r="12022" spans="16:16" x14ac:dyDescent="0.35">
      <c r="P12022" s="8"/>
    </row>
    <row r="12023" spans="16:16" x14ac:dyDescent="0.35">
      <c r="P12023" s="8"/>
    </row>
    <row r="12024" spans="16:16" x14ac:dyDescent="0.35">
      <c r="P12024" s="8"/>
    </row>
    <row r="12025" spans="16:16" x14ac:dyDescent="0.35">
      <c r="P12025" s="8"/>
    </row>
    <row r="12026" spans="16:16" x14ac:dyDescent="0.35">
      <c r="P12026" s="8"/>
    </row>
    <row r="12027" spans="16:16" x14ac:dyDescent="0.35">
      <c r="P12027" s="8"/>
    </row>
    <row r="12028" spans="16:16" x14ac:dyDescent="0.35">
      <c r="P12028" s="8"/>
    </row>
    <row r="12029" spans="16:16" x14ac:dyDescent="0.35">
      <c r="P12029" s="8"/>
    </row>
    <row r="12030" spans="16:16" x14ac:dyDescent="0.35">
      <c r="P12030" s="8"/>
    </row>
    <row r="12031" spans="16:16" x14ac:dyDescent="0.35">
      <c r="P12031" s="8"/>
    </row>
    <row r="12032" spans="16:16" x14ac:dyDescent="0.35">
      <c r="P12032" s="8"/>
    </row>
    <row r="12033" spans="16:16" x14ac:dyDescent="0.35">
      <c r="P12033" s="8"/>
    </row>
    <row r="12034" spans="16:16" x14ac:dyDescent="0.35">
      <c r="P12034" s="8"/>
    </row>
    <row r="12035" spans="16:16" x14ac:dyDescent="0.35">
      <c r="P12035" s="8"/>
    </row>
    <row r="12036" spans="16:16" x14ac:dyDescent="0.35">
      <c r="P12036" s="8"/>
    </row>
    <row r="12037" spans="16:16" x14ac:dyDescent="0.35">
      <c r="P12037" s="8"/>
    </row>
    <row r="12038" spans="16:16" x14ac:dyDescent="0.35">
      <c r="P12038" s="8"/>
    </row>
    <row r="12039" spans="16:16" x14ac:dyDescent="0.35">
      <c r="P12039" s="8"/>
    </row>
    <row r="12040" spans="16:16" x14ac:dyDescent="0.35">
      <c r="P12040" s="8"/>
    </row>
    <row r="12041" spans="16:16" x14ac:dyDescent="0.35">
      <c r="P12041" s="8"/>
    </row>
    <row r="12042" spans="16:16" x14ac:dyDescent="0.35">
      <c r="P12042" s="8"/>
    </row>
    <row r="12043" spans="16:16" x14ac:dyDescent="0.35">
      <c r="P12043" s="8"/>
    </row>
    <row r="12044" spans="16:16" x14ac:dyDescent="0.35">
      <c r="P12044" s="8"/>
    </row>
    <row r="12045" spans="16:16" x14ac:dyDescent="0.35">
      <c r="P12045" s="8"/>
    </row>
    <row r="12046" spans="16:16" x14ac:dyDescent="0.35">
      <c r="P12046" s="8"/>
    </row>
    <row r="12047" spans="16:16" x14ac:dyDescent="0.35">
      <c r="P12047" s="8"/>
    </row>
    <row r="12048" spans="16:16" x14ac:dyDescent="0.35">
      <c r="P12048" s="8"/>
    </row>
    <row r="12049" spans="16:16" x14ac:dyDescent="0.35">
      <c r="P12049" s="8"/>
    </row>
    <row r="12050" spans="16:16" x14ac:dyDescent="0.35">
      <c r="P12050" s="8"/>
    </row>
    <row r="12051" spans="16:16" x14ac:dyDescent="0.35">
      <c r="P12051" s="8"/>
    </row>
    <row r="12052" spans="16:16" x14ac:dyDescent="0.35">
      <c r="P12052" s="8"/>
    </row>
    <row r="12053" spans="16:16" x14ac:dyDescent="0.35">
      <c r="P12053" s="8"/>
    </row>
    <row r="12054" spans="16:16" x14ac:dyDescent="0.35">
      <c r="P12054" s="8"/>
    </row>
    <row r="12055" spans="16:16" x14ac:dyDescent="0.35">
      <c r="P12055" s="8"/>
    </row>
    <row r="12056" spans="16:16" x14ac:dyDescent="0.35">
      <c r="P12056" s="8"/>
    </row>
    <row r="12057" spans="16:16" x14ac:dyDescent="0.35">
      <c r="P12057" s="8"/>
    </row>
    <row r="12058" spans="16:16" x14ac:dyDescent="0.35">
      <c r="P12058" s="8"/>
    </row>
    <row r="12059" spans="16:16" x14ac:dyDescent="0.35">
      <c r="P12059" s="8"/>
    </row>
    <row r="12060" spans="16:16" x14ac:dyDescent="0.35">
      <c r="P12060" s="8"/>
    </row>
    <row r="12061" spans="16:16" x14ac:dyDescent="0.35">
      <c r="P12061" s="8"/>
    </row>
    <row r="12062" spans="16:16" x14ac:dyDescent="0.35">
      <c r="P12062" s="8"/>
    </row>
    <row r="12063" spans="16:16" x14ac:dyDescent="0.35">
      <c r="P12063" s="8"/>
    </row>
    <row r="12064" spans="16:16" x14ac:dyDescent="0.35">
      <c r="P12064" s="8"/>
    </row>
    <row r="12065" spans="16:16" x14ac:dyDescent="0.35">
      <c r="P12065" s="8"/>
    </row>
    <row r="12066" spans="16:16" x14ac:dyDescent="0.35">
      <c r="P12066" s="8"/>
    </row>
    <row r="12067" spans="16:16" x14ac:dyDescent="0.35">
      <c r="P12067" s="8"/>
    </row>
    <row r="12068" spans="16:16" x14ac:dyDescent="0.35">
      <c r="P12068" s="8"/>
    </row>
    <row r="12069" spans="16:16" x14ac:dyDescent="0.35">
      <c r="P12069" s="8"/>
    </row>
    <row r="12070" spans="16:16" x14ac:dyDescent="0.35">
      <c r="P12070" s="8"/>
    </row>
    <row r="12071" spans="16:16" x14ac:dyDescent="0.35">
      <c r="P12071" s="8"/>
    </row>
    <row r="12072" spans="16:16" x14ac:dyDescent="0.35">
      <c r="P12072" s="8"/>
    </row>
    <row r="12073" spans="16:16" x14ac:dyDescent="0.35">
      <c r="P12073" s="8"/>
    </row>
    <row r="12074" spans="16:16" x14ac:dyDescent="0.35">
      <c r="P12074" s="8"/>
    </row>
    <row r="12075" spans="16:16" x14ac:dyDescent="0.35">
      <c r="P12075" s="8"/>
    </row>
    <row r="12076" spans="16:16" x14ac:dyDescent="0.35">
      <c r="P12076" s="8"/>
    </row>
    <row r="12077" spans="16:16" x14ac:dyDescent="0.35">
      <c r="P12077" s="8"/>
    </row>
    <row r="12078" spans="16:16" x14ac:dyDescent="0.35">
      <c r="P12078" s="8"/>
    </row>
    <row r="12079" spans="16:16" x14ac:dyDescent="0.35">
      <c r="P12079" s="8"/>
    </row>
    <row r="12080" spans="16:16" x14ac:dyDescent="0.35">
      <c r="P12080" s="8"/>
    </row>
    <row r="12081" spans="16:16" x14ac:dyDescent="0.35">
      <c r="P12081" s="8"/>
    </row>
    <row r="12082" spans="16:16" x14ac:dyDescent="0.35">
      <c r="P12082" s="8"/>
    </row>
    <row r="12083" spans="16:16" x14ac:dyDescent="0.35">
      <c r="P12083" s="8"/>
    </row>
    <row r="12084" spans="16:16" x14ac:dyDescent="0.35">
      <c r="P12084" s="8"/>
    </row>
    <row r="12085" spans="16:16" x14ac:dyDescent="0.35">
      <c r="P12085" s="8"/>
    </row>
    <row r="12086" spans="16:16" x14ac:dyDescent="0.35">
      <c r="P12086" s="8"/>
    </row>
    <row r="12087" spans="16:16" x14ac:dyDescent="0.35">
      <c r="P12087" s="8"/>
    </row>
    <row r="12088" spans="16:16" x14ac:dyDescent="0.35">
      <c r="P12088" s="8"/>
    </row>
    <row r="12089" spans="16:16" x14ac:dyDescent="0.35">
      <c r="P12089" s="8"/>
    </row>
    <row r="12090" spans="16:16" x14ac:dyDescent="0.35">
      <c r="P12090" s="8"/>
    </row>
    <row r="12091" spans="16:16" x14ac:dyDescent="0.35">
      <c r="P12091" s="8"/>
    </row>
    <row r="12092" spans="16:16" x14ac:dyDescent="0.35">
      <c r="P12092" s="8"/>
    </row>
    <row r="12093" spans="16:16" x14ac:dyDescent="0.35">
      <c r="P12093" s="8"/>
    </row>
    <row r="12094" spans="16:16" x14ac:dyDescent="0.35">
      <c r="P12094" s="8"/>
    </row>
    <row r="12095" spans="16:16" x14ac:dyDescent="0.35">
      <c r="P12095" s="8"/>
    </row>
    <row r="12096" spans="16:16" x14ac:dyDescent="0.35">
      <c r="P12096" s="8"/>
    </row>
    <row r="12097" spans="16:16" x14ac:dyDescent="0.35">
      <c r="P12097" s="8"/>
    </row>
    <row r="12098" spans="16:16" x14ac:dyDescent="0.35">
      <c r="P12098" s="8"/>
    </row>
    <row r="12099" spans="16:16" x14ac:dyDescent="0.35">
      <c r="P12099" s="8"/>
    </row>
    <row r="12100" spans="16:16" x14ac:dyDescent="0.35">
      <c r="P12100" s="8"/>
    </row>
    <row r="12101" spans="16:16" x14ac:dyDescent="0.35">
      <c r="P12101" s="8"/>
    </row>
    <row r="12102" spans="16:16" x14ac:dyDescent="0.35">
      <c r="P12102" s="8"/>
    </row>
    <row r="12103" spans="16:16" x14ac:dyDescent="0.35">
      <c r="P12103" s="8"/>
    </row>
    <row r="12104" spans="16:16" x14ac:dyDescent="0.35">
      <c r="P12104" s="8"/>
    </row>
    <row r="12105" spans="16:16" x14ac:dyDescent="0.35">
      <c r="P12105" s="8"/>
    </row>
    <row r="12106" spans="16:16" x14ac:dyDescent="0.35">
      <c r="P12106" s="8"/>
    </row>
    <row r="12107" spans="16:16" x14ac:dyDescent="0.35">
      <c r="P12107" s="8"/>
    </row>
    <row r="12108" spans="16:16" x14ac:dyDescent="0.35">
      <c r="P12108" s="8"/>
    </row>
    <row r="12109" spans="16:16" x14ac:dyDescent="0.35">
      <c r="P12109" s="8"/>
    </row>
    <row r="12110" spans="16:16" x14ac:dyDescent="0.35">
      <c r="P12110" s="8"/>
    </row>
    <row r="12111" spans="16:16" x14ac:dyDescent="0.35">
      <c r="P12111" s="8"/>
    </row>
    <row r="12112" spans="16:16" x14ac:dyDescent="0.35">
      <c r="P12112" s="8"/>
    </row>
    <row r="12113" spans="16:16" x14ac:dyDescent="0.35">
      <c r="P12113" s="8"/>
    </row>
    <row r="12114" spans="16:16" x14ac:dyDescent="0.35">
      <c r="P12114" s="8"/>
    </row>
    <row r="12115" spans="16:16" x14ac:dyDescent="0.35">
      <c r="P12115" s="8"/>
    </row>
    <row r="12116" spans="16:16" x14ac:dyDescent="0.35">
      <c r="P12116" s="8"/>
    </row>
    <row r="12117" spans="16:16" x14ac:dyDescent="0.35">
      <c r="P12117" s="8"/>
    </row>
    <row r="12118" spans="16:16" x14ac:dyDescent="0.35">
      <c r="P12118" s="8"/>
    </row>
    <row r="12119" spans="16:16" x14ac:dyDescent="0.35">
      <c r="P12119" s="8"/>
    </row>
    <row r="12120" spans="16:16" x14ac:dyDescent="0.35">
      <c r="P12120" s="8"/>
    </row>
    <row r="12121" spans="16:16" x14ac:dyDescent="0.35">
      <c r="P12121" s="8"/>
    </row>
    <row r="12122" spans="16:16" x14ac:dyDescent="0.35">
      <c r="P12122" s="8"/>
    </row>
    <row r="12123" spans="16:16" x14ac:dyDescent="0.35">
      <c r="P12123" s="8"/>
    </row>
    <row r="12124" spans="16:16" x14ac:dyDescent="0.35">
      <c r="P12124" s="8"/>
    </row>
    <row r="12125" spans="16:16" x14ac:dyDescent="0.35">
      <c r="P12125" s="8"/>
    </row>
    <row r="12126" spans="16:16" x14ac:dyDescent="0.35">
      <c r="P12126" s="8"/>
    </row>
    <row r="12127" spans="16:16" x14ac:dyDescent="0.35">
      <c r="P12127" s="8"/>
    </row>
    <row r="12128" spans="16:16" x14ac:dyDescent="0.35">
      <c r="P12128" s="8"/>
    </row>
    <row r="12129" spans="16:16" x14ac:dyDescent="0.35">
      <c r="P12129" s="8"/>
    </row>
    <row r="12130" spans="16:16" x14ac:dyDescent="0.35">
      <c r="P12130" s="8"/>
    </row>
    <row r="12131" spans="16:16" x14ac:dyDescent="0.35">
      <c r="P12131" s="8"/>
    </row>
    <row r="12132" spans="16:16" x14ac:dyDescent="0.35">
      <c r="P12132" s="8"/>
    </row>
    <row r="12133" spans="16:16" x14ac:dyDescent="0.35">
      <c r="P12133" s="8"/>
    </row>
    <row r="12134" spans="16:16" x14ac:dyDescent="0.35">
      <c r="P12134" s="8"/>
    </row>
    <row r="12135" spans="16:16" x14ac:dyDescent="0.35">
      <c r="P12135" s="8"/>
    </row>
    <row r="12136" spans="16:16" x14ac:dyDescent="0.35">
      <c r="P12136" s="8"/>
    </row>
    <row r="12137" spans="16:16" x14ac:dyDescent="0.35">
      <c r="P12137" s="8"/>
    </row>
    <row r="12138" spans="16:16" x14ac:dyDescent="0.35">
      <c r="P12138" s="8"/>
    </row>
    <row r="12139" spans="16:16" x14ac:dyDescent="0.35">
      <c r="P12139" s="8"/>
    </row>
    <row r="12140" spans="16:16" x14ac:dyDescent="0.35">
      <c r="P12140" s="8"/>
    </row>
    <row r="12141" spans="16:16" x14ac:dyDescent="0.35">
      <c r="P12141" s="8"/>
    </row>
    <row r="12142" spans="16:16" x14ac:dyDescent="0.35">
      <c r="P12142" s="8"/>
    </row>
    <row r="12143" spans="16:16" x14ac:dyDescent="0.35">
      <c r="P12143" s="8"/>
    </row>
    <row r="12144" spans="16:16" x14ac:dyDescent="0.35">
      <c r="P12144" s="8"/>
    </row>
    <row r="12145" spans="16:16" x14ac:dyDescent="0.35">
      <c r="P12145" s="8"/>
    </row>
    <row r="12146" spans="16:16" x14ac:dyDescent="0.35">
      <c r="P12146" s="8"/>
    </row>
    <row r="12147" spans="16:16" x14ac:dyDescent="0.35">
      <c r="P12147" s="8"/>
    </row>
    <row r="12148" spans="16:16" x14ac:dyDescent="0.35">
      <c r="P12148" s="8"/>
    </row>
    <row r="12149" spans="16:16" x14ac:dyDescent="0.35">
      <c r="P12149" s="8"/>
    </row>
    <row r="12150" spans="16:16" x14ac:dyDescent="0.35">
      <c r="P12150" s="8"/>
    </row>
    <row r="12151" spans="16:16" x14ac:dyDescent="0.35">
      <c r="P12151" s="8"/>
    </row>
    <row r="12152" spans="16:16" x14ac:dyDescent="0.35">
      <c r="P12152" s="8"/>
    </row>
    <row r="12153" spans="16:16" x14ac:dyDescent="0.35">
      <c r="P12153" s="8"/>
    </row>
    <row r="12154" spans="16:16" x14ac:dyDescent="0.35">
      <c r="P12154" s="8"/>
    </row>
    <row r="12155" spans="16:16" x14ac:dyDescent="0.35">
      <c r="P12155" s="8"/>
    </row>
    <row r="12156" spans="16:16" x14ac:dyDescent="0.35">
      <c r="P12156" s="8"/>
    </row>
    <row r="12157" spans="16:16" x14ac:dyDescent="0.35">
      <c r="P12157" s="8"/>
    </row>
    <row r="12158" spans="16:16" x14ac:dyDescent="0.35">
      <c r="P12158" s="8"/>
    </row>
    <row r="12159" spans="16:16" x14ac:dyDescent="0.35">
      <c r="P12159" s="8"/>
    </row>
    <row r="12160" spans="16:16" x14ac:dyDescent="0.35">
      <c r="P12160" s="8"/>
    </row>
    <row r="12161" spans="16:16" x14ac:dyDescent="0.35">
      <c r="P12161" s="8"/>
    </row>
    <row r="12162" spans="16:16" x14ac:dyDescent="0.35">
      <c r="P12162" s="8"/>
    </row>
    <row r="12163" spans="16:16" x14ac:dyDescent="0.35">
      <c r="P12163" s="8"/>
    </row>
    <row r="12164" spans="16:16" x14ac:dyDescent="0.35">
      <c r="P12164" s="8"/>
    </row>
    <row r="12165" spans="16:16" x14ac:dyDescent="0.35">
      <c r="P12165" s="8"/>
    </row>
    <row r="12166" spans="16:16" x14ac:dyDescent="0.35">
      <c r="P12166" s="8"/>
    </row>
    <row r="12167" spans="16:16" x14ac:dyDescent="0.35">
      <c r="P12167" s="8"/>
    </row>
    <row r="12168" spans="16:16" x14ac:dyDescent="0.35">
      <c r="P12168" s="8"/>
    </row>
    <row r="12169" spans="16:16" x14ac:dyDescent="0.35">
      <c r="P12169" s="8"/>
    </row>
    <row r="12170" spans="16:16" x14ac:dyDescent="0.35">
      <c r="P12170" s="8"/>
    </row>
    <row r="12171" spans="16:16" x14ac:dyDescent="0.35">
      <c r="P12171" s="8"/>
    </row>
    <row r="12172" spans="16:16" x14ac:dyDescent="0.35">
      <c r="P12172" s="8"/>
    </row>
    <row r="12173" spans="16:16" x14ac:dyDescent="0.35">
      <c r="P12173" s="8"/>
    </row>
    <row r="12174" spans="16:16" x14ac:dyDescent="0.35">
      <c r="P12174" s="8"/>
    </row>
    <row r="12175" spans="16:16" x14ac:dyDescent="0.35">
      <c r="P12175" s="8"/>
    </row>
    <row r="12176" spans="16:16" x14ac:dyDescent="0.35">
      <c r="P12176" s="8"/>
    </row>
    <row r="12177" spans="16:16" x14ac:dyDescent="0.35">
      <c r="P12177" s="8"/>
    </row>
    <row r="12178" spans="16:16" x14ac:dyDescent="0.35">
      <c r="P12178" s="8"/>
    </row>
    <row r="12179" spans="16:16" x14ac:dyDescent="0.35">
      <c r="P12179" s="8"/>
    </row>
    <row r="12180" spans="16:16" x14ac:dyDescent="0.35">
      <c r="P12180" s="8"/>
    </row>
    <row r="12181" spans="16:16" x14ac:dyDescent="0.35">
      <c r="P12181" s="8"/>
    </row>
    <row r="12182" spans="16:16" x14ac:dyDescent="0.35">
      <c r="P12182" s="8"/>
    </row>
    <row r="12183" spans="16:16" x14ac:dyDescent="0.35">
      <c r="P12183" s="8"/>
    </row>
    <row r="12184" spans="16:16" x14ac:dyDescent="0.35">
      <c r="P12184" s="8"/>
    </row>
    <row r="12185" spans="16:16" x14ac:dyDescent="0.35">
      <c r="P12185" s="8"/>
    </row>
    <row r="12186" spans="16:16" x14ac:dyDescent="0.35">
      <c r="P12186" s="8"/>
    </row>
    <row r="12187" spans="16:16" x14ac:dyDescent="0.35">
      <c r="P12187" s="8"/>
    </row>
    <row r="12188" spans="16:16" x14ac:dyDescent="0.35">
      <c r="P12188" s="8"/>
    </row>
    <row r="12189" spans="16:16" x14ac:dyDescent="0.35">
      <c r="P12189" s="8"/>
    </row>
    <row r="12190" spans="16:16" x14ac:dyDescent="0.35">
      <c r="P12190" s="8"/>
    </row>
    <row r="12191" spans="16:16" x14ac:dyDescent="0.35">
      <c r="P12191" s="8"/>
    </row>
    <row r="12192" spans="16:16" x14ac:dyDescent="0.35">
      <c r="P12192" s="8"/>
    </row>
    <row r="12193" spans="16:16" x14ac:dyDescent="0.35">
      <c r="P12193" s="8"/>
    </row>
    <row r="12194" spans="16:16" x14ac:dyDescent="0.35">
      <c r="P12194" s="8"/>
    </row>
    <row r="12195" spans="16:16" x14ac:dyDescent="0.35">
      <c r="P12195" s="8"/>
    </row>
    <row r="12196" spans="16:16" x14ac:dyDescent="0.35">
      <c r="P12196" s="8"/>
    </row>
    <row r="12197" spans="16:16" x14ac:dyDescent="0.35">
      <c r="P12197" s="8"/>
    </row>
    <row r="12198" spans="16:16" x14ac:dyDescent="0.35">
      <c r="P12198" s="8"/>
    </row>
    <row r="12199" spans="16:16" x14ac:dyDescent="0.35">
      <c r="P12199" s="8"/>
    </row>
    <row r="12200" spans="16:16" x14ac:dyDescent="0.35">
      <c r="P12200" s="8"/>
    </row>
    <row r="12201" spans="16:16" x14ac:dyDescent="0.35">
      <c r="P12201" s="8"/>
    </row>
    <row r="12202" spans="16:16" x14ac:dyDescent="0.35">
      <c r="P12202" s="8"/>
    </row>
    <row r="12203" spans="16:16" x14ac:dyDescent="0.35">
      <c r="P12203" s="8"/>
    </row>
    <row r="12204" spans="16:16" x14ac:dyDescent="0.35">
      <c r="P12204" s="8"/>
    </row>
    <row r="12205" spans="16:16" x14ac:dyDescent="0.35">
      <c r="P12205" s="8"/>
    </row>
    <row r="12206" spans="16:16" x14ac:dyDescent="0.35">
      <c r="P12206" s="8"/>
    </row>
    <row r="12207" spans="16:16" x14ac:dyDescent="0.35">
      <c r="P12207" s="8"/>
    </row>
    <row r="12208" spans="16:16" x14ac:dyDescent="0.35">
      <c r="P12208" s="8"/>
    </row>
    <row r="12209" spans="16:16" x14ac:dyDescent="0.35">
      <c r="P12209" s="8"/>
    </row>
    <row r="12210" spans="16:16" x14ac:dyDescent="0.35">
      <c r="P12210" s="8"/>
    </row>
    <row r="12211" spans="16:16" x14ac:dyDescent="0.35">
      <c r="P12211" s="8"/>
    </row>
    <row r="12212" spans="16:16" x14ac:dyDescent="0.35">
      <c r="P12212" s="8"/>
    </row>
    <row r="12213" spans="16:16" x14ac:dyDescent="0.35">
      <c r="P12213" s="8"/>
    </row>
    <row r="12214" spans="16:16" x14ac:dyDescent="0.35">
      <c r="P12214" s="8"/>
    </row>
    <row r="12215" spans="16:16" x14ac:dyDescent="0.35">
      <c r="P12215" s="8"/>
    </row>
    <row r="12216" spans="16:16" x14ac:dyDescent="0.35">
      <c r="P12216" s="8"/>
    </row>
    <row r="12217" spans="16:16" x14ac:dyDescent="0.35">
      <c r="P12217" s="8"/>
    </row>
    <row r="12218" spans="16:16" x14ac:dyDescent="0.35">
      <c r="P12218" s="8"/>
    </row>
    <row r="12219" spans="16:16" x14ac:dyDescent="0.35">
      <c r="P12219" s="8"/>
    </row>
    <row r="12220" spans="16:16" x14ac:dyDescent="0.35">
      <c r="P12220" s="8"/>
    </row>
    <row r="12221" spans="16:16" x14ac:dyDescent="0.35">
      <c r="P12221" s="8"/>
    </row>
    <row r="12222" spans="16:16" x14ac:dyDescent="0.35">
      <c r="P12222" s="8"/>
    </row>
    <row r="12223" spans="16:16" x14ac:dyDescent="0.35">
      <c r="P12223" s="8"/>
    </row>
    <row r="12224" spans="16:16" x14ac:dyDescent="0.35">
      <c r="P12224" s="8"/>
    </row>
    <row r="12225" spans="16:16" x14ac:dyDescent="0.35">
      <c r="P12225" s="8"/>
    </row>
    <row r="12226" spans="16:16" x14ac:dyDescent="0.35">
      <c r="P12226" s="8"/>
    </row>
    <row r="12227" spans="16:16" x14ac:dyDescent="0.35">
      <c r="P12227" s="8"/>
    </row>
    <row r="12228" spans="16:16" x14ac:dyDescent="0.35">
      <c r="P12228" s="8"/>
    </row>
    <row r="12229" spans="16:16" x14ac:dyDescent="0.35">
      <c r="P12229" s="8"/>
    </row>
    <row r="12230" spans="16:16" x14ac:dyDescent="0.35">
      <c r="P12230" s="8"/>
    </row>
    <row r="12231" spans="16:16" x14ac:dyDescent="0.35">
      <c r="P12231" s="8"/>
    </row>
    <row r="12232" spans="16:16" x14ac:dyDescent="0.35">
      <c r="P12232" s="8"/>
    </row>
    <row r="12233" spans="16:16" x14ac:dyDescent="0.35">
      <c r="P12233" s="8"/>
    </row>
    <row r="12234" spans="16:16" x14ac:dyDescent="0.35">
      <c r="P12234" s="8"/>
    </row>
    <row r="12235" spans="16:16" x14ac:dyDescent="0.35">
      <c r="P12235" s="8"/>
    </row>
    <row r="12236" spans="16:16" x14ac:dyDescent="0.35">
      <c r="P12236" s="8"/>
    </row>
    <row r="12237" spans="16:16" x14ac:dyDescent="0.35">
      <c r="P12237" s="8"/>
    </row>
    <row r="12238" spans="16:16" x14ac:dyDescent="0.35">
      <c r="P12238" s="8"/>
    </row>
    <row r="12239" spans="16:16" x14ac:dyDescent="0.35">
      <c r="P12239" s="8"/>
    </row>
    <row r="12240" spans="16:16" x14ac:dyDescent="0.35">
      <c r="P12240" s="8"/>
    </row>
    <row r="12241" spans="16:16" x14ac:dyDescent="0.35">
      <c r="P12241" s="8"/>
    </row>
    <row r="12242" spans="16:16" x14ac:dyDescent="0.35">
      <c r="P12242" s="8"/>
    </row>
    <row r="12243" spans="16:16" x14ac:dyDescent="0.35">
      <c r="P12243" s="8"/>
    </row>
    <row r="12244" spans="16:16" x14ac:dyDescent="0.35">
      <c r="P12244" s="8"/>
    </row>
    <row r="12245" spans="16:16" x14ac:dyDescent="0.35">
      <c r="P12245" s="8"/>
    </row>
    <row r="12246" spans="16:16" x14ac:dyDescent="0.35">
      <c r="P12246" s="8"/>
    </row>
    <row r="12247" spans="16:16" x14ac:dyDescent="0.35">
      <c r="P12247" s="8"/>
    </row>
    <row r="12248" spans="16:16" x14ac:dyDescent="0.35">
      <c r="P12248" s="8"/>
    </row>
    <row r="12249" spans="16:16" x14ac:dyDescent="0.35">
      <c r="P12249" s="8"/>
    </row>
    <row r="12250" spans="16:16" x14ac:dyDescent="0.35">
      <c r="P12250" s="8"/>
    </row>
    <row r="12251" spans="16:16" x14ac:dyDescent="0.35">
      <c r="P12251" s="8"/>
    </row>
    <row r="12252" spans="16:16" x14ac:dyDescent="0.35">
      <c r="P12252" s="8"/>
    </row>
    <row r="12253" spans="16:16" x14ac:dyDescent="0.35">
      <c r="P12253" s="8"/>
    </row>
    <row r="12254" spans="16:16" x14ac:dyDescent="0.35">
      <c r="P12254" s="8"/>
    </row>
    <row r="12255" spans="16:16" x14ac:dyDescent="0.35">
      <c r="P12255" s="8"/>
    </row>
    <row r="12256" spans="16:16" x14ac:dyDescent="0.35">
      <c r="P12256" s="8"/>
    </row>
    <row r="12257" spans="16:16" x14ac:dyDescent="0.35">
      <c r="P12257" s="8"/>
    </row>
    <row r="12258" spans="16:16" x14ac:dyDescent="0.35">
      <c r="P12258" s="8"/>
    </row>
    <row r="12259" spans="16:16" x14ac:dyDescent="0.35">
      <c r="P12259" s="8"/>
    </row>
    <row r="12260" spans="16:16" x14ac:dyDescent="0.35">
      <c r="P12260" s="8"/>
    </row>
    <row r="12261" spans="16:16" x14ac:dyDescent="0.35">
      <c r="P12261" s="8"/>
    </row>
    <row r="12262" spans="16:16" x14ac:dyDescent="0.35">
      <c r="P12262" s="8"/>
    </row>
    <row r="12263" spans="16:16" x14ac:dyDescent="0.35">
      <c r="P12263" s="8"/>
    </row>
    <row r="12264" spans="16:16" x14ac:dyDescent="0.35">
      <c r="P12264" s="8"/>
    </row>
    <row r="12265" spans="16:16" x14ac:dyDescent="0.35">
      <c r="P12265" s="8"/>
    </row>
    <row r="12266" spans="16:16" x14ac:dyDescent="0.35">
      <c r="P12266" s="8"/>
    </row>
    <row r="12267" spans="16:16" x14ac:dyDescent="0.35">
      <c r="P12267" s="8"/>
    </row>
    <row r="12268" spans="16:16" x14ac:dyDescent="0.35">
      <c r="P12268" s="8"/>
    </row>
    <row r="12269" spans="16:16" x14ac:dyDescent="0.35">
      <c r="P12269" s="8"/>
    </row>
    <row r="12270" spans="16:16" x14ac:dyDescent="0.35">
      <c r="P12270" s="8"/>
    </row>
    <row r="12271" spans="16:16" x14ac:dyDescent="0.35">
      <c r="P12271" s="8"/>
    </row>
    <row r="12272" spans="16:16" x14ac:dyDescent="0.35">
      <c r="P12272" s="8"/>
    </row>
    <row r="12273" spans="16:16" x14ac:dyDescent="0.35">
      <c r="P12273" s="8"/>
    </row>
    <row r="12274" spans="16:16" x14ac:dyDescent="0.35">
      <c r="P12274" s="8"/>
    </row>
    <row r="12275" spans="16:16" x14ac:dyDescent="0.35">
      <c r="P12275" s="8"/>
    </row>
    <row r="12276" spans="16:16" x14ac:dyDescent="0.35">
      <c r="P12276" s="8"/>
    </row>
    <row r="12277" spans="16:16" x14ac:dyDescent="0.35">
      <c r="P12277" s="8"/>
    </row>
    <row r="12278" spans="16:16" x14ac:dyDescent="0.35">
      <c r="P12278" s="8"/>
    </row>
    <row r="12279" spans="16:16" x14ac:dyDescent="0.35">
      <c r="P12279" s="8"/>
    </row>
    <row r="12280" spans="16:16" x14ac:dyDescent="0.35">
      <c r="P12280" s="8"/>
    </row>
    <row r="12281" spans="16:16" x14ac:dyDescent="0.35">
      <c r="P12281" s="8"/>
    </row>
    <row r="12282" spans="16:16" x14ac:dyDescent="0.35">
      <c r="P12282" s="8"/>
    </row>
    <row r="12283" spans="16:16" x14ac:dyDescent="0.35">
      <c r="P12283" s="8"/>
    </row>
    <row r="12284" spans="16:16" x14ac:dyDescent="0.35">
      <c r="P12284" s="8"/>
    </row>
    <row r="12285" spans="16:16" x14ac:dyDescent="0.35">
      <c r="P12285" s="8"/>
    </row>
    <row r="12286" spans="16:16" x14ac:dyDescent="0.35">
      <c r="P12286" s="8"/>
    </row>
    <row r="12287" spans="16:16" x14ac:dyDescent="0.35">
      <c r="P12287" s="8"/>
    </row>
    <row r="12288" spans="16:16" x14ac:dyDescent="0.35">
      <c r="P12288" s="8"/>
    </row>
    <row r="12289" spans="16:16" x14ac:dyDescent="0.35">
      <c r="P12289" s="8"/>
    </row>
    <row r="12290" spans="16:16" x14ac:dyDescent="0.35">
      <c r="P12290" s="8"/>
    </row>
    <row r="12291" spans="16:16" x14ac:dyDescent="0.35">
      <c r="P12291" s="8"/>
    </row>
    <row r="12292" spans="16:16" x14ac:dyDescent="0.35">
      <c r="P12292" s="8"/>
    </row>
    <row r="12293" spans="16:16" x14ac:dyDescent="0.35">
      <c r="P12293" s="8"/>
    </row>
    <row r="12294" spans="16:16" x14ac:dyDescent="0.35">
      <c r="P12294" s="8"/>
    </row>
    <row r="12295" spans="16:16" x14ac:dyDescent="0.35">
      <c r="P12295" s="8"/>
    </row>
    <row r="12296" spans="16:16" x14ac:dyDescent="0.35">
      <c r="P12296" s="8"/>
    </row>
    <row r="12297" spans="16:16" x14ac:dyDescent="0.35">
      <c r="P12297" s="8"/>
    </row>
    <row r="12298" spans="16:16" x14ac:dyDescent="0.35">
      <c r="P12298" s="8"/>
    </row>
    <row r="12299" spans="16:16" x14ac:dyDescent="0.35">
      <c r="P12299" s="8"/>
    </row>
    <row r="12300" spans="16:16" x14ac:dyDescent="0.35">
      <c r="P12300" s="8"/>
    </row>
    <row r="12301" spans="16:16" x14ac:dyDescent="0.35">
      <c r="P12301" s="8"/>
    </row>
    <row r="12302" spans="16:16" x14ac:dyDescent="0.35">
      <c r="P12302" s="8"/>
    </row>
    <row r="12303" spans="16:16" x14ac:dyDescent="0.35">
      <c r="P12303" s="8"/>
    </row>
    <row r="12304" spans="16:16" x14ac:dyDescent="0.35">
      <c r="P12304" s="8"/>
    </row>
    <row r="12305" spans="16:16" x14ac:dyDescent="0.35">
      <c r="P12305" s="8"/>
    </row>
    <row r="12306" spans="16:16" x14ac:dyDescent="0.35">
      <c r="P12306" s="8"/>
    </row>
    <row r="12307" spans="16:16" x14ac:dyDescent="0.35">
      <c r="P12307" s="8"/>
    </row>
    <row r="12308" spans="16:16" x14ac:dyDescent="0.35">
      <c r="P12308" s="8"/>
    </row>
    <row r="12309" spans="16:16" x14ac:dyDescent="0.35">
      <c r="P12309" s="8"/>
    </row>
    <row r="12310" spans="16:16" x14ac:dyDescent="0.35">
      <c r="P12310" s="8"/>
    </row>
    <row r="12311" spans="16:16" x14ac:dyDescent="0.35">
      <c r="P12311" s="8"/>
    </row>
    <row r="12312" spans="16:16" x14ac:dyDescent="0.35">
      <c r="P12312" s="8"/>
    </row>
    <row r="12313" spans="16:16" x14ac:dyDescent="0.35">
      <c r="P12313" s="8"/>
    </row>
    <row r="12314" spans="16:16" x14ac:dyDescent="0.35">
      <c r="P12314" s="8"/>
    </row>
    <row r="12315" spans="16:16" x14ac:dyDescent="0.35">
      <c r="P12315" s="8"/>
    </row>
    <row r="12316" spans="16:16" x14ac:dyDescent="0.35">
      <c r="P12316" s="8"/>
    </row>
    <row r="12317" spans="16:16" x14ac:dyDescent="0.35">
      <c r="P12317" s="8"/>
    </row>
    <row r="12318" spans="16:16" x14ac:dyDescent="0.35">
      <c r="P12318" s="8"/>
    </row>
    <row r="12319" spans="16:16" x14ac:dyDescent="0.35">
      <c r="P12319" s="8"/>
    </row>
    <row r="12320" spans="16:16" x14ac:dyDescent="0.35">
      <c r="P12320" s="8"/>
    </row>
    <row r="12321" spans="16:16" x14ac:dyDescent="0.35">
      <c r="P12321" s="8"/>
    </row>
    <row r="12322" spans="16:16" x14ac:dyDescent="0.35">
      <c r="P12322" s="8"/>
    </row>
    <row r="12323" spans="16:16" x14ac:dyDescent="0.35">
      <c r="P12323" s="8"/>
    </row>
    <row r="12324" spans="16:16" x14ac:dyDescent="0.35">
      <c r="P12324" s="8"/>
    </row>
    <row r="12325" spans="16:16" x14ac:dyDescent="0.35">
      <c r="P12325" s="8"/>
    </row>
    <row r="12326" spans="16:16" x14ac:dyDescent="0.35">
      <c r="P12326" s="8"/>
    </row>
    <row r="12327" spans="16:16" x14ac:dyDescent="0.35">
      <c r="P12327" s="8"/>
    </row>
    <row r="12328" spans="16:16" x14ac:dyDescent="0.35">
      <c r="P12328" s="8"/>
    </row>
    <row r="12329" spans="16:16" x14ac:dyDescent="0.35">
      <c r="P12329" s="8"/>
    </row>
    <row r="12330" spans="16:16" x14ac:dyDescent="0.35">
      <c r="P12330" s="8"/>
    </row>
    <row r="12331" spans="16:16" x14ac:dyDescent="0.35">
      <c r="P12331" s="8"/>
    </row>
    <row r="12332" spans="16:16" x14ac:dyDescent="0.35">
      <c r="P12332" s="8"/>
    </row>
    <row r="12333" spans="16:16" x14ac:dyDescent="0.35">
      <c r="P12333" s="8"/>
    </row>
    <row r="12334" spans="16:16" x14ac:dyDescent="0.35">
      <c r="P12334" s="8"/>
    </row>
    <row r="12335" spans="16:16" x14ac:dyDescent="0.35">
      <c r="P12335" s="8"/>
    </row>
    <row r="12336" spans="16:16" x14ac:dyDescent="0.35">
      <c r="P12336" s="8"/>
    </row>
    <row r="12337" spans="16:16" x14ac:dyDescent="0.35">
      <c r="P12337" s="8"/>
    </row>
    <row r="12338" spans="16:16" x14ac:dyDescent="0.35">
      <c r="P12338" s="8"/>
    </row>
    <row r="12339" spans="16:16" x14ac:dyDescent="0.35">
      <c r="P12339" s="8"/>
    </row>
    <row r="12340" spans="16:16" x14ac:dyDescent="0.35">
      <c r="P12340" s="8"/>
    </row>
    <row r="12341" spans="16:16" x14ac:dyDescent="0.35">
      <c r="P12341" s="8"/>
    </row>
    <row r="12342" spans="16:16" x14ac:dyDescent="0.35">
      <c r="P12342" s="8"/>
    </row>
    <row r="12343" spans="16:16" x14ac:dyDescent="0.35">
      <c r="P12343" s="8"/>
    </row>
    <row r="12344" spans="16:16" x14ac:dyDescent="0.35">
      <c r="P12344" s="8"/>
    </row>
    <row r="12345" spans="16:16" x14ac:dyDescent="0.35">
      <c r="P12345" s="8"/>
    </row>
    <row r="12346" spans="16:16" x14ac:dyDescent="0.35">
      <c r="P12346" s="8"/>
    </row>
    <row r="12347" spans="16:16" x14ac:dyDescent="0.35">
      <c r="P12347" s="8"/>
    </row>
    <row r="12348" spans="16:16" x14ac:dyDescent="0.35">
      <c r="P12348" s="8"/>
    </row>
    <row r="12349" spans="16:16" x14ac:dyDescent="0.35">
      <c r="P12349" s="8"/>
    </row>
    <row r="12350" spans="16:16" x14ac:dyDescent="0.35">
      <c r="P12350" s="8"/>
    </row>
    <row r="12351" spans="16:16" x14ac:dyDescent="0.35">
      <c r="P12351" s="8"/>
    </row>
    <row r="12352" spans="16:16" x14ac:dyDescent="0.35">
      <c r="P12352" s="8"/>
    </row>
    <row r="12353" spans="16:16" x14ac:dyDescent="0.35">
      <c r="P12353" s="8"/>
    </row>
    <row r="12354" spans="16:16" x14ac:dyDescent="0.35">
      <c r="P12354" s="8"/>
    </row>
    <row r="12355" spans="16:16" x14ac:dyDescent="0.35">
      <c r="P12355" s="8"/>
    </row>
    <row r="12356" spans="16:16" x14ac:dyDescent="0.35">
      <c r="P12356" s="8"/>
    </row>
    <row r="12357" spans="16:16" x14ac:dyDescent="0.35">
      <c r="P12357" s="8"/>
    </row>
    <row r="12358" spans="16:16" x14ac:dyDescent="0.35">
      <c r="P12358" s="8"/>
    </row>
    <row r="12359" spans="16:16" x14ac:dyDescent="0.35">
      <c r="P12359" s="8"/>
    </row>
    <row r="12360" spans="16:16" x14ac:dyDescent="0.35">
      <c r="P12360" s="8"/>
    </row>
    <row r="12361" spans="16:16" x14ac:dyDescent="0.35">
      <c r="P12361" s="8"/>
    </row>
    <row r="12362" spans="16:16" x14ac:dyDescent="0.35">
      <c r="P12362" s="8"/>
    </row>
    <row r="12363" spans="16:16" x14ac:dyDescent="0.35">
      <c r="P12363" s="8"/>
    </row>
    <row r="12364" spans="16:16" x14ac:dyDescent="0.35">
      <c r="P12364" s="8"/>
    </row>
    <row r="12365" spans="16:16" x14ac:dyDescent="0.35">
      <c r="P12365" s="8"/>
    </row>
    <row r="12366" spans="16:16" x14ac:dyDescent="0.35">
      <c r="P12366" s="8"/>
    </row>
    <row r="12367" spans="16:16" x14ac:dyDescent="0.35">
      <c r="P12367" s="8"/>
    </row>
    <row r="12368" spans="16:16" x14ac:dyDescent="0.35">
      <c r="P12368" s="8"/>
    </row>
    <row r="12369" spans="16:16" x14ac:dyDescent="0.35">
      <c r="P12369" s="8"/>
    </row>
    <row r="12370" spans="16:16" x14ac:dyDescent="0.35">
      <c r="P12370" s="8"/>
    </row>
    <row r="12371" spans="16:16" x14ac:dyDescent="0.35">
      <c r="P12371" s="8"/>
    </row>
    <row r="12372" spans="16:16" x14ac:dyDescent="0.35">
      <c r="P12372" s="8"/>
    </row>
    <row r="12373" spans="16:16" x14ac:dyDescent="0.35">
      <c r="P12373" s="8"/>
    </row>
    <row r="12374" spans="16:16" x14ac:dyDescent="0.35">
      <c r="P12374" s="8"/>
    </row>
    <row r="12375" spans="16:16" x14ac:dyDescent="0.35">
      <c r="P12375" s="8"/>
    </row>
    <row r="12376" spans="16:16" x14ac:dyDescent="0.35">
      <c r="P12376" s="8"/>
    </row>
    <row r="12377" spans="16:16" x14ac:dyDescent="0.35">
      <c r="P12377" s="8"/>
    </row>
    <row r="12378" spans="16:16" x14ac:dyDescent="0.35">
      <c r="P12378" s="8"/>
    </row>
    <row r="12379" spans="16:16" x14ac:dyDescent="0.35">
      <c r="P12379" s="8"/>
    </row>
    <row r="12380" spans="16:16" x14ac:dyDescent="0.35">
      <c r="P12380" s="8"/>
    </row>
    <row r="12381" spans="16:16" x14ac:dyDescent="0.35">
      <c r="P12381" s="8"/>
    </row>
    <row r="12382" spans="16:16" x14ac:dyDescent="0.35">
      <c r="P12382" s="8"/>
    </row>
    <row r="12383" spans="16:16" x14ac:dyDescent="0.35">
      <c r="P12383" s="8"/>
    </row>
    <row r="12384" spans="16:16" x14ac:dyDescent="0.35">
      <c r="P12384" s="8"/>
    </row>
    <row r="12385" spans="16:16" x14ac:dyDescent="0.35">
      <c r="P12385" s="8"/>
    </row>
    <row r="12386" spans="16:16" x14ac:dyDescent="0.35">
      <c r="P12386" s="8"/>
    </row>
    <row r="12387" spans="16:16" x14ac:dyDescent="0.35">
      <c r="P12387" s="8"/>
    </row>
    <row r="12388" spans="16:16" x14ac:dyDescent="0.35">
      <c r="P12388" s="8"/>
    </row>
    <row r="12389" spans="16:16" x14ac:dyDescent="0.35">
      <c r="P12389" s="8"/>
    </row>
    <row r="12390" spans="16:16" x14ac:dyDescent="0.35">
      <c r="P12390" s="8"/>
    </row>
    <row r="12391" spans="16:16" x14ac:dyDescent="0.35">
      <c r="P12391" s="8"/>
    </row>
    <row r="12392" spans="16:16" x14ac:dyDescent="0.35">
      <c r="P12392" s="8"/>
    </row>
    <row r="12393" spans="16:16" x14ac:dyDescent="0.35">
      <c r="P12393" s="8"/>
    </row>
    <row r="12394" spans="16:16" x14ac:dyDescent="0.35">
      <c r="P12394" s="8"/>
    </row>
    <row r="12395" spans="16:16" x14ac:dyDescent="0.35">
      <c r="P12395" s="8"/>
    </row>
    <row r="12396" spans="16:16" x14ac:dyDescent="0.35">
      <c r="P12396" s="8"/>
    </row>
    <row r="12397" spans="16:16" x14ac:dyDescent="0.35">
      <c r="P12397" s="8"/>
    </row>
    <row r="12398" spans="16:16" x14ac:dyDescent="0.35">
      <c r="P12398" s="8"/>
    </row>
    <row r="12399" spans="16:16" x14ac:dyDescent="0.35">
      <c r="P12399" s="8"/>
    </row>
    <row r="12400" spans="16:16" x14ac:dyDescent="0.35">
      <c r="P12400" s="8"/>
    </row>
    <row r="12401" spans="16:16" x14ac:dyDescent="0.35">
      <c r="P12401" s="8"/>
    </row>
    <row r="12402" spans="16:16" x14ac:dyDescent="0.35">
      <c r="P12402" s="8"/>
    </row>
    <row r="12403" spans="16:16" x14ac:dyDescent="0.35">
      <c r="P12403" s="8"/>
    </row>
    <row r="12404" spans="16:16" x14ac:dyDescent="0.35">
      <c r="P12404" s="8"/>
    </row>
    <row r="12405" spans="16:16" x14ac:dyDescent="0.35">
      <c r="P12405" s="8"/>
    </row>
    <row r="12406" spans="16:16" x14ac:dyDescent="0.35">
      <c r="P12406" s="8"/>
    </row>
    <row r="12407" spans="16:16" x14ac:dyDescent="0.35">
      <c r="P12407" s="8"/>
    </row>
    <row r="12408" spans="16:16" x14ac:dyDescent="0.35">
      <c r="P12408" s="8"/>
    </row>
    <row r="12409" spans="16:16" x14ac:dyDescent="0.35">
      <c r="P12409" s="8"/>
    </row>
    <row r="12410" spans="16:16" x14ac:dyDescent="0.35">
      <c r="P12410" s="8"/>
    </row>
    <row r="12411" spans="16:16" x14ac:dyDescent="0.35">
      <c r="P12411" s="8"/>
    </row>
    <row r="12412" spans="16:16" x14ac:dyDescent="0.35">
      <c r="P12412" s="8"/>
    </row>
    <row r="12413" spans="16:16" x14ac:dyDescent="0.35">
      <c r="P12413" s="8"/>
    </row>
    <row r="12414" spans="16:16" x14ac:dyDescent="0.35">
      <c r="P12414" s="8"/>
    </row>
    <row r="12415" spans="16:16" x14ac:dyDescent="0.35">
      <c r="P12415" s="8"/>
    </row>
    <row r="12416" spans="16:16" x14ac:dyDescent="0.35">
      <c r="P12416" s="8"/>
    </row>
    <row r="12417" spans="16:16" x14ac:dyDescent="0.35">
      <c r="P12417" s="8"/>
    </row>
    <row r="12418" spans="16:16" x14ac:dyDescent="0.35">
      <c r="P12418" s="8"/>
    </row>
    <row r="12419" spans="16:16" x14ac:dyDescent="0.35">
      <c r="P12419" s="8"/>
    </row>
    <row r="12420" spans="16:16" x14ac:dyDescent="0.35">
      <c r="P12420" s="8"/>
    </row>
    <row r="12421" spans="16:16" x14ac:dyDescent="0.35">
      <c r="P12421" s="8"/>
    </row>
    <row r="12422" spans="16:16" x14ac:dyDescent="0.35">
      <c r="P12422" s="8"/>
    </row>
    <row r="12423" spans="16:16" x14ac:dyDescent="0.35">
      <c r="P12423" s="8"/>
    </row>
    <row r="12424" spans="16:16" x14ac:dyDescent="0.35">
      <c r="P12424" s="8"/>
    </row>
    <row r="12425" spans="16:16" x14ac:dyDescent="0.35">
      <c r="P12425" s="8"/>
    </row>
    <row r="12426" spans="16:16" x14ac:dyDescent="0.35">
      <c r="P12426" s="8"/>
    </row>
    <row r="12427" spans="16:16" x14ac:dyDescent="0.35">
      <c r="P12427" s="8"/>
    </row>
    <row r="12428" spans="16:16" x14ac:dyDescent="0.35">
      <c r="P12428" s="8"/>
    </row>
    <row r="12429" spans="16:16" x14ac:dyDescent="0.35">
      <c r="P12429" s="8"/>
    </row>
    <row r="12430" spans="16:16" x14ac:dyDescent="0.35">
      <c r="P12430" s="8"/>
    </row>
    <row r="12431" spans="16:16" x14ac:dyDescent="0.35">
      <c r="P12431" s="8"/>
    </row>
    <row r="12432" spans="16:16" x14ac:dyDescent="0.35">
      <c r="P12432" s="8"/>
    </row>
    <row r="12433" spans="16:16" x14ac:dyDescent="0.35">
      <c r="P12433" s="8"/>
    </row>
    <row r="12434" spans="16:16" x14ac:dyDescent="0.35">
      <c r="P12434" s="8"/>
    </row>
    <row r="12435" spans="16:16" x14ac:dyDescent="0.35">
      <c r="P12435" s="8"/>
    </row>
    <row r="12436" spans="16:16" x14ac:dyDescent="0.35">
      <c r="P12436" s="8"/>
    </row>
    <row r="12437" spans="16:16" x14ac:dyDescent="0.35">
      <c r="P12437" s="8"/>
    </row>
    <row r="12438" spans="16:16" x14ac:dyDescent="0.35">
      <c r="P12438" s="8"/>
    </row>
    <row r="12439" spans="16:16" x14ac:dyDescent="0.35">
      <c r="P12439" s="8"/>
    </row>
    <row r="12440" spans="16:16" x14ac:dyDescent="0.35">
      <c r="P12440" s="8"/>
    </row>
    <row r="12441" spans="16:16" x14ac:dyDescent="0.35">
      <c r="P12441" s="8"/>
    </row>
    <row r="12442" spans="16:16" x14ac:dyDescent="0.35">
      <c r="P12442" s="8"/>
    </row>
    <row r="12443" spans="16:16" x14ac:dyDescent="0.35">
      <c r="P12443" s="8"/>
    </row>
    <row r="12444" spans="16:16" x14ac:dyDescent="0.35">
      <c r="P12444" s="8"/>
    </row>
    <row r="12445" spans="16:16" x14ac:dyDescent="0.35">
      <c r="P12445" s="8"/>
    </row>
    <row r="12446" spans="16:16" x14ac:dyDescent="0.35">
      <c r="P12446" s="8"/>
    </row>
    <row r="12447" spans="16:16" x14ac:dyDescent="0.35">
      <c r="P12447" s="8"/>
    </row>
    <row r="12448" spans="16:16" x14ac:dyDescent="0.35">
      <c r="P12448" s="8"/>
    </row>
    <row r="12449" spans="16:16" x14ac:dyDescent="0.35">
      <c r="P12449" s="8"/>
    </row>
    <row r="12450" spans="16:16" x14ac:dyDescent="0.35">
      <c r="P12450" s="8"/>
    </row>
    <row r="12451" spans="16:16" x14ac:dyDescent="0.35">
      <c r="P12451" s="8"/>
    </row>
    <row r="12452" spans="16:16" x14ac:dyDescent="0.35">
      <c r="P12452" s="8"/>
    </row>
    <row r="12453" spans="16:16" x14ac:dyDescent="0.35">
      <c r="P12453" s="8"/>
    </row>
    <row r="12454" spans="16:16" x14ac:dyDescent="0.35">
      <c r="P12454" s="8"/>
    </row>
    <row r="12455" spans="16:16" x14ac:dyDescent="0.35">
      <c r="P12455" s="8"/>
    </row>
    <row r="12456" spans="16:16" x14ac:dyDescent="0.35">
      <c r="P12456" s="8"/>
    </row>
    <row r="12457" spans="16:16" x14ac:dyDescent="0.35">
      <c r="P12457" s="8"/>
    </row>
    <row r="12458" spans="16:16" x14ac:dyDescent="0.35">
      <c r="P12458" s="8"/>
    </row>
    <row r="12459" spans="16:16" x14ac:dyDescent="0.35">
      <c r="P12459" s="8"/>
    </row>
    <row r="12460" spans="16:16" x14ac:dyDescent="0.35">
      <c r="P12460" s="8"/>
    </row>
    <row r="12461" spans="16:16" x14ac:dyDescent="0.35">
      <c r="P12461" s="8"/>
    </row>
    <row r="12462" spans="16:16" x14ac:dyDescent="0.35">
      <c r="P12462" s="8"/>
    </row>
    <row r="12463" spans="16:16" x14ac:dyDescent="0.35">
      <c r="P12463" s="8"/>
    </row>
    <row r="12464" spans="16:16" x14ac:dyDescent="0.35">
      <c r="P12464" s="8"/>
    </row>
    <row r="12465" spans="16:16" x14ac:dyDescent="0.35">
      <c r="P12465" s="8"/>
    </row>
    <row r="12466" spans="16:16" x14ac:dyDescent="0.35">
      <c r="P12466" s="8"/>
    </row>
    <row r="12467" spans="16:16" x14ac:dyDescent="0.35">
      <c r="P12467" s="8"/>
    </row>
    <row r="12468" spans="16:16" x14ac:dyDescent="0.35">
      <c r="P12468" s="8"/>
    </row>
    <row r="12469" spans="16:16" x14ac:dyDescent="0.35">
      <c r="P12469" s="8"/>
    </row>
    <row r="12470" spans="16:16" x14ac:dyDescent="0.35">
      <c r="P12470" s="8"/>
    </row>
    <row r="12471" spans="16:16" x14ac:dyDescent="0.35">
      <c r="P12471" s="8"/>
    </row>
    <row r="12472" spans="16:16" x14ac:dyDescent="0.35">
      <c r="P12472" s="8"/>
    </row>
    <row r="12473" spans="16:16" x14ac:dyDescent="0.35">
      <c r="P12473" s="8"/>
    </row>
    <row r="12474" spans="16:16" x14ac:dyDescent="0.35">
      <c r="P12474" s="8"/>
    </row>
    <row r="12475" spans="16:16" x14ac:dyDescent="0.35">
      <c r="P12475" s="8"/>
    </row>
    <row r="12476" spans="16:16" x14ac:dyDescent="0.35">
      <c r="P12476" s="8"/>
    </row>
    <row r="12477" spans="16:16" x14ac:dyDescent="0.35">
      <c r="P12477" s="8"/>
    </row>
    <row r="12478" spans="16:16" x14ac:dyDescent="0.35">
      <c r="P12478" s="8"/>
    </row>
    <row r="12479" spans="16:16" x14ac:dyDescent="0.35">
      <c r="P12479" s="8"/>
    </row>
    <row r="12480" spans="16:16" x14ac:dyDescent="0.35">
      <c r="P12480" s="8"/>
    </row>
    <row r="12481" spans="16:16" x14ac:dyDescent="0.35">
      <c r="P12481" s="8"/>
    </row>
    <row r="12482" spans="16:16" x14ac:dyDescent="0.35">
      <c r="P12482" s="8"/>
    </row>
    <row r="12483" spans="16:16" x14ac:dyDescent="0.35">
      <c r="P12483" s="8"/>
    </row>
    <row r="12484" spans="16:16" x14ac:dyDescent="0.35">
      <c r="P12484" s="8"/>
    </row>
    <row r="12485" spans="16:16" x14ac:dyDescent="0.35">
      <c r="P12485" s="8"/>
    </row>
    <row r="12486" spans="16:16" x14ac:dyDescent="0.35">
      <c r="P12486" s="8"/>
    </row>
    <row r="12487" spans="16:16" x14ac:dyDescent="0.35">
      <c r="P12487" s="8"/>
    </row>
    <row r="12488" spans="16:16" x14ac:dyDescent="0.35">
      <c r="P12488" s="8"/>
    </row>
    <row r="12489" spans="16:16" x14ac:dyDescent="0.35">
      <c r="P12489" s="8"/>
    </row>
    <row r="12490" spans="16:16" x14ac:dyDescent="0.35">
      <c r="P12490" s="8"/>
    </row>
    <row r="12491" spans="16:16" x14ac:dyDescent="0.35">
      <c r="P12491" s="8"/>
    </row>
    <row r="12492" spans="16:16" x14ac:dyDescent="0.35">
      <c r="P12492" s="8"/>
    </row>
    <row r="12493" spans="16:16" x14ac:dyDescent="0.35">
      <c r="P12493" s="8"/>
    </row>
    <row r="12494" spans="16:16" x14ac:dyDescent="0.35">
      <c r="P12494" s="8"/>
    </row>
    <row r="12495" spans="16:16" x14ac:dyDescent="0.35">
      <c r="P12495" s="8"/>
    </row>
    <row r="12496" spans="16:16" x14ac:dyDescent="0.35">
      <c r="P12496" s="8"/>
    </row>
    <row r="12497" spans="16:16" x14ac:dyDescent="0.35">
      <c r="P12497" s="8"/>
    </row>
    <row r="12498" spans="16:16" x14ac:dyDescent="0.35">
      <c r="P12498" s="8"/>
    </row>
    <row r="12499" spans="16:16" x14ac:dyDescent="0.35">
      <c r="P12499" s="8"/>
    </row>
    <row r="12500" spans="16:16" x14ac:dyDescent="0.35">
      <c r="P12500" s="8"/>
    </row>
    <row r="12501" spans="16:16" x14ac:dyDescent="0.35">
      <c r="P12501" s="8"/>
    </row>
    <row r="12502" spans="16:16" x14ac:dyDescent="0.35">
      <c r="P12502" s="8"/>
    </row>
    <row r="12503" spans="16:16" x14ac:dyDescent="0.35">
      <c r="P12503" s="8"/>
    </row>
    <row r="12504" spans="16:16" x14ac:dyDescent="0.35">
      <c r="P12504" s="8"/>
    </row>
    <row r="12505" spans="16:16" x14ac:dyDescent="0.35">
      <c r="P12505" s="8"/>
    </row>
    <row r="12506" spans="16:16" x14ac:dyDescent="0.35">
      <c r="P12506" s="8"/>
    </row>
    <row r="12507" spans="16:16" x14ac:dyDescent="0.35">
      <c r="P12507" s="8"/>
    </row>
    <row r="12508" spans="16:16" x14ac:dyDescent="0.35">
      <c r="P12508" s="8"/>
    </row>
    <row r="12509" spans="16:16" x14ac:dyDescent="0.35">
      <c r="P12509" s="8"/>
    </row>
    <row r="12510" spans="16:16" x14ac:dyDescent="0.35">
      <c r="P12510" s="8"/>
    </row>
    <row r="12511" spans="16:16" x14ac:dyDescent="0.35">
      <c r="P12511" s="8"/>
    </row>
    <row r="12512" spans="16:16" x14ac:dyDescent="0.35">
      <c r="P12512" s="8"/>
    </row>
    <row r="12513" spans="16:16" x14ac:dyDescent="0.35">
      <c r="P12513" s="8"/>
    </row>
    <row r="12514" spans="16:16" x14ac:dyDescent="0.35">
      <c r="P12514" s="8"/>
    </row>
    <row r="12515" spans="16:16" x14ac:dyDescent="0.35">
      <c r="P12515" s="8"/>
    </row>
    <row r="12516" spans="16:16" x14ac:dyDescent="0.35">
      <c r="P12516" s="8"/>
    </row>
    <row r="12517" spans="16:16" x14ac:dyDescent="0.35">
      <c r="P12517" s="8"/>
    </row>
    <row r="12518" spans="16:16" x14ac:dyDescent="0.35">
      <c r="P12518" s="8"/>
    </row>
    <row r="12519" spans="16:16" x14ac:dyDescent="0.35">
      <c r="P12519" s="8"/>
    </row>
    <row r="12520" spans="16:16" x14ac:dyDescent="0.35">
      <c r="P12520" s="8"/>
    </row>
    <row r="12521" spans="16:16" x14ac:dyDescent="0.35">
      <c r="P12521" s="8"/>
    </row>
    <row r="12522" spans="16:16" x14ac:dyDescent="0.35">
      <c r="P12522" s="8"/>
    </row>
    <row r="12523" spans="16:16" x14ac:dyDescent="0.35">
      <c r="P12523" s="8"/>
    </row>
    <row r="12524" spans="16:16" x14ac:dyDescent="0.35">
      <c r="P12524" s="8"/>
    </row>
    <row r="12525" spans="16:16" x14ac:dyDescent="0.35">
      <c r="P12525" s="8"/>
    </row>
    <row r="12526" spans="16:16" x14ac:dyDescent="0.35">
      <c r="P12526" s="8"/>
    </row>
    <row r="12527" spans="16:16" x14ac:dyDescent="0.35">
      <c r="P12527" s="8"/>
    </row>
    <row r="12528" spans="16:16" x14ac:dyDescent="0.35">
      <c r="P12528" s="8"/>
    </row>
    <row r="12529" spans="16:16" x14ac:dyDescent="0.35">
      <c r="P12529" s="8"/>
    </row>
    <row r="12530" spans="16:16" x14ac:dyDescent="0.35">
      <c r="P12530" s="8"/>
    </row>
    <row r="12531" spans="16:16" x14ac:dyDescent="0.35">
      <c r="P12531" s="8"/>
    </row>
    <row r="12532" spans="16:16" x14ac:dyDescent="0.35">
      <c r="P12532" s="8"/>
    </row>
    <row r="12533" spans="16:16" x14ac:dyDescent="0.35">
      <c r="P12533" s="8"/>
    </row>
    <row r="12534" spans="16:16" x14ac:dyDescent="0.35">
      <c r="P12534" s="8"/>
    </row>
    <row r="12535" spans="16:16" x14ac:dyDescent="0.35">
      <c r="P12535" s="8"/>
    </row>
    <row r="12536" spans="16:16" x14ac:dyDescent="0.35">
      <c r="P12536" s="8"/>
    </row>
    <row r="12537" spans="16:16" x14ac:dyDescent="0.35">
      <c r="P12537" s="8"/>
    </row>
    <row r="12538" spans="16:16" x14ac:dyDescent="0.35">
      <c r="P12538" s="8"/>
    </row>
    <row r="12539" spans="16:16" x14ac:dyDescent="0.35">
      <c r="P12539" s="8"/>
    </row>
    <row r="12540" spans="16:16" x14ac:dyDescent="0.35">
      <c r="P12540" s="8"/>
    </row>
    <row r="12541" spans="16:16" x14ac:dyDescent="0.35">
      <c r="P12541" s="8"/>
    </row>
    <row r="12542" spans="16:16" x14ac:dyDescent="0.35">
      <c r="P12542" s="8"/>
    </row>
    <row r="12543" spans="16:16" x14ac:dyDescent="0.35">
      <c r="P12543" s="8"/>
    </row>
    <row r="12544" spans="16:16" x14ac:dyDescent="0.35">
      <c r="P12544" s="8"/>
    </row>
    <row r="12545" spans="16:16" x14ac:dyDescent="0.35">
      <c r="P12545" s="8"/>
    </row>
    <row r="12546" spans="16:16" x14ac:dyDescent="0.35">
      <c r="P12546" s="8"/>
    </row>
    <row r="12547" spans="16:16" x14ac:dyDescent="0.35">
      <c r="P12547" s="8"/>
    </row>
    <row r="12548" spans="16:16" x14ac:dyDescent="0.35">
      <c r="P12548" s="8"/>
    </row>
    <row r="12549" spans="16:16" x14ac:dyDescent="0.35">
      <c r="P12549" s="8"/>
    </row>
    <row r="12550" spans="16:16" x14ac:dyDescent="0.35">
      <c r="P12550" s="8"/>
    </row>
    <row r="12551" spans="16:16" x14ac:dyDescent="0.35">
      <c r="P12551" s="8"/>
    </row>
    <row r="12552" spans="16:16" x14ac:dyDescent="0.35">
      <c r="P12552" s="8"/>
    </row>
    <row r="12553" spans="16:16" x14ac:dyDescent="0.35">
      <c r="P12553" s="8"/>
    </row>
    <row r="12554" spans="16:16" x14ac:dyDescent="0.35">
      <c r="P12554" s="8"/>
    </row>
    <row r="12555" spans="16:16" x14ac:dyDescent="0.35">
      <c r="P12555" s="8"/>
    </row>
    <row r="12556" spans="16:16" x14ac:dyDescent="0.35">
      <c r="P12556" s="8"/>
    </row>
    <row r="12557" spans="16:16" x14ac:dyDescent="0.35">
      <c r="P12557" s="8"/>
    </row>
    <row r="12558" spans="16:16" x14ac:dyDescent="0.35">
      <c r="P12558" s="8"/>
    </row>
    <row r="12559" spans="16:16" x14ac:dyDescent="0.35">
      <c r="P12559" s="8"/>
    </row>
    <row r="12560" spans="16:16" x14ac:dyDescent="0.35">
      <c r="P12560" s="8"/>
    </row>
    <row r="12561" spans="16:16" x14ac:dyDescent="0.35">
      <c r="P12561" s="8"/>
    </row>
    <row r="12562" spans="16:16" x14ac:dyDescent="0.35">
      <c r="P12562" s="8"/>
    </row>
    <row r="12563" spans="16:16" x14ac:dyDescent="0.35">
      <c r="P12563" s="8"/>
    </row>
    <row r="12564" spans="16:16" x14ac:dyDescent="0.35">
      <c r="P12564" s="8"/>
    </row>
    <row r="12565" spans="16:16" x14ac:dyDescent="0.35">
      <c r="P12565" s="8"/>
    </row>
    <row r="12566" spans="16:16" x14ac:dyDescent="0.35">
      <c r="P12566" s="8"/>
    </row>
    <row r="12567" spans="16:16" x14ac:dyDescent="0.35">
      <c r="P12567" s="8"/>
    </row>
    <row r="12568" spans="16:16" x14ac:dyDescent="0.35">
      <c r="P12568" s="8"/>
    </row>
    <row r="12569" spans="16:16" x14ac:dyDescent="0.35">
      <c r="P12569" s="8"/>
    </row>
    <row r="12570" spans="16:16" x14ac:dyDescent="0.35">
      <c r="P12570" s="8"/>
    </row>
    <row r="12571" spans="16:16" x14ac:dyDescent="0.35">
      <c r="P12571" s="8"/>
    </row>
    <row r="12572" spans="16:16" x14ac:dyDescent="0.35">
      <c r="P12572" s="8"/>
    </row>
    <row r="12573" spans="16:16" x14ac:dyDescent="0.35">
      <c r="P12573" s="8"/>
    </row>
    <row r="12574" spans="16:16" x14ac:dyDescent="0.35">
      <c r="P12574" s="8"/>
    </row>
    <row r="12575" spans="16:16" x14ac:dyDescent="0.35">
      <c r="P12575" s="8"/>
    </row>
    <row r="12576" spans="16:16" x14ac:dyDescent="0.35">
      <c r="P12576" s="8"/>
    </row>
    <row r="12577" spans="16:16" x14ac:dyDescent="0.35">
      <c r="P12577" s="8"/>
    </row>
    <row r="12578" spans="16:16" x14ac:dyDescent="0.35">
      <c r="P12578" s="8"/>
    </row>
    <row r="12579" spans="16:16" x14ac:dyDescent="0.35">
      <c r="P12579" s="8"/>
    </row>
    <row r="12580" spans="16:16" x14ac:dyDescent="0.35">
      <c r="P12580" s="8"/>
    </row>
    <row r="12581" spans="16:16" x14ac:dyDescent="0.35">
      <c r="P12581" s="8"/>
    </row>
    <row r="12582" spans="16:16" x14ac:dyDescent="0.35">
      <c r="P12582" s="8"/>
    </row>
    <row r="12583" spans="16:16" x14ac:dyDescent="0.35">
      <c r="P12583" s="8"/>
    </row>
    <row r="12584" spans="16:16" x14ac:dyDescent="0.35">
      <c r="P12584" s="8"/>
    </row>
    <row r="12585" spans="16:16" x14ac:dyDescent="0.35">
      <c r="P12585" s="8"/>
    </row>
    <row r="12586" spans="16:16" x14ac:dyDescent="0.35">
      <c r="P12586" s="8"/>
    </row>
    <row r="12587" spans="16:16" x14ac:dyDescent="0.35">
      <c r="P12587" s="8"/>
    </row>
    <row r="12588" spans="16:16" x14ac:dyDescent="0.35">
      <c r="P12588" s="8"/>
    </row>
    <row r="12589" spans="16:16" x14ac:dyDescent="0.35">
      <c r="P12589" s="8"/>
    </row>
    <row r="12590" spans="16:16" x14ac:dyDescent="0.35">
      <c r="P12590" s="8"/>
    </row>
    <row r="12591" spans="16:16" x14ac:dyDescent="0.35">
      <c r="P12591" s="8"/>
    </row>
    <row r="12592" spans="16:16" x14ac:dyDescent="0.35">
      <c r="P12592" s="8"/>
    </row>
    <row r="12593" spans="16:16" x14ac:dyDescent="0.35">
      <c r="P12593" s="8"/>
    </row>
    <row r="12594" spans="16:16" x14ac:dyDescent="0.35">
      <c r="P12594" s="8"/>
    </row>
    <row r="12595" spans="16:16" x14ac:dyDescent="0.35">
      <c r="P12595" s="8"/>
    </row>
    <row r="12596" spans="16:16" x14ac:dyDescent="0.35">
      <c r="P12596" s="8"/>
    </row>
    <row r="12597" spans="16:16" x14ac:dyDescent="0.35">
      <c r="P12597" s="8"/>
    </row>
    <row r="12598" spans="16:16" x14ac:dyDescent="0.35">
      <c r="P12598" s="8"/>
    </row>
    <row r="12599" spans="16:16" x14ac:dyDescent="0.35">
      <c r="P12599" s="8"/>
    </row>
    <row r="12600" spans="16:16" x14ac:dyDescent="0.35">
      <c r="P12600" s="8"/>
    </row>
    <row r="12601" spans="16:16" x14ac:dyDescent="0.35">
      <c r="P12601" s="8"/>
    </row>
    <row r="12602" spans="16:16" x14ac:dyDescent="0.35">
      <c r="P12602" s="8"/>
    </row>
    <row r="12603" spans="16:16" x14ac:dyDescent="0.35">
      <c r="P12603" s="8"/>
    </row>
    <row r="12604" spans="16:16" x14ac:dyDescent="0.35">
      <c r="P12604" s="8"/>
    </row>
    <row r="12605" spans="16:16" x14ac:dyDescent="0.35">
      <c r="P12605" s="8"/>
    </row>
    <row r="12606" spans="16:16" x14ac:dyDescent="0.35">
      <c r="P12606" s="8"/>
    </row>
    <row r="12607" spans="16:16" x14ac:dyDescent="0.35">
      <c r="P12607" s="8"/>
    </row>
    <row r="12608" spans="16:16" x14ac:dyDescent="0.35">
      <c r="P12608" s="8"/>
    </row>
    <row r="12609" spans="16:16" x14ac:dyDescent="0.35">
      <c r="P12609" s="8"/>
    </row>
    <row r="12610" spans="16:16" x14ac:dyDescent="0.35">
      <c r="P12610" s="8"/>
    </row>
    <row r="12611" spans="16:16" x14ac:dyDescent="0.35">
      <c r="P12611" s="8"/>
    </row>
    <row r="12612" spans="16:16" x14ac:dyDescent="0.35">
      <c r="P12612" s="8"/>
    </row>
    <row r="12613" spans="16:16" x14ac:dyDescent="0.35">
      <c r="P12613" s="8"/>
    </row>
    <row r="12614" spans="16:16" x14ac:dyDescent="0.35">
      <c r="P12614" s="8"/>
    </row>
    <row r="12615" spans="16:16" x14ac:dyDescent="0.35">
      <c r="P12615" s="8"/>
    </row>
    <row r="12616" spans="16:16" x14ac:dyDescent="0.35">
      <c r="P12616" s="8"/>
    </row>
    <row r="12617" spans="16:16" x14ac:dyDescent="0.35">
      <c r="P12617" s="8"/>
    </row>
    <row r="12618" spans="16:16" x14ac:dyDescent="0.35">
      <c r="P12618" s="8"/>
    </row>
    <row r="12619" spans="16:16" x14ac:dyDescent="0.35">
      <c r="P12619" s="8"/>
    </row>
    <row r="12620" spans="16:16" x14ac:dyDescent="0.35">
      <c r="P12620" s="8"/>
    </row>
    <row r="12621" spans="16:16" x14ac:dyDescent="0.35">
      <c r="P12621" s="8"/>
    </row>
    <row r="12622" spans="16:16" x14ac:dyDescent="0.35">
      <c r="P12622" s="8"/>
    </row>
    <row r="12623" spans="16:16" x14ac:dyDescent="0.35">
      <c r="P12623" s="8"/>
    </row>
    <row r="12624" spans="16:16" x14ac:dyDescent="0.35">
      <c r="P12624" s="8"/>
    </row>
    <row r="12625" spans="16:16" x14ac:dyDescent="0.35">
      <c r="P12625" s="8"/>
    </row>
    <row r="12626" spans="16:16" x14ac:dyDescent="0.35">
      <c r="P12626" s="8"/>
    </row>
    <row r="12627" spans="16:16" x14ac:dyDescent="0.35">
      <c r="P12627" s="8"/>
    </row>
    <row r="12628" spans="16:16" x14ac:dyDescent="0.35">
      <c r="P12628" s="8"/>
    </row>
    <row r="12629" spans="16:16" x14ac:dyDescent="0.35">
      <c r="P12629" s="8"/>
    </row>
    <row r="12630" spans="16:16" x14ac:dyDescent="0.35">
      <c r="P12630" s="8"/>
    </row>
    <row r="12631" spans="16:16" x14ac:dyDescent="0.35">
      <c r="P12631" s="8"/>
    </row>
    <row r="12632" spans="16:16" x14ac:dyDescent="0.35">
      <c r="P12632" s="8"/>
    </row>
    <row r="12633" spans="16:16" x14ac:dyDescent="0.35">
      <c r="P12633" s="8"/>
    </row>
    <row r="12634" spans="16:16" x14ac:dyDescent="0.35">
      <c r="P12634" s="8"/>
    </row>
    <row r="12635" spans="16:16" x14ac:dyDescent="0.35">
      <c r="P12635" s="8"/>
    </row>
    <row r="12636" spans="16:16" x14ac:dyDescent="0.35">
      <c r="P12636" s="8"/>
    </row>
    <row r="12637" spans="16:16" x14ac:dyDescent="0.35">
      <c r="P12637" s="8"/>
    </row>
    <row r="12638" spans="16:16" x14ac:dyDescent="0.35">
      <c r="P12638" s="8"/>
    </row>
    <row r="12639" spans="16:16" x14ac:dyDescent="0.35">
      <c r="P12639" s="8"/>
    </row>
    <row r="12640" spans="16:16" x14ac:dyDescent="0.35">
      <c r="P12640" s="8"/>
    </row>
    <row r="12641" spans="16:16" x14ac:dyDescent="0.35">
      <c r="P12641" s="8"/>
    </row>
    <row r="12642" spans="16:16" x14ac:dyDescent="0.35">
      <c r="P12642" s="8"/>
    </row>
    <row r="12643" spans="16:16" x14ac:dyDescent="0.35">
      <c r="P12643" s="8"/>
    </row>
    <row r="12644" spans="16:16" x14ac:dyDescent="0.35">
      <c r="P12644" s="8"/>
    </row>
    <row r="12645" spans="16:16" x14ac:dyDescent="0.35">
      <c r="P12645" s="8"/>
    </row>
    <row r="12646" spans="16:16" x14ac:dyDescent="0.35">
      <c r="P12646" s="8"/>
    </row>
    <row r="12647" spans="16:16" x14ac:dyDescent="0.35">
      <c r="P12647" s="8"/>
    </row>
    <row r="12648" spans="16:16" x14ac:dyDescent="0.35">
      <c r="P12648" s="8"/>
    </row>
    <row r="12649" spans="16:16" x14ac:dyDescent="0.35">
      <c r="P12649" s="8"/>
    </row>
    <row r="12650" spans="16:16" x14ac:dyDescent="0.35">
      <c r="P12650" s="8"/>
    </row>
    <row r="12651" spans="16:16" x14ac:dyDescent="0.35">
      <c r="P12651" s="8"/>
    </row>
    <row r="12652" spans="16:16" x14ac:dyDescent="0.35">
      <c r="P12652" s="8"/>
    </row>
    <row r="12653" spans="16:16" x14ac:dyDescent="0.35">
      <c r="P12653" s="8"/>
    </row>
    <row r="12654" spans="16:16" x14ac:dyDescent="0.35">
      <c r="P12654" s="8"/>
    </row>
    <row r="12655" spans="16:16" x14ac:dyDescent="0.35">
      <c r="P12655" s="8"/>
    </row>
    <row r="12656" spans="16:16" x14ac:dyDescent="0.35">
      <c r="P12656" s="8"/>
    </row>
    <row r="12657" spans="16:16" x14ac:dyDescent="0.35">
      <c r="P12657" s="8"/>
    </row>
    <row r="12658" spans="16:16" x14ac:dyDescent="0.35">
      <c r="P12658" s="8"/>
    </row>
    <row r="12659" spans="16:16" x14ac:dyDescent="0.35">
      <c r="P12659" s="8"/>
    </row>
    <row r="12660" spans="16:16" x14ac:dyDescent="0.35">
      <c r="P12660" s="8"/>
    </row>
    <row r="12661" spans="16:16" x14ac:dyDescent="0.35">
      <c r="P12661" s="8"/>
    </row>
    <row r="12662" spans="16:16" x14ac:dyDescent="0.35">
      <c r="P12662" s="8"/>
    </row>
    <row r="12663" spans="16:16" x14ac:dyDescent="0.35">
      <c r="P12663" s="8"/>
    </row>
    <row r="12664" spans="16:16" x14ac:dyDescent="0.35">
      <c r="P12664" s="8"/>
    </row>
    <row r="12665" spans="16:16" x14ac:dyDescent="0.35">
      <c r="P12665" s="8"/>
    </row>
    <row r="12666" spans="16:16" x14ac:dyDescent="0.35">
      <c r="P12666" s="8"/>
    </row>
    <row r="12667" spans="16:16" x14ac:dyDescent="0.35">
      <c r="P12667" s="8"/>
    </row>
    <row r="12668" spans="16:16" x14ac:dyDescent="0.35">
      <c r="P12668" s="8"/>
    </row>
    <row r="12669" spans="16:16" x14ac:dyDescent="0.35">
      <c r="P12669" s="8"/>
    </row>
    <row r="12670" spans="16:16" x14ac:dyDescent="0.35">
      <c r="P12670" s="8"/>
    </row>
    <row r="12671" spans="16:16" x14ac:dyDescent="0.35">
      <c r="P12671" s="8"/>
    </row>
    <row r="12672" spans="16:16" x14ac:dyDescent="0.35">
      <c r="P12672" s="8"/>
    </row>
    <row r="12673" spans="16:16" x14ac:dyDescent="0.35">
      <c r="P12673" s="8"/>
    </row>
    <row r="12674" spans="16:16" x14ac:dyDescent="0.35">
      <c r="P12674" s="8"/>
    </row>
    <row r="12675" spans="16:16" x14ac:dyDescent="0.35">
      <c r="P12675" s="8"/>
    </row>
    <row r="12676" spans="16:16" x14ac:dyDescent="0.35">
      <c r="P12676" s="8"/>
    </row>
    <row r="12677" spans="16:16" x14ac:dyDescent="0.35">
      <c r="P12677" s="8"/>
    </row>
    <row r="12678" spans="16:16" x14ac:dyDescent="0.35">
      <c r="P12678" s="8"/>
    </row>
    <row r="12679" spans="16:16" x14ac:dyDescent="0.35">
      <c r="P12679" s="8"/>
    </row>
    <row r="12680" spans="16:16" x14ac:dyDescent="0.35">
      <c r="P12680" s="8"/>
    </row>
    <row r="12681" spans="16:16" x14ac:dyDescent="0.35">
      <c r="P12681" s="8"/>
    </row>
    <row r="12682" spans="16:16" x14ac:dyDescent="0.35">
      <c r="P12682" s="8"/>
    </row>
    <row r="12683" spans="16:16" x14ac:dyDescent="0.35">
      <c r="P12683" s="8"/>
    </row>
    <row r="12684" spans="16:16" x14ac:dyDescent="0.35">
      <c r="P12684" s="8"/>
    </row>
    <row r="12685" spans="16:16" x14ac:dyDescent="0.35">
      <c r="P12685" s="8"/>
    </row>
    <row r="12686" spans="16:16" x14ac:dyDescent="0.35">
      <c r="P12686" s="8"/>
    </row>
    <row r="12687" spans="16:16" x14ac:dyDescent="0.35">
      <c r="P12687" s="8"/>
    </row>
    <row r="12688" spans="16:16" x14ac:dyDescent="0.35">
      <c r="P12688" s="8"/>
    </row>
    <row r="12689" spans="16:16" x14ac:dyDescent="0.35">
      <c r="P12689" s="8"/>
    </row>
    <row r="12690" spans="16:16" x14ac:dyDescent="0.35">
      <c r="P12690" s="8"/>
    </row>
    <row r="12691" spans="16:16" x14ac:dyDescent="0.35">
      <c r="P12691" s="8"/>
    </row>
    <row r="12692" spans="16:16" x14ac:dyDescent="0.35">
      <c r="P12692" s="8"/>
    </row>
    <row r="12693" spans="16:16" x14ac:dyDescent="0.35">
      <c r="P12693" s="8"/>
    </row>
    <row r="12694" spans="16:16" x14ac:dyDescent="0.35">
      <c r="P12694" s="8"/>
    </row>
    <row r="12695" spans="16:16" x14ac:dyDescent="0.35">
      <c r="P12695" s="8"/>
    </row>
    <row r="12696" spans="16:16" x14ac:dyDescent="0.35">
      <c r="P12696" s="8"/>
    </row>
    <row r="12697" spans="16:16" x14ac:dyDescent="0.35">
      <c r="P12697" s="8"/>
    </row>
    <row r="12698" spans="16:16" x14ac:dyDescent="0.35">
      <c r="P12698" s="8"/>
    </row>
    <row r="12699" spans="16:16" x14ac:dyDescent="0.35">
      <c r="P12699" s="8"/>
    </row>
    <row r="12700" spans="16:16" x14ac:dyDescent="0.35">
      <c r="P12700" s="8"/>
    </row>
    <row r="12701" spans="16:16" x14ac:dyDescent="0.35">
      <c r="P12701" s="8"/>
    </row>
    <row r="12702" spans="16:16" x14ac:dyDescent="0.35">
      <c r="P12702" s="8"/>
    </row>
    <row r="12703" spans="16:16" x14ac:dyDescent="0.35">
      <c r="P12703" s="8"/>
    </row>
    <row r="12704" spans="16:16" x14ac:dyDescent="0.35">
      <c r="P12704" s="8"/>
    </row>
    <row r="12705" spans="16:16" x14ac:dyDescent="0.35">
      <c r="P12705" s="8"/>
    </row>
    <row r="12706" spans="16:16" x14ac:dyDescent="0.35">
      <c r="P12706" s="8"/>
    </row>
    <row r="12707" spans="16:16" x14ac:dyDescent="0.35">
      <c r="P12707" s="8"/>
    </row>
    <row r="12708" spans="16:16" x14ac:dyDescent="0.35">
      <c r="P12708" s="8"/>
    </row>
    <row r="12709" spans="16:16" x14ac:dyDescent="0.35">
      <c r="P12709" s="8"/>
    </row>
    <row r="12710" spans="16:16" x14ac:dyDescent="0.35">
      <c r="P12710" s="8"/>
    </row>
    <row r="12711" spans="16:16" x14ac:dyDescent="0.35">
      <c r="P12711" s="8"/>
    </row>
    <row r="12712" spans="16:16" x14ac:dyDescent="0.35">
      <c r="P12712" s="8"/>
    </row>
    <row r="12713" spans="16:16" x14ac:dyDescent="0.35">
      <c r="P12713" s="8"/>
    </row>
    <row r="12714" spans="16:16" x14ac:dyDescent="0.35">
      <c r="P12714" s="8"/>
    </row>
    <row r="12715" spans="16:16" x14ac:dyDescent="0.35">
      <c r="P12715" s="8"/>
    </row>
    <row r="12716" spans="16:16" x14ac:dyDescent="0.35">
      <c r="P12716" s="8"/>
    </row>
    <row r="12717" spans="16:16" x14ac:dyDescent="0.35">
      <c r="P12717" s="8"/>
    </row>
    <row r="12718" spans="16:16" x14ac:dyDescent="0.35">
      <c r="P12718" s="8"/>
    </row>
    <row r="12719" spans="16:16" x14ac:dyDescent="0.35">
      <c r="P12719" s="8"/>
    </row>
    <row r="12720" spans="16:16" x14ac:dyDescent="0.35">
      <c r="P12720" s="8"/>
    </row>
    <row r="12721" spans="16:16" x14ac:dyDescent="0.35">
      <c r="P12721" s="8"/>
    </row>
    <row r="12722" spans="16:16" x14ac:dyDescent="0.35">
      <c r="P12722" s="8"/>
    </row>
    <row r="12723" spans="16:16" x14ac:dyDescent="0.35">
      <c r="P12723" s="8"/>
    </row>
    <row r="12724" spans="16:16" x14ac:dyDescent="0.35">
      <c r="P12724" s="8"/>
    </row>
    <row r="12725" spans="16:16" x14ac:dyDescent="0.35">
      <c r="P12725" s="8"/>
    </row>
    <row r="12726" spans="16:16" x14ac:dyDescent="0.35">
      <c r="P12726" s="8"/>
    </row>
    <row r="12727" spans="16:16" x14ac:dyDescent="0.35">
      <c r="P12727" s="8"/>
    </row>
    <row r="12728" spans="16:16" x14ac:dyDescent="0.35">
      <c r="P12728" s="8"/>
    </row>
    <row r="12729" spans="16:16" x14ac:dyDescent="0.35">
      <c r="P12729" s="8"/>
    </row>
    <row r="12730" spans="16:16" x14ac:dyDescent="0.35">
      <c r="P12730" s="8"/>
    </row>
    <row r="12731" spans="16:16" x14ac:dyDescent="0.35">
      <c r="P12731" s="8"/>
    </row>
    <row r="12732" spans="16:16" x14ac:dyDescent="0.35">
      <c r="P12732" s="8"/>
    </row>
    <row r="12733" spans="16:16" x14ac:dyDescent="0.35">
      <c r="P12733" s="8"/>
    </row>
    <row r="12734" spans="16:16" x14ac:dyDescent="0.35">
      <c r="P12734" s="8"/>
    </row>
    <row r="12735" spans="16:16" x14ac:dyDescent="0.35">
      <c r="P12735" s="8"/>
    </row>
    <row r="12736" spans="16:16" x14ac:dyDescent="0.35">
      <c r="P12736" s="8"/>
    </row>
    <row r="12737" spans="16:16" x14ac:dyDescent="0.35">
      <c r="P12737" s="8"/>
    </row>
    <row r="12738" spans="16:16" x14ac:dyDescent="0.35">
      <c r="P12738" s="8"/>
    </row>
    <row r="12739" spans="16:16" x14ac:dyDescent="0.35">
      <c r="P12739" s="8"/>
    </row>
    <row r="12740" spans="16:16" x14ac:dyDescent="0.35">
      <c r="P12740" s="8"/>
    </row>
    <row r="12741" spans="16:16" x14ac:dyDescent="0.35">
      <c r="P12741" s="8"/>
    </row>
    <row r="12742" spans="16:16" x14ac:dyDescent="0.35">
      <c r="P12742" s="8"/>
    </row>
    <row r="12743" spans="16:16" x14ac:dyDescent="0.35">
      <c r="P12743" s="8"/>
    </row>
    <row r="12744" spans="16:16" x14ac:dyDescent="0.35">
      <c r="P12744" s="8"/>
    </row>
    <row r="12745" spans="16:16" x14ac:dyDescent="0.35">
      <c r="P12745" s="8"/>
    </row>
    <row r="12746" spans="16:16" x14ac:dyDescent="0.35">
      <c r="P12746" s="8"/>
    </row>
    <row r="12747" spans="16:16" x14ac:dyDescent="0.35">
      <c r="P12747" s="8"/>
    </row>
    <row r="12748" spans="16:16" x14ac:dyDescent="0.35">
      <c r="P12748" s="8"/>
    </row>
    <row r="12749" spans="16:16" x14ac:dyDescent="0.35">
      <c r="P12749" s="8"/>
    </row>
    <row r="12750" spans="16:16" x14ac:dyDescent="0.35">
      <c r="P12750" s="8"/>
    </row>
    <row r="12751" spans="16:16" x14ac:dyDescent="0.35">
      <c r="P12751" s="8"/>
    </row>
    <row r="12752" spans="16:16" x14ac:dyDescent="0.35">
      <c r="P12752" s="8"/>
    </row>
    <row r="12753" spans="16:16" x14ac:dyDescent="0.35">
      <c r="P12753" s="8"/>
    </row>
    <row r="12754" spans="16:16" x14ac:dyDescent="0.35">
      <c r="P12754" s="8"/>
    </row>
    <row r="12755" spans="16:16" x14ac:dyDescent="0.35">
      <c r="P12755" s="8"/>
    </row>
    <row r="12756" spans="16:16" x14ac:dyDescent="0.35">
      <c r="P12756" s="8"/>
    </row>
    <row r="12757" spans="16:16" x14ac:dyDescent="0.35">
      <c r="P12757" s="8"/>
    </row>
    <row r="12758" spans="16:16" x14ac:dyDescent="0.35">
      <c r="P12758" s="8"/>
    </row>
    <row r="12759" spans="16:16" x14ac:dyDescent="0.35">
      <c r="P12759" s="8"/>
    </row>
    <row r="12760" spans="16:16" x14ac:dyDescent="0.35">
      <c r="P12760" s="8"/>
    </row>
    <row r="12761" spans="16:16" x14ac:dyDescent="0.35">
      <c r="P12761" s="8"/>
    </row>
    <row r="12762" spans="16:16" x14ac:dyDescent="0.35">
      <c r="P12762" s="8"/>
    </row>
    <row r="12763" spans="16:16" x14ac:dyDescent="0.35">
      <c r="P12763" s="8"/>
    </row>
    <row r="12764" spans="16:16" x14ac:dyDescent="0.35">
      <c r="P12764" s="8"/>
    </row>
    <row r="12765" spans="16:16" x14ac:dyDescent="0.35">
      <c r="P12765" s="8"/>
    </row>
    <row r="12766" spans="16:16" x14ac:dyDescent="0.35">
      <c r="P12766" s="8"/>
    </row>
    <row r="12767" spans="16:16" x14ac:dyDescent="0.35">
      <c r="P12767" s="8"/>
    </row>
    <row r="12768" spans="16:16" x14ac:dyDescent="0.35">
      <c r="P12768" s="8"/>
    </row>
    <row r="12769" spans="16:16" x14ac:dyDescent="0.35">
      <c r="P12769" s="8"/>
    </row>
    <row r="12770" spans="16:16" x14ac:dyDescent="0.35">
      <c r="P12770" s="8"/>
    </row>
    <row r="12771" spans="16:16" x14ac:dyDescent="0.35">
      <c r="P12771" s="8"/>
    </row>
    <row r="12772" spans="16:16" x14ac:dyDescent="0.35">
      <c r="P12772" s="8"/>
    </row>
    <row r="12773" spans="16:16" x14ac:dyDescent="0.35">
      <c r="P12773" s="8"/>
    </row>
    <row r="12774" spans="16:16" x14ac:dyDescent="0.35">
      <c r="P12774" s="8"/>
    </row>
    <row r="12775" spans="16:16" x14ac:dyDescent="0.35">
      <c r="P12775" s="8"/>
    </row>
    <row r="12776" spans="16:16" x14ac:dyDescent="0.35">
      <c r="P12776" s="8"/>
    </row>
    <row r="12777" spans="16:16" x14ac:dyDescent="0.35">
      <c r="P12777" s="8"/>
    </row>
    <row r="12778" spans="16:16" x14ac:dyDescent="0.35">
      <c r="P12778" s="8"/>
    </row>
    <row r="12779" spans="16:16" x14ac:dyDescent="0.35">
      <c r="P12779" s="8"/>
    </row>
    <row r="12780" spans="16:16" x14ac:dyDescent="0.35">
      <c r="P12780" s="8"/>
    </row>
    <row r="12781" spans="16:16" x14ac:dyDescent="0.35">
      <c r="P12781" s="8"/>
    </row>
    <row r="12782" spans="16:16" x14ac:dyDescent="0.35">
      <c r="P12782" s="8"/>
    </row>
    <row r="12783" spans="16:16" x14ac:dyDescent="0.35">
      <c r="P12783" s="8"/>
    </row>
    <row r="12784" spans="16:16" x14ac:dyDescent="0.35">
      <c r="P12784" s="8"/>
    </row>
    <row r="12785" spans="16:16" x14ac:dyDescent="0.35">
      <c r="P12785" s="8"/>
    </row>
    <row r="12786" spans="16:16" x14ac:dyDescent="0.35">
      <c r="P12786" s="8"/>
    </row>
    <row r="12787" spans="16:16" x14ac:dyDescent="0.35">
      <c r="P12787" s="8"/>
    </row>
    <row r="12788" spans="16:16" x14ac:dyDescent="0.35">
      <c r="P12788" s="8"/>
    </row>
    <row r="12789" spans="16:16" x14ac:dyDescent="0.35">
      <c r="P12789" s="8"/>
    </row>
    <row r="12790" spans="16:16" x14ac:dyDescent="0.35">
      <c r="P12790" s="8"/>
    </row>
    <row r="12791" spans="16:16" x14ac:dyDescent="0.35">
      <c r="P12791" s="8"/>
    </row>
    <row r="12792" spans="16:16" x14ac:dyDescent="0.35">
      <c r="P12792" s="8"/>
    </row>
    <row r="12793" spans="16:16" x14ac:dyDescent="0.35">
      <c r="P12793" s="8"/>
    </row>
    <row r="12794" spans="16:16" x14ac:dyDescent="0.35">
      <c r="P12794" s="8"/>
    </row>
    <row r="12795" spans="16:16" x14ac:dyDescent="0.35">
      <c r="P12795" s="8"/>
    </row>
    <row r="12796" spans="16:16" x14ac:dyDescent="0.35">
      <c r="P12796" s="8"/>
    </row>
    <row r="12797" spans="16:16" x14ac:dyDescent="0.35">
      <c r="P12797" s="8"/>
    </row>
    <row r="12798" spans="16:16" x14ac:dyDescent="0.35">
      <c r="P12798" s="8"/>
    </row>
    <row r="12799" spans="16:16" x14ac:dyDescent="0.35">
      <c r="P12799" s="8"/>
    </row>
    <row r="12800" spans="16:16" x14ac:dyDescent="0.35">
      <c r="P12800" s="8"/>
    </row>
    <row r="12801" spans="16:16" x14ac:dyDescent="0.35">
      <c r="P12801" s="8"/>
    </row>
    <row r="12802" spans="16:16" x14ac:dyDescent="0.35">
      <c r="P12802" s="8"/>
    </row>
    <row r="12803" spans="16:16" x14ac:dyDescent="0.35">
      <c r="P12803" s="8"/>
    </row>
    <row r="12804" spans="16:16" x14ac:dyDescent="0.35">
      <c r="P12804" s="8"/>
    </row>
    <row r="12805" spans="16:16" x14ac:dyDescent="0.35">
      <c r="P12805" s="8"/>
    </row>
    <row r="12806" spans="16:16" x14ac:dyDescent="0.35">
      <c r="P12806" s="8"/>
    </row>
    <row r="12807" spans="16:16" x14ac:dyDescent="0.35">
      <c r="P12807" s="8"/>
    </row>
    <row r="12808" spans="16:16" x14ac:dyDescent="0.35">
      <c r="P12808" s="8"/>
    </row>
    <row r="12809" spans="16:16" x14ac:dyDescent="0.35">
      <c r="P12809" s="8"/>
    </row>
    <row r="12810" spans="16:16" x14ac:dyDescent="0.35">
      <c r="P12810" s="8"/>
    </row>
    <row r="12811" spans="16:16" x14ac:dyDescent="0.35">
      <c r="P12811" s="8"/>
    </row>
    <row r="12812" spans="16:16" x14ac:dyDescent="0.35">
      <c r="P12812" s="8"/>
    </row>
    <row r="12813" spans="16:16" x14ac:dyDescent="0.35">
      <c r="P12813" s="8"/>
    </row>
    <row r="12814" spans="16:16" x14ac:dyDescent="0.35">
      <c r="P12814" s="8"/>
    </row>
    <row r="12815" spans="16:16" x14ac:dyDescent="0.35">
      <c r="P12815" s="8"/>
    </row>
    <row r="12816" spans="16:16" x14ac:dyDescent="0.35">
      <c r="P12816" s="8"/>
    </row>
    <row r="12817" spans="16:16" x14ac:dyDescent="0.35">
      <c r="P12817" s="8"/>
    </row>
    <row r="12818" spans="16:16" x14ac:dyDescent="0.35">
      <c r="P12818" s="8"/>
    </row>
    <row r="12819" spans="16:16" x14ac:dyDescent="0.35">
      <c r="P12819" s="8"/>
    </row>
    <row r="12820" spans="16:16" x14ac:dyDescent="0.35">
      <c r="P12820" s="8"/>
    </row>
    <row r="12821" spans="16:16" x14ac:dyDescent="0.35">
      <c r="P12821" s="8"/>
    </row>
    <row r="12822" spans="16:16" x14ac:dyDescent="0.35">
      <c r="P12822" s="8"/>
    </row>
    <row r="12823" spans="16:16" x14ac:dyDescent="0.35">
      <c r="P12823" s="8"/>
    </row>
    <row r="12824" spans="16:16" x14ac:dyDescent="0.35">
      <c r="P12824" s="8"/>
    </row>
    <row r="12825" spans="16:16" x14ac:dyDescent="0.35">
      <c r="P12825" s="8"/>
    </row>
    <row r="12826" spans="16:16" x14ac:dyDescent="0.35">
      <c r="P12826" s="8"/>
    </row>
    <row r="12827" spans="16:16" x14ac:dyDescent="0.35">
      <c r="P12827" s="8"/>
    </row>
    <row r="12828" spans="16:16" x14ac:dyDescent="0.35">
      <c r="P12828" s="8"/>
    </row>
    <row r="12829" spans="16:16" x14ac:dyDescent="0.35">
      <c r="P12829" s="8"/>
    </row>
    <row r="12830" spans="16:16" x14ac:dyDescent="0.35">
      <c r="P12830" s="8"/>
    </row>
    <row r="12831" spans="16:16" x14ac:dyDescent="0.35">
      <c r="P12831" s="8"/>
    </row>
    <row r="12832" spans="16:16" x14ac:dyDescent="0.35">
      <c r="P12832" s="8"/>
    </row>
    <row r="12833" spans="16:16" x14ac:dyDescent="0.35">
      <c r="P12833" s="8"/>
    </row>
    <row r="12834" spans="16:16" x14ac:dyDescent="0.35">
      <c r="P12834" s="8"/>
    </row>
    <row r="12835" spans="16:16" x14ac:dyDescent="0.35">
      <c r="P12835" s="8"/>
    </row>
    <row r="12836" spans="16:16" x14ac:dyDescent="0.35">
      <c r="P12836" s="8"/>
    </row>
    <row r="12837" spans="16:16" x14ac:dyDescent="0.35">
      <c r="P12837" s="8"/>
    </row>
    <row r="12838" spans="16:16" x14ac:dyDescent="0.35">
      <c r="P12838" s="8"/>
    </row>
    <row r="12839" spans="16:16" x14ac:dyDescent="0.35">
      <c r="P12839" s="8"/>
    </row>
    <row r="12840" spans="16:16" x14ac:dyDescent="0.35">
      <c r="P12840" s="8"/>
    </row>
    <row r="12841" spans="16:16" x14ac:dyDescent="0.35">
      <c r="P12841" s="8"/>
    </row>
    <row r="12842" spans="16:16" x14ac:dyDescent="0.35">
      <c r="P12842" s="8"/>
    </row>
    <row r="12843" spans="16:16" x14ac:dyDescent="0.35">
      <c r="P12843" s="8"/>
    </row>
    <row r="12844" spans="16:16" x14ac:dyDescent="0.35">
      <c r="P12844" s="8"/>
    </row>
    <row r="12845" spans="16:16" x14ac:dyDescent="0.35">
      <c r="P12845" s="8"/>
    </row>
    <row r="12846" spans="16:16" x14ac:dyDescent="0.35">
      <c r="P12846" s="8"/>
    </row>
    <row r="12847" spans="16:16" x14ac:dyDescent="0.35">
      <c r="P12847" s="8"/>
    </row>
    <row r="12848" spans="16:16" x14ac:dyDescent="0.35">
      <c r="P12848" s="8"/>
    </row>
    <row r="12849" spans="16:16" x14ac:dyDescent="0.35">
      <c r="P12849" s="8"/>
    </row>
    <row r="12850" spans="16:16" x14ac:dyDescent="0.35">
      <c r="P12850" s="8"/>
    </row>
    <row r="12851" spans="16:16" x14ac:dyDescent="0.35">
      <c r="P12851" s="8"/>
    </row>
    <row r="12852" spans="16:16" x14ac:dyDescent="0.35">
      <c r="P12852" s="8"/>
    </row>
    <row r="12853" spans="16:16" x14ac:dyDescent="0.35">
      <c r="P12853" s="8"/>
    </row>
    <row r="12854" spans="16:16" x14ac:dyDescent="0.35">
      <c r="P12854" s="8"/>
    </row>
    <row r="12855" spans="16:16" x14ac:dyDescent="0.35">
      <c r="P12855" s="8"/>
    </row>
    <row r="12856" spans="16:16" x14ac:dyDescent="0.35">
      <c r="P12856" s="8"/>
    </row>
    <row r="12857" spans="16:16" x14ac:dyDescent="0.35">
      <c r="P12857" s="8"/>
    </row>
    <row r="12858" spans="16:16" x14ac:dyDescent="0.35">
      <c r="P12858" s="8"/>
    </row>
    <row r="12859" spans="16:16" x14ac:dyDescent="0.35">
      <c r="P12859" s="8"/>
    </row>
    <row r="12860" spans="16:16" x14ac:dyDescent="0.35">
      <c r="P12860" s="8"/>
    </row>
    <row r="12861" spans="16:16" x14ac:dyDescent="0.35">
      <c r="P12861" s="8"/>
    </row>
    <row r="12862" spans="16:16" x14ac:dyDescent="0.35">
      <c r="P12862" s="8"/>
    </row>
    <row r="12863" spans="16:16" x14ac:dyDescent="0.35">
      <c r="P12863" s="8"/>
    </row>
    <row r="12864" spans="16:16" x14ac:dyDescent="0.35">
      <c r="P12864" s="8"/>
    </row>
    <row r="12865" spans="16:16" x14ac:dyDescent="0.35">
      <c r="P12865" s="8"/>
    </row>
    <row r="12866" spans="16:16" x14ac:dyDescent="0.35">
      <c r="P12866" s="8"/>
    </row>
    <row r="12867" spans="16:16" x14ac:dyDescent="0.35">
      <c r="P12867" s="8"/>
    </row>
    <row r="12868" spans="16:16" x14ac:dyDescent="0.35">
      <c r="P12868" s="8"/>
    </row>
    <row r="12869" spans="16:16" x14ac:dyDescent="0.35">
      <c r="P12869" s="8"/>
    </row>
    <row r="12870" spans="16:16" x14ac:dyDescent="0.35">
      <c r="P12870" s="8"/>
    </row>
    <row r="12871" spans="16:16" x14ac:dyDescent="0.35">
      <c r="P12871" s="8"/>
    </row>
    <row r="12872" spans="16:16" x14ac:dyDescent="0.35">
      <c r="P12872" s="8"/>
    </row>
    <row r="12873" spans="16:16" x14ac:dyDescent="0.35">
      <c r="P12873" s="8"/>
    </row>
    <row r="12874" spans="16:16" x14ac:dyDescent="0.35">
      <c r="P12874" s="8"/>
    </row>
    <row r="12875" spans="16:16" x14ac:dyDescent="0.35">
      <c r="P12875" s="8"/>
    </row>
    <row r="12876" spans="16:16" x14ac:dyDescent="0.35">
      <c r="P12876" s="8"/>
    </row>
    <row r="12877" spans="16:16" x14ac:dyDescent="0.35">
      <c r="P12877" s="8"/>
    </row>
    <row r="12878" spans="16:16" x14ac:dyDescent="0.35">
      <c r="P12878" s="8"/>
    </row>
    <row r="12879" spans="16:16" x14ac:dyDescent="0.35">
      <c r="P12879" s="8"/>
    </row>
    <row r="12880" spans="16:16" x14ac:dyDescent="0.35">
      <c r="P12880" s="8"/>
    </row>
    <row r="12881" spans="16:16" x14ac:dyDescent="0.35">
      <c r="P12881" s="8"/>
    </row>
    <row r="12882" spans="16:16" x14ac:dyDescent="0.35">
      <c r="P12882" s="8"/>
    </row>
    <row r="12883" spans="16:16" x14ac:dyDescent="0.35">
      <c r="P12883" s="8"/>
    </row>
    <row r="12884" spans="16:16" x14ac:dyDescent="0.35">
      <c r="P12884" s="8"/>
    </row>
    <row r="12885" spans="16:16" x14ac:dyDescent="0.35">
      <c r="P12885" s="8"/>
    </row>
    <row r="12886" spans="16:16" x14ac:dyDescent="0.35">
      <c r="P12886" s="8"/>
    </row>
    <row r="12887" spans="16:16" x14ac:dyDescent="0.35">
      <c r="P12887" s="8"/>
    </row>
    <row r="12888" spans="16:16" x14ac:dyDescent="0.35">
      <c r="P12888" s="8"/>
    </row>
    <row r="12889" spans="16:16" x14ac:dyDescent="0.35">
      <c r="P12889" s="8"/>
    </row>
    <row r="12890" spans="16:16" x14ac:dyDescent="0.35">
      <c r="P12890" s="8"/>
    </row>
    <row r="12891" spans="16:16" x14ac:dyDescent="0.35">
      <c r="P12891" s="8"/>
    </row>
    <row r="12892" spans="16:16" x14ac:dyDescent="0.35">
      <c r="P12892" s="8"/>
    </row>
    <row r="12893" spans="16:16" x14ac:dyDescent="0.35">
      <c r="P12893" s="8"/>
    </row>
    <row r="12894" spans="16:16" x14ac:dyDescent="0.35">
      <c r="P12894" s="8"/>
    </row>
    <row r="12895" spans="16:16" x14ac:dyDescent="0.35">
      <c r="P12895" s="8"/>
    </row>
    <row r="12896" spans="16:16" x14ac:dyDescent="0.35">
      <c r="P12896" s="8"/>
    </row>
    <row r="12897" spans="16:16" x14ac:dyDescent="0.35">
      <c r="P12897" s="8"/>
    </row>
    <row r="12898" spans="16:16" x14ac:dyDescent="0.35">
      <c r="P12898" s="8"/>
    </row>
    <row r="12899" spans="16:16" x14ac:dyDescent="0.35">
      <c r="P12899" s="8"/>
    </row>
    <row r="12900" spans="16:16" x14ac:dyDescent="0.35">
      <c r="P12900" s="8"/>
    </row>
    <row r="12901" spans="16:16" x14ac:dyDescent="0.35">
      <c r="P12901" s="8"/>
    </row>
    <row r="12902" spans="16:16" x14ac:dyDescent="0.35">
      <c r="P12902" s="8"/>
    </row>
    <row r="12903" spans="16:16" x14ac:dyDescent="0.35">
      <c r="P12903" s="8"/>
    </row>
    <row r="12904" spans="16:16" x14ac:dyDescent="0.35">
      <c r="P12904" s="8"/>
    </row>
    <row r="12905" spans="16:16" x14ac:dyDescent="0.35">
      <c r="P12905" s="8"/>
    </row>
    <row r="12906" spans="16:16" x14ac:dyDescent="0.35">
      <c r="P12906" s="8"/>
    </row>
    <row r="12907" spans="16:16" x14ac:dyDescent="0.35">
      <c r="P12907" s="8"/>
    </row>
    <row r="12908" spans="16:16" x14ac:dyDescent="0.35">
      <c r="P12908" s="8"/>
    </row>
    <row r="12909" spans="16:16" x14ac:dyDescent="0.35">
      <c r="P12909" s="8"/>
    </row>
    <row r="12910" spans="16:16" x14ac:dyDescent="0.35">
      <c r="P12910" s="8"/>
    </row>
    <row r="12911" spans="16:16" x14ac:dyDescent="0.35">
      <c r="P12911" s="8"/>
    </row>
    <row r="12912" spans="16:16" x14ac:dyDescent="0.35">
      <c r="P12912" s="8"/>
    </row>
    <row r="12913" spans="16:16" x14ac:dyDescent="0.35">
      <c r="P12913" s="8"/>
    </row>
    <row r="12914" spans="16:16" x14ac:dyDescent="0.35">
      <c r="P12914" s="8"/>
    </row>
    <row r="12915" spans="16:16" x14ac:dyDescent="0.35">
      <c r="P12915" s="8"/>
    </row>
    <row r="12916" spans="16:16" x14ac:dyDescent="0.35">
      <c r="P12916" s="8"/>
    </row>
    <row r="12917" spans="16:16" x14ac:dyDescent="0.35">
      <c r="P12917" s="8"/>
    </row>
    <row r="12918" spans="16:16" x14ac:dyDescent="0.35">
      <c r="P12918" s="8"/>
    </row>
    <row r="12919" spans="16:16" x14ac:dyDescent="0.35">
      <c r="P12919" s="8"/>
    </row>
    <row r="12920" spans="16:16" x14ac:dyDescent="0.35">
      <c r="P12920" s="8"/>
    </row>
    <row r="12921" spans="16:16" x14ac:dyDescent="0.35">
      <c r="P12921" s="8"/>
    </row>
    <row r="12922" spans="16:16" x14ac:dyDescent="0.35">
      <c r="P12922" s="8"/>
    </row>
    <row r="12923" spans="16:16" x14ac:dyDescent="0.35">
      <c r="P12923" s="8"/>
    </row>
    <row r="12924" spans="16:16" x14ac:dyDescent="0.35">
      <c r="P12924" s="8"/>
    </row>
    <row r="12925" spans="16:16" x14ac:dyDescent="0.35">
      <c r="P12925" s="8"/>
    </row>
    <row r="12926" spans="16:16" x14ac:dyDescent="0.35">
      <c r="P12926" s="8"/>
    </row>
    <row r="12927" spans="16:16" x14ac:dyDescent="0.35">
      <c r="P12927" s="8"/>
    </row>
    <row r="12928" spans="16:16" x14ac:dyDescent="0.35">
      <c r="P12928" s="8"/>
    </row>
    <row r="12929" spans="16:16" x14ac:dyDescent="0.35">
      <c r="P12929" s="8"/>
    </row>
    <row r="12930" spans="16:16" x14ac:dyDescent="0.35">
      <c r="P12930" s="8"/>
    </row>
    <row r="12931" spans="16:16" x14ac:dyDescent="0.35">
      <c r="P12931" s="8"/>
    </row>
    <row r="12932" spans="16:16" x14ac:dyDescent="0.35">
      <c r="P12932" s="8"/>
    </row>
    <row r="12933" spans="16:16" x14ac:dyDescent="0.35">
      <c r="P12933" s="8"/>
    </row>
    <row r="12934" spans="16:16" x14ac:dyDescent="0.35">
      <c r="P12934" s="8"/>
    </row>
    <row r="12935" spans="16:16" x14ac:dyDescent="0.35">
      <c r="P12935" s="8"/>
    </row>
    <row r="12936" spans="16:16" x14ac:dyDescent="0.35">
      <c r="P12936" s="8"/>
    </row>
    <row r="12937" spans="16:16" x14ac:dyDescent="0.35">
      <c r="P12937" s="8"/>
    </row>
    <row r="12938" spans="16:16" x14ac:dyDescent="0.35">
      <c r="P12938" s="8"/>
    </row>
    <row r="12939" spans="16:16" x14ac:dyDescent="0.35">
      <c r="P12939" s="8"/>
    </row>
    <row r="12940" spans="16:16" x14ac:dyDescent="0.35">
      <c r="P12940" s="8"/>
    </row>
    <row r="12941" spans="16:16" x14ac:dyDescent="0.35">
      <c r="P12941" s="8"/>
    </row>
    <row r="12942" spans="16:16" x14ac:dyDescent="0.35">
      <c r="P12942" s="8"/>
    </row>
    <row r="12943" spans="16:16" x14ac:dyDescent="0.35">
      <c r="P12943" s="8"/>
    </row>
    <row r="12944" spans="16:16" x14ac:dyDescent="0.35">
      <c r="P12944" s="8"/>
    </row>
    <row r="12945" spans="16:16" x14ac:dyDescent="0.35">
      <c r="P12945" s="8"/>
    </row>
    <row r="12946" spans="16:16" x14ac:dyDescent="0.35">
      <c r="P12946" s="8"/>
    </row>
    <row r="12947" spans="16:16" x14ac:dyDescent="0.35">
      <c r="P12947" s="8"/>
    </row>
    <row r="12948" spans="16:16" x14ac:dyDescent="0.35">
      <c r="P12948" s="8"/>
    </row>
    <row r="12949" spans="16:16" x14ac:dyDescent="0.35">
      <c r="P12949" s="8"/>
    </row>
    <row r="12950" spans="16:16" x14ac:dyDescent="0.35">
      <c r="P12950" s="8"/>
    </row>
    <row r="12951" spans="16:16" x14ac:dyDescent="0.35">
      <c r="P12951" s="8"/>
    </row>
    <row r="12952" spans="16:16" x14ac:dyDescent="0.35">
      <c r="P12952" s="8"/>
    </row>
    <row r="12953" spans="16:16" x14ac:dyDescent="0.35">
      <c r="P12953" s="8"/>
    </row>
    <row r="12954" spans="16:16" x14ac:dyDescent="0.35">
      <c r="P12954" s="8"/>
    </row>
    <row r="12955" spans="16:16" x14ac:dyDescent="0.35">
      <c r="P12955" s="8"/>
    </row>
    <row r="12956" spans="16:16" x14ac:dyDescent="0.35">
      <c r="P12956" s="8"/>
    </row>
    <row r="12957" spans="16:16" x14ac:dyDescent="0.35">
      <c r="P12957" s="8"/>
    </row>
    <row r="12958" spans="16:16" x14ac:dyDescent="0.35">
      <c r="P12958" s="8"/>
    </row>
    <row r="12959" spans="16:16" x14ac:dyDescent="0.35">
      <c r="P12959" s="8"/>
    </row>
    <row r="12960" spans="16:16" x14ac:dyDescent="0.35">
      <c r="P12960" s="8"/>
    </row>
    <row r="12961" spans="16:16" x14ac:dyDescent="0.35">
      <c r="P12961" s="8"/>
    </row>
    <row r="12962" spans="16:16" x14ac:dyDescent="0.35">
      <c r="P12962" s="8"/>
    </row>
    <row r="12963" spans="16:16" x14ac:dyDescent="0.35">
      <c r="P12963" s="8"/>
    </row>
    <row r="12964" spans="16:16" x14ac:dyDescent="0.35">
      <c r="P12964" s="8"/>
    </row>
    <row r="12965" spans="16:16" x14ac:dyDescent="0.35">
      <c r="P12965" s="8"/>
    </row>
    <row r="12966" spans="16:16" x14ac:dyDescent="0.35">
      <c r="P12966" s="8"/>
    </row>
    <row r="12967" spans="16:16" x14ac:dyDescent="0.35">
      <c r="P12967" s="8"/>
    </row>
    <row r="12968" spans="16:16" x14ac:dyDescent="0.35">
      <c r="P12968" s="8"/>
    </row>
    <row r="12969" spans="16:16" x14ac:dyDescent="0.35">
      <c r="P12969" s="8"/>
    </row>
    <row r="12970" spans="16:16" x14ac:dyDescent="0.35">
      <c r="P12970" s="8"/>
    </row>
    <row r="12971" spans="16:16" x14ac:dyDescent="0.35">
      <c r="P12971" s="8"/>
    </row>
    <row r="12972" spans="16:16" x14ac:dyDescent="0.35">
      <c r="P12972" s="8"/>
    </row>
    <row r="12973" spans="16:16" x14ac:dyDescent="0.35">
      <c r="P12973" s="8"/>
    </row>
    <row r="12974" spans="16:16" x14ac:dyDescent="0.35">
      <c r="P12974" s="8"/>
    </row>
    <row r="12975" spans="16:16" x14ac:dyDescent="0.35">
      <c r="P12975" s="8"/>
    </row>
    <row r="12976" spans="16:16" x14ac:dyDescent="0.35">
      <c r="P12976" s="8"/>
    </row>
    <row r="12977" spans="16:16" x14ac:dyDescent="0.35">
      <c r="P12977" s="8"/>
    </row>
    <row r="12978" spans="16:16" x14ac:dyDescent="0.35">
      <c r="P12978" s="8"/>
    </row>
    <row r="12979" spans="16:16" x14ac:dyDescent="0.35">
      <c r="P12979" s="8"/>
    </row>
    <row r="12980" spans="16:16" x14ac:dyDescent="0.35">
      <c r="P12980" s="8"/>
    </row>
    <row r="12981" spans="16:16" x14ac:dyDescent="0.35">
      <c r="P12981" s="8"/>
    </row>
    <row r="12982" spans="16:16" x14ac:dyDescent="0.35">
      <c r="P12982" s="8"/>
    </row>
    <row r="12983" spans="16:16" x14ac:dyDescent="0.35">
      <c r="P12983" s="8"/>
    </row>
    <row r="12984" spans="16:16" x14ac:dyDescent="0.35">
      <c r="P12984" s="8"/>
    </row>
    <row r="12985" spans="16:16" x14ac:dyDescent="0.35">
      <c r="P12985" s="8"/>
    </row>
    <row r="12986" spans="16:16" x14ac:dyDescent="0.35">
      <c r="P12986" s="8"/>
    </row>
    <row r="12987" spans="16:16" x14ac:dyDescent="0.35">
      <c r="P12987" s="8"/>
    </row>
    <row r="12988" spans="16:16" x14ac:dyDescent="0.35">
      <c r="P12988" s="8"/>
    </row>
    <row r="12989" spans="16:16" x14ac:dyDescent="0.35">
      <c r="P12989" s="8"/>
    </row>
    <row r="12990" spans="16:16" x14ac:dyDescent="0.35">
      <c r="P12990" s="8"/>
    </row>
    <row r="12991" spans="16:16" x14ac:dyDescent="0.35">
      <c r="P12991" s="8"/>
    </row>
    <row r="12992" spans="16:16" x14ac:dyDescent="0.35">
      <c r="P12992" s="8"/>
    </row>
    <row r="12993" spans="16:16" x14ac:dyDescent="0.35">
      <c r="P12993" s="8"/>
    </row>
    <row r="12994" spans="16:16" x14ac:dyDescent="0.35">
      <c r="P12994" s="8"/>
    </row>
    <row r="12995" spans="16:16" x14ac:dyDescent="0.35">
      <c r="P12995" s="8"/>
    </row>
    <row r="12996" spans="16:16" x14ac:dyDescent="0.35">
      <c r="P12996" s="8"/>
    </row>
    <row r="12997" spans="16:16" x14ac:dyDescent="0.35">
      <c r="P12997" s="8"/>
    </row>
    <row r="12998" spans="16:16" x14ac:dyDescent="0.35">
      <c r="P12998" s="8"/>
    </row>
    <row r="12999" spans="16:16" x14ac:dyDescent="0.35">
      <c r="P12999" s="8"/>
    </row>
    <row r="13000" spans="16:16" x14ac:dyDescent="0.35">
      <c r="P13000" s="8"/>
    </row>
    <row r="13001" spans="16:16" x14ac:dyDescent="0.35">
      <c r="P13001" s="8"/>
    </row>
    <row r="13002" spans="16:16" x14ac:dyDescent="0.35">
      <c r="P13002" s="8"/>
    </row>
    <row r="13003" spans="16:16" x14ac:dyDescent="0.35">
      <c r="P13003" s="8"/>
    </row>
    <row r="13004" spans="16:16" x14ac:dyDescent="0.35">
      <c r="P13004" s="8"/>
    </row>
    <row r="13005" spans="16:16" x14ac:dyDescent="0.35">
      <c r="P13005" s="8"/>
    </row>
    <row r="13006" spans="16:16" x14ac:dyDescent="0.35">
      <c r="P13006" s="8"/>
    </row>
    <row r="13007" spans="16:16" x14ac:dyDescent="0.35">
      <c r="P13007" s="8"/>
    </row>
    <row r="13008" spans="16:16" x14ac:dyDescent="0.35">
      <c r="P13008" s="8"/>
    </row>
    <row r="13009" spans="16:16" x14ac:dyDescent="0.35">
      <c r="P13009" s="8"/>
    </row>
    <row r="13010" spans="16:16" x14ac:dyDescent="0.35">
      <c r="P13010" s="8"/>
    </row>
    <row r="13011" spans="16:16" x14ac:dyDescent="0.35">
      <c r="P13011" s="8"/>
    </row>
    <row r="13012" spans="16:16" x14ac:dyDescent="0.35">
      <c r="P13012" s="8"/>
    </row>
    <row r="13013" spans="16:16" x14ac:dyDescent="0.35">
      <c r="P13013" s="8"/>
    </row>
    <row r="13014" spans="16:16" x14ac:dyDescent="0.35">
      <c r="P13014" s="8"/>
    </row>
    <row r="13015" spans="16:16" x14ac:dyDescent="0.35">
      <c r="P13015" s="8"/>
    </row>
    <row r="13016" spans="16:16" x14ac:dyDescent="0.35">
      <c r="P13016" s="8"/>
    </row>
    <row r="13017" spans="16:16" x14ac:dyDescent="0.35">
      <c r="P13017" s="8"/>
    </row>
    <row r="13018" spans="16:16" x14ac:dyDescent="0.35">
      <c r="P13018" s="8"/>
    </row>
    <row r="13019" spans="16:16" x14ac:dyDescent="0.35">
      <c r="P13019" s="8"/>
    </row>
    <row r="13020" spans="16:16" x14ac:dyDescent="0.35">
      <c r="P13020" s="8"/>
    </row>
    <row r="13021" spans="16:16" x14ac:dyDescent="0.35">
      <c r="P13021" s="8"/>
    </row>
    <row r="13022" spans="16:16" x14ac:dyDescent="0.35">
      <c r="P13022" s="8"/>
    </row>
    <row r="13023" spans="16:16" x14ac:dyDescent="0.35">
      <c r="P13023" s="8"/>
    </row>
    <row r="13024" spans="16:16" x14ac:dyDescent="0.35">
      <c r="P13024" s="8"/>
    </row>
    <row r="13025" spans="16:16" x14ac:dyDescent="0.35">
      <c r="P13025" s="8"/>
    </row>
    <row r="13026" spans="16:16" x14ac:dyDescent="0.35">
      <c r="P13026" s="8"/>
    </row>
    <row r="13027" spans="16:16" x14ac:dyDescent="0.35">
      <c r="P13027" s="8"/>
    </row>
    <row r="13028" spans="16:16" x14ac:dyDescent="0.35">
      <c r="P13028" s="8"/>
    </row>
    <row r="13029" spans="16:16" x14ac:dyDescent="0.35">
      <c r="P13029" s="8"/>
    </row>
    <row r="13030" spans="16:16" x14ac:dyDescent="0.35">
      <c r="P13030" s="8"/>
    </row>
    <row r="13031" spans="16:16" x14ac:dyDescent="0.35">
      <c r="P13031" s="8"/>
    </row>
    <row r="13032" spans="16:16" x14ac:dyDescent="0.35">
      <c r="P13032" s="8"/>
    </row>
    <row r="13033" spans="16:16" x14ac:dyDescent="0.35">
      <c r="P13033" s="8"/>
    </row>
    <row r="13034" spans="16:16" x14ac:dyDescent="0.35">
      <c r="P13034" s="8"/>
    </row>
    <row r="13035" spans="16:16" x14ac:dyDescent="0.35">
      <c r="P13035" s="8"/>
    </row>
    <row r="13036" spans="16:16" x14ac:dyDescent="0.35">
      <c r="P13036" s="8"/>
    </row>
    <row r="13037" spans="16:16" x14ac:dyDescent="0.35">
      <c r="P13037" s="8"/>
    </row>
    <row r="13038" spans="16:16" x14ac:dyDescent="0.35">
      <c r="P13038" s="8"/>
    </row>
    <row r="13039" spans="16:16" x14ac:dyDescent="0.35">
      <c r="P13039" s="8"/>
    </row>
    <row r="13040" spans="16:16" x14ac:dyDescent="0.35">
      <c r="P13040" s="8"/>
    </row>
    <row r="13041" spans="16:16" x14ac:dyDescent="0.35">
      <c r="P13041" s="8"/>
    </row>
    <row r="13042" spans="16:16" x14ac:dyDescent="0.35">
      <c r="P13042" s="8"/>
    </row>
    <row r="13043" spans="16:16" x14ac:dyDescent="0.35">
      <c r="P13043" s="8"/>
    </row>
    <row r="13044" spans="16:16" x14ac:dyDescent="0.35">
      <c r="P13044" s="8"/>
    </row>
    <row r="13045" spans="16:16" x14ac:dyDescent="0.35">
      <c r="P13045" s="8"/>
    </row>
    <row r="13046" spans="16:16" x14ac:dyDescent="0.35">
      <c r="P13046" s="8"/>
    </row>
    <row r="13047" spans="16:16" x14ac:dyDescent="0.35">
      <c r="P13047" s="8"/>
    </row>
    <row r="13048" spans="16:16" x14ac:dyDescent="0.35">
      <c r="P13048" s="8"/>
    </row>
    <row r="13049" spans="16:16" x14ac:dyDescent="0.35">
      <c r="P13049" s="8"/>
    </row>
    <row r="13050" spans="16:16" x14ac:dyDescent="0.35">
      <c r="P13050" s="8"/>
    </row>
    <row r="13051" spans="16:16" x14ac:dyDescent="0.35">
      <c r="P13051" s="8"/>
    </row>
    <row r="13052" spans="16:16" x14ac:dyDescent="0.35">
      <c r="P13052" s="8"/>
    </row>
    <row r="13053" spans="16:16" x14ac:dyDescent="0.35">
      <c r="P13053" s="8"/>
    </row>
    <row r="13054" spans="16:16" x14ac:dyDescent="0.35">
      <c r="P13054" s="8"/>
    </row>
    <row r="13055" spans="16:16" x14ac:dyDescent="0.35">
      <c r="P13055" s="8"/>
    </row>
    <row r="13056" spans="16:16" x14ac:dyDescent="0.35">
      <c r="P13056" s="8"/>
    </row>
    <row r="13057" spans="16:16" x14ac:dyDescent="0.35">
      <c r="P13057" s="8"/>
    </row>
    <row r="13058" spans="16:16" x14ac:dyDescent="0.35">
      <c r="P13058" s="8"/>
    </row>
    <row r="13059" spans="16:16" x14ac:dyDescent="0.35">
      <c r="P13059" s="8"/>
    </row>
    <row r="13060" spans="16:16" x14ac:dyDescent="0.35">
      <c r="P13060" s="8"/>
    </row>
    <row r="13061" spans="16:16" x14ac:dyDescent="0.35">
      <c r="P13061" s="8"/>
    </row>
    <row r="13062" spans="16:16" x14ac:dyDescent="0.35">
      <c r="P13062" s="8"/>
    </row>
    <row r="13063" spans="16:16" x14ac:dyDescent="0.35">
      <c r="P13063" s="8"/>
    </row>
    <row r="13064" spans="16:16" x14ac:dyDescent="0.35">
      <c r="P13064" s="8"/>
    </row>
    <row r="13065" spans="16:16" x14ac:dyDescent="0.35">
      <c r="P13065" s="8"/>
    </row>
    <row r="13066" spans="16:16" x14ac:dyDescent="0.35">
      <c r="P13066" s="8"/>
    </row>
    <row r="13067" spans="16:16" x14ac:dyDescent="0.35">
      <c r="P13067" s="8"/>
    </row>
    <row r="13068" spans="16:16" x14ac:dyDescent="0.35">
      <c r="P13068" s="8"/>
    </row>
    <row r="13069" spans="16:16" x14ac:dyDescent="0.35">
      <c r="P13069" s="8"/>
    </row>
    <row r="13070" spans="16:16" x14ac:dyDescent="0.35">
      <c r="P13070" s="8"/>
    </row>
    <row r="13071" spans="16:16" x14ac:dyDescent="0.35">
      <c r="P13071" s="8"/>
    </row>
    <row r="13072" spans="16:16" x14ac:dyDescent="0.35">
      <c r="P13072" s="8"/>
    </row>
    <row r="13073" spans="16:16" x14ac:dyDescent="0.35">
      <c r="P13073" s="8"/>
    </row>
    <row r="13074" spans="16:16" x14ac:dyDescent="0.35">
      <c r="P13074" s="8"/>
    </row>
    <row r="13075" spans="16:16" x14ac:dyDescent="0.35">
      <c r="P13075" s="8"/>
    </row>
    <row r="13076" spans="16:16" x14ac:dyDescent="0.35">
      <c r="P13076" s="8"/>
    </row>
    <row r="13077" spans="16:16" x14ac:dyDescent="0.35">
      <c r="P13077" s="8"/>
    </row>
    <row r="13078" spans="16:16" x14ac:dyDescent="0.35">
      <c r="P13078" s="8"/>
    </row>
    <row r="13079" spans="16:16" x14ac:dyDescent="0.35">
      <c r="P13079" s="8"/>
    </row>
    <row r="13080" spans="16:16" x14ac:dyDescent="0.35">
      <c r="P13080" s="8"/>
    </row>
    <row r="13081" spans="16:16" x14ac:dyDescent="0.35">
      <c r="P13081" s="8"/>
    </row>
    <row r="13082" spans="16:16" x14ac:dyDescent="0.35">
      <c r="P13082" s="8"/>
    </row>
    <row r="13083" spans="16:16" x14ac:dyDescent="0.35">
      <c r="P13083" s="8"/>
    </row>
    <row r="13084" spans="16:16" x14ac:dyDescent="0.35">
      <c r="P13084" s="8"/>
    </row>
    <row r="13085" spans="16:16" x14ac:dyDescent="0.35">
      <c r="P13085" s="8"/>
    </row>
    <row r="13086" spans="16:16" x14ac:dyDescent="0.35">
      <c r="P13086" s="8"/>
    </row>
    <row r="13087" spans="16:16" x14ac:dyDescent="0.35">
      <c r="P13087" s="8"/>
    </row>
    <row r="13088" spans="16:16" x14ac:dyDescent="0.35">
      <c r="P13088" s="8"/>
    </row>
    <row r="13089" spans="16:16" x14ac:dyDescent="0.35">
      <c r="P13089" s="8"/>
    </row>
    <row r="13090" spans="16:16" x14ac:dyDescent="0.35">
      <c r="P13090" s="8"/>
    </row>
    <row r="13091" spans="16:16" x14ac:dyDescent="0.35">
      <c r="P13091" s="8"/>
    </row>
    <row r="13092" spans="16:16" x14ac:dyDescent="0.35">
      <c r="P13092" s="8"/>
    </row>
    <row r="13093" spans="16:16" x14ac:dyDescent="0.35">
      <c r="P13093" s="8"/>
    </row>
    <row r="13094" spans="16:16" x14ac:dyDescent="0.35">
      <c r="P13094" s="8"/>
    </row>
    <row r="13095" spans="16:16" x14ac:dyDescent="0.35">
      <c r="P13095" s="8"/>
    </row>
    <row r="13096" spans="16:16" x14ac:dyDescent="0.35">
      <c r="P13096" s="8"/>
    </row>
    <row r="13097" spans="16:16" x14ac:dyDescent="0.35">
      <c r="P13097" s="8"/>
    </row>
    <row r="13098" spans="16:16" x14ac:dyDescent="0.35">
      <c r="P13098" s="8"/>
    </row>
    <row r="13099" spans="16:16" x14ac:dyDescent="0.35">
      <c r="P13099" s="8"/>
    </row>
    <row r="13100" spans="16:16" x14ac:dyDescent="0.35">
      <c r="P13100" s="8"/>
    </row>
    <row r="13101" spans="16:16" x14ac:dyDescent="0.35">
      <c r="P13101" s="8"/>
    </row>
    <row r="13102" spans="16:16" x14ac:dyDescent="0.35">
      <c r="P13102" s="8"/>
    </row>
    <row r="13103" spans="16:16" x14ac:dyDescent="0.35">
      <c r="P13103" s="8"/>
    </row>
    <row r="13104" spans="16:16" x14ac:dyDescent="0.35">
      <c r="P13104" s="8"/>
    </row>
    <row r="13105" spans="16:16" x14ac:dyDescent="0.35">
      <c r="P13105" s="8"/>
    </row>
    <row r="13106" spans="16:16" x14ac:dyDescent="0.35">
      <c r="P13106" s="8"/>
    </row>
    <row r="13107" spans="16:16" x14ac:dyDescent="0.35">
      <c r="P13107" s="8"/>
    </row>
    <row r="13108" spans="16:16" x14ac:dyDescent="0.35">
      <c r="P13108" s="8"/>
    </row>
    <row r="13109" spans="16:16" x14ac:dyDescent="0.35">
      <c r="P13109" s="8"/>
    </row>
    <row r="13110" spans="16:16" x14ac:dyDescent="0.35">
      <c r="P13110" s="8"/>
    </row>
    <row r="13111" spans="16:16" x14ac:dyDescent="0.35">
      <c r="P13111" s="8"/>
    </row>
    <row r="13112" spans="16:16" x14ac:dyDescent="0.35">
      <c r="P13112" s="8"/>
    </row>
    <row r="13113" spans="16:16" x14ac:dyDescent="0.35">
      <c r="P13113" s="8"/>
    </row>
    <row r="13114" spans="16:16" x14ac:dyDescent="0.35">
      <c r="P13114" s="8"/>
    </row>
    <row r="13115" spans="16:16" x14ac:dyDescent="0.35">
      <c r="P13115" s="8"/>
    </row>
    <row r="13116" spans="16:16" x14ac:dyDescent="0.35">
      <c r="P13116" s="8"/>
    </row>
    <row r="13117" spans="16:16" x14ac:dyDescent="0.35">
      <c r="P13117" s="8"/>
    </row>
    <row r="13118" spans="16:16" x14ac:dyDescent="0.35">
      <c r="P13118" s="8"/>
    </row>
    <row r="13119" spans="16:16" x14ac:dyDescent="0.35">
      <c r="P13119" s="8"/>
    </row>
    <row r="13120" spans="16:16" x14ac:dyDescent="0.35">
      <c r="P13120" s="8"/>
    </row>
    <row r="13121" spans="16:16" x14ac:dyDescent="0.35">
      <c r="P13121" s="8"/>
    </row>
    <row r="13122" spans="16:16" x14ac:dyDescent="0.35">
      <c r="P13122" s="8"/>
    </row>
    <row r="13123" spans="16:16" x14ac:dyDescent="0.35">
      <c r="P13123" s="8"/>
    </row>
    <row r="13124" spans="16:16" x14ac:dyDescent="0.35">
      <c r="P13124" s="8"/>
    </row>
    <row r="13125" spans="16:16" x14ac:dyDescent="0.35">
      <c r="P13125" s="8"/>
    </row>
    <row r="13126" spans="16:16" x14ac:dyDescent="0.35">
      <c r="P13126" s="8"/>
    </row>
    <row r="13127" spans="16:16" x14ac:dyDescent="0.35">
      <c r="P13127" s="8"/>
    </row>
    <row r="13128" spans="16:16" x14ac:dyDescent="0.35">
      <c r="P13128" s="8"/>
    </row>
    <row r="13129" spans="16:16" x14ac:dyDescent="0.35">
      <c r="P13129" s="8"/>
    </row>
    <row r="13130" spans="16:16" x14ac:dyDescent="0.35">
      <c r="P13130" s="8"/>
    </row>
    <row r="13131" spans="16:16" x14ac:dyDescent="0.35">
      <c r="P13131" s="8"/>
    </row>
    <row r="13132" spans="16:16" x14ac:dyDescent="0.35">
      <c r="P13132" s="8"/>
    </row>
    <row r="13133" spans="16:16" x14ac:dyDescent="0.35">
      <c r="P13133" s="8"/>
    </row>
    <row r="13134" spans="16:16" x14ac:dyDescent="0.35">
      <c r="P13134" s="8"/>
    </row>
    <row r="13135" spans="16:16" x14ac:dyDescent="0.35">
      <c r="P13135" s="8"/>
    </row>
    <row r="13136" spans="16:16" x14ac:dyDescent="0.35">
      <c r="P13136" s="8"/>
    </row>
    <row r="13137" spans="16:16" x14ac:dyDescent="0.35">
      <c r="P13137" s="8"/>
    </row>
    <row r="13138" spans="16:16" x14ac:dyDescent="0.35">
      <c r="P13138" s="8"/>
    </row>
    <row r="13139" spans="16:16" x14ac:dyDescent="0.35">
      <c r="P13139" s="8"/>
    </row>
    <row r="13140" spans="16:16" x14ac:dyDescent="0.35">
      <c r="P13140" s="8"/>
    </row>
    <row r="13141" spans="16:16" x14ac:dyDescent="0.35">
      <c r="P13141" s="8"/>
    </row>
    <row r="13142" spans="16:16" x14ac:dyDescent="0.35">
      <c r="P13142" s="8"/>
    </row>
    <row r="13143" spans="16:16" x14ac:dyDescent="0.35">
      <c r="P13143" s="8"/>
    </row>
    <row r="13144" spans="16:16" x14ac:dyDescent="0.35">
      <c r="P13144" s="8"/>
    </row>
    <row r="13145" spans="16:16" x14ac:dyDescent="0.35">
      <c r="P13145" s="8"/>
    </row>
    <row r="13146" spans="16:16" x14ac:dyDescent="0.35">
      <c r="P13146" s="8"/>
    </row>
    <row r="13147" spans="16:16" x14ac:dyDescent="0.35">
      <c r="P13147" s="8"/>
    </row>
    <row r="13148" spans="16:16" x14ac:dyDescent="0.35">
      <c r="P13148" s="8"/>
    </row>
    <row r="13149" spans="16:16" x14ac:dyDescent="0.35">
      <c r="P13149" s="8"/>
    </row>
    <row r="13150" spans="16:16" x14ac:dyDescent="0.35">
      <c r="P13150" s="8"/>
    </row>
    <row r="13151" spans="16:16" x14ac:dyDescent="0.35">
      <c r="P13151" s="8"/>
    </row>
    <row r="13152" spans="16:16" x14ac:dyDescent="0.35">
      <c r="P13152" s="8"/>
    </row>
    <row r="13153" spans="16:16" x14ac:dyDescent="0.35">
      <c r="P13153" s="8"/>
    </row>
    <row r="13154" spans="16:16" x14ac:dyDescent="0.35">
      <c r="P13154" s="8"/>
    </row>
    <row r="13155" spans="16:16" x14ac:dyDescent="0.35">
      <c r="P13155" s="8"/>
    </row>
    <row r="13156" spans="16:16" x14ac:dyDescent="0.35">
      <c r="P13156" s="8"/>
    </row>
    <row r="13157" spans="16:16" x14ac:dyDescent="0.35">
      <c r="P13157" s="8"/>
    </row>
    <row r="13158" spans="16:16" x14ac:dyDescent="0.35">
      <c r="P13158" s="8"/>
    </row>
    <row r="13159" spans="16:16" x14ac:dyDescent="0.35">
      <c r="P13159" s="8"/>
    </row>
    <row r="13160" spans="16:16" x14ac:dyDescent="0.35">
      <c r="P13160" s="8"/>
    </row>
    <row r="13161" spans="16:16" x14ac:dyDescent="0.35">
      <c r="P13161" s="8"/>
    </row>
    <row r="13162" spans="16:16" x14ac:dyDescent="0.35">
      <c r="P13162" s="8"/>
    </row>
    <row r="13163" spans="16:16" x14ac:dyDescent="0.35">
      <c r="P13163" s="8"/>
    </row>
    <row r="13164" spans="16:16" x14ac:dyDescent="0.35">
      <c r="P13164" s="8"/>
    </row>
    <row r="13165" spans="16:16" x14ac:dyDescent="0.35">
      <c r="P13165" s="8"/>
    </row>
    <row r="13166" spans="16:16" x14ac:dyDescent="0.35">
      <c r="P13166" s="8"/>
    </row>
    <row r="13167" spans="16:16" x14ac:dyDescent="0.35">
      <c r="P13167" s="8"/>
    </row>
    <row r="13168" spans="16:16" x14ac:dyDescent="0.35">
      <c r="P13168" s="8"/>
    </row>
    <row r="13169" spans="16:16" x14ac:dyDescent="0.35">
      <c r="P13169" s="8"/>
    </row>
    <row r="13170" spans="16:16" x14ac:dyDescent="0.35">
      <c r="P13170" s="8"/>
    </row>
    <row r="13171" spans="16:16" x14ac:dyDescent="0.35">
      <c r="P13171" s="8"/>
    </row>
    <row r="13172" spans="16:16" x14ac:dyDescent="0.35">
      <c r="P13172" s="8"/>
    </row>
    <row r="13173" spans="16:16" x14ac:dyDescent="0.35">
      <c r="P13173" s="8"/>
    </row>
    <row r="13174" spans="16:16" x14ac:dyDescent="0.35">
      <c r="P13174" s="8"/>
    </row>
    <row r="13175" spans="16:16" x14ac:dyDescent="0.35">
      <c r="P13175" s="8"/>
    </row>
    <row r="13176" spans="16:16" x14ac:dyDescent="0.35">
      <c r="P13176" s="8"/>
    </row>
    <row r="13177" spans="16:16" x14ac:dyDescent="0.35">
      <c r="P13177" s="8"/>
    </row>
    <row r="13178" spans="16:16" x14ac:dyDescent="0.35">
      <c r="P13178" s="8"/>
    </row>
    <row r="13179" spans="16:16" x14ac:dyDescent="0.35">
      <c r="P13179" s="8"/>
    </row>
    <row r="13180" spans="16:16" x14ac:dyDescent="0.35">
      <c r="P13180" s="8"/>
    </row>
    <row r="13181" spans="16:16" x14ac:dyDescent="0.35">
      <c r="P13181" s="8"/>
    </row>
    <row r="13182" spans="16:16" x14ac:dyDescent="0.35">
      <c r="P13182" s="8"/>
    </row>
    <row r="13183" spans="16:16" x14ac:dyDescent="0.35">
      <c r="P13183" s="8"/>
    </row>
    <row r="13184" spans="16:16" x14ac:dyDescent="0.35">
      <c r="P13184" s="8"/>
    </row>
    <row r="13185" spans="16:16" x14ac:dyDescent="0.35">
      <c r="P13185" s="8"/>
    </row>
    <row r="13186" spans="16:16" x14ac:dyDescent="0.35">
      <c r="P13186" s="8"/>
    </row>
    <row r="13187" spans="16:16" x14ac:dyDescent="0.35">
      <c r="P13187" s="8"/>
    </row>
    <row r="13188" spans="16:16" x14ac:dyDescent="0.35">
      <c r="P13188" s="8"/>
    </row>
    <row r="13189" spans="16:16" x14ac:dyDescent="0.35">
      <c r="P13189" s="8"/>
    </row>
    <row r="13190" spans="16:16" x14ac:dyDescent="0.35">
      <c r="P13190" s="8"/>
    </row>
    <row r="13191" spans="16:16" x14ac:dyDescent="0.35">
      <c r="P13191" s="8"/>
    </row>
    <row r="13192" spans="16:16" x14ac:dyDescent="0.35">
      <c r="P13192" s="8"/>
    </row>
    <row r="13193" spans="16:16" x14ac:dyDescent="0.35">
      <c r="P13193" s="8"/>
    </row>
    <row r="13194" spans="16:16" x14ac:dyDescent="0.35">
      <c r="P13194" s="8"/>
    </row>
    <row r="13195" spans="16:16" x14ac:dyDescent="0.35">
      <c r="P13195" s="8"/>
    </row>
    <row r="13196" spans="16:16" x14ac:dyDescent="0.35">
      <c r="P13196" s="8"/>
    </row>
    <row r="13197" spans="16:16" x14ac:dyDescent="0.35">
      <c r="P13197" s="8"/>
    </row>
    <row r="13198" spans="16:16" x14ac:dyDescent="0.35">
      <c r="P13198" s="8"/>
    </row>
    <row r="13199" spans="16:16" x14ac:dyDescent="0.35">
      <c r="P13199" s="8"/>
    </row>
    <row r="13200" spans="16:16" x14ac:dyDescent="0.35">
      <c r="P13200" s="8"/>
    </row>
    <row r="13201" spans="16:16" x14ac:dyDescent="0.35">
      <c r="P13201" s="8"/>
    </row>
    <row r="13202" spans="16:16" x14ac:dyDescent="0.35">
      <c r="P13202" s="8"/>
    </row>
    <row r="13203" spans="16:16" x14ac:dyDescent="0.35">
      <c r="P13203" s="8"/>
    </row>
    <row r="13204" spans="16:16" x14ac:dyDescent="0.35">
      <c r="P13204" s="8"/>
    </row>
    <row r="13205" spans="16:16" x14ac:dyDescent="0.35">
      <c r="P13205" s="8"/>
    </row>
    <row r="13206" spans="16:16" x14ac:dyDescent="0.35">
      <c r="P13206" s="8"/>
    </row>
    <row r="13207" spans="16:16" x14ac:dyDescent="0.35">
      <c r="P13207" s="8"/>
    </row>
    <row r="13208" spans="16:16" x14ac:dyDescent="0.35">
      <c r="P13208" s="8"/>
    </row>
    <row r="13209" spans="16:16" x14ac:dyDescent="0.35">
      <c r="P13209" s="8"/>
    </row>
    <row r="13210" spans="16:16" x14ac:dyDescent="0.35">
      <c r="P13210" s="8"/>
    </row>
    <row r="13211" spans="16:16" x14ac:dyDescent="0.35">
      <c r="P13211" s="8"/>
    </row>
    <row r="13212" spans="16:16" x14ac:dyDescent="0.35">
      <c r="P13212" s="8"/>
    </row>
    <row r="13213" spans="16:16" x14ac:dyDescent="0.35">
      <c r="P13213" s="8"/>
    </row>
    <row r="13214" spans="16:16" x14ac:dyDescent="0.35">
      <c r="P13214" s="8"/>
    </row>
    <row r="13215" spans="16:16" x14ac:dyDescent="0.35">
      <c r="P13215" s="8"/>
    </row>
    <row r="13216" spans="16:16" x14ac:dyDescent="0.35">
      <c r="P13216" s="8"/>
    </row>
    <row r="13217" spans="16:16" x14ac:dyDescent="0.35">
      <c r="P13217" s="8"/>
    </row>
    <row r="13218" spans="16:16" x14ac:dyDescent="0.35">
      <c r="P13218" s="8"/>
    </row>
    <row r="13219" spans="16:16" x14ac:dyDescent="0.35">
      <c r="P13219" s="8"/>
    </row>
    <row r="13220" spans="16:16" x14ac:dyDescent="0.35">
      <c r="P13220" s="8"/>
    </row>
    <row r="13221" spans="16:16" x14ac:dyDescent="0.35">
      <c r="P13221" s="8"/>
    </row>
    <row r="13222" spans="16:16" x14ac:dyDescent="0.35">
      <c r="P13222" s="8"/>
    </row>
    <row r="13223" spans="16:16" x14ac:dyDescent="0.35">
      <c r="P13223" s="8"/>
    </row>
    <row r="13224" spans="16:16" x14ac:dyDescent="0.35">
      <c r="P13224" s="8"/>
    </row>
    <row r="13225" spans="16:16" x14ac:dyDescent="0.35">
      <c r="P13225" s="8"/>
    </row>
    <row r="13226" spans="16:16" x14ac:dyDescent="0.35">
      <c r="P13226" s="8"/>
    </row>
    <row r="13227" spans="16:16" x14ac:dyDescent="0.35">
      <c r="P13227" s="8"/>
    </row>
    <row r="13228" spans="16:16" x14ac:dyDescent="0.35">
      <c r="P13228" s="8"/>
    </row>
    <row r="13229" spans="16:16" x14ac:dyDescent="0.35">
      <c r="P13229" s="8"/>
    </row>
    <row r="13230" spans="16:16" x14ac:dyDescent="0.35">
      <c r="P13230" s="8"/>
    </row>
    <row r="13231" spans="16:16" x14ac:dyDescent="0.35">
      <c r="P13231" s="8"/>
    </row>
    <row r="13232" spans="16:16" x14ac:dyDescent="0.35">
      <c r="P13232" s="8"/>
    </row>
    <row r="13233" spans="16:16" x14ac:dyDescent="0.35">
      <c r="P13233" s="8"/>
    </row>
    <row r="13234" spans="16:16" x14ac:dyDescent="0.35">
      <c r="P13234" s="8"/>
    </row>
    <row r="13235" spans="16:16" x14ac:dyDescent="0.35">
      <c r="P13235" s="8"/>
    </row>
    <row r="13236" spans="16:16" x14ac:dyDescent="0.35">
      <c r="P13236" s="8"/>
    </row>
    <row r="13237" spans="16:16" x14ac:dyDescent="0.35">
      <c r="P13237" s="8"/>
    </row>
    <row r="13238" spans="16:16" x14ac:dyDescent="0.35">
      <c r="P13238" s="8"/>
    </row>
    <row r="13239" spans="16:16" x14ac:dyDescent="0.35">
      <c r="P13239" s="8"/>
    </row>
    <row r="13240" spans="16:16" x14ac:dyDescent="0.35">
      <c r="P13240" s="8"/>
    </row>
    <row r="13241" spans="16:16" x14ac:dyDescent="0.35">
      <c r="P13241" s="8"/>
    </row>
    <row r="13242" spans="16:16" x14ac:dyDescent="0.35">
      <c r="P13242" s="8"/>
    </row>
    <row r="13243" spans="16:16" x14ac:dyDescent="0.35">
      <c r="P13243" s="8"/>
    </row>
    <row r="13244" spans="16:16" x14ac:dyDescent="0.35">
      <c r="P13244" s="8"/>
    </row>
    <row r="13245" spans="16:16" x14ac:dyDescent="0.35">
      <c r="P13245" s="8"/>
    </row>
    <row r="13246" spans="16:16" x14ac:dyDescent="0.35">
      <c r="P13246" s="8"/>
    </row>
    <row r="13247" spans="16:16" x14ac:dyDescent="0.35">
      <c r="P13247" s="8"/>
    </row>
    <row r="13248" spans="16:16" x14ac:dyDescent="0.35">
      <c r="P13248" s="8"/>
    </row>
    <row r="13249" spans="16:16" x14ac:dyDescent="0.35">
      <c r="P13249" s="8"/>
    </row>
    <row r="13250" spans="16:16" x14ac:dyDescent="0.35">
      <c r="P13250" s="8"/>
    </row>
    <row r="13251" spans="16:16" x14ac:dyDescent="0.35">
      <c r="P13251" s="8"/>
    </row>
    <row r="13252" spans="16:16" x14ac:dyDescent="0.35">
      <c r="P13252" s="8"/>
    </row>
    <row r="13253" spans="16:16" x14ac:dyDescent="0.35">
      <c r="P13253" s="8"/>
    </row>
    <row r="13254" spans="16:16" x14ac:dyDescent="0.35">
      <c r="P13254" s="8"/>
    </row>
    <row r="13255" spans="16:16" x14ac:dyDescent="0.35">
      <c r="P13255" s="8"/>
    </row>
    <row r="13256" spans="16:16" x14ac:dyDescent="0.35">
      <c r="P13256" s="8"/>
    </row>
    <row r="13257" spans="16:16" x14ac:dyDescent="0.35">
      <c r="P13257" s="8"/>
    </row>
    <row r="13258" spans="16:16" x14ac:dyDescent="0.35">
      <c r="P13258" s="8"/>
    </row>
    <row r="13259" spans="16:16" x14ac:dyDescent="0.35">
      <c r="P13259" s="8"/>
    </row>
    <row r="13260" spans="16:16" x14ac:dyDescent="0.35">
      <c r="P13260" s="8"/>
    </row>
    <row r="13261" spans="16:16" x14ac:dyDescent="0.35">
      <c r="P13261" s="8"/>
    </row>
    <row r="13262" spans="16:16" x14ac:dyDescent="0.35">
      <c r="P13262" s="8"/>
    </row>
    <row r="13263" spans="16:16" x14ac:dyDescent="0.35">
      <c r="P13263" s="8"/>
    </row>
    <row r="13264" spans="16:16" x14ac:dyDescent="0.35">
      <c r="P13264" s="8"/>
    </row>
    <row r="13265" spans="16:16" x14ac:dyDescent="0.35">
      <c r="P13265" s="8"/>
    </row>
    <row r="13266" spans="16:16" x14ac:dyDescent="0.35">
      <c r="P13266" s="8"/>
    </row>
    <row r="13267" spans="16:16" x14ac:dyDescent="0.35">
      <c r="P13267" s="8"/>
    </row>
    <row r="13268" spans="16:16" x14ac:dyDescent="0.35">
      <c r="P13268" s="8"/>
    </row>
    <row r="13269" spans="16:16" x14ac:dyDescent="0.35">
      <c r="P13269" s="8"/>
    </row>
    <row r="13270" spans="16:16" x14ac:dyDescent="0.35">
      <c r="P13270" s="8"/>
    </row>
    <row r="13271" spans="16:16" x14ac:dyDescent="0.35">
      <c r="P13271" s="8"/>
    </row>
    <row r="13272" spans="16:16" x14ac:dyDescent="0.35">
      <c r="P13272" s="8"/>
    </row>
    <row r="13273" spans="16:16" x14ac:dyDescent="0.35">
      <c r="P13273" s="8"/>
    </row>
    <row r="13274" spans="16:16" x14ac:dyDescent="0.35">
      <c r="P13274" s="8"/>
    </row>
    <row r="13275" spans="16:16" x14ac:dyDescent="0.35">
      <c r="P13275" s="8"/>
    </row>
    <row r="13276" spans="16:16" x14ac:dyDescent="0.35">
      <c r="P13276" s="8"/>
    </row>
    <row r="13277" spans="16:16" x14ac:dyDescent="0.35">
      <c r="P13277" s="8"/>
    </row>
    <row r="13278" spans="16:16" x14ac:dyDescent="0.35">
      <c r="P13278" s="8"/>
    </row>
    <row r="13279" spans="16:16" x14ac:dyDescent="0.35">
      <c r="P13279" s="8"/>
    </row>
    <row r="13280" spans="16:16" x14ac:dyDescent="0.35">
      <c r="P13280" s="8"/>
    </row>
    <row r="13281" spans="16:16" x14ac:dyDescent="0.35">
      <c r="P13281" s="8"/>
    </row>
    <row r="13282" spans="16:16" x14ac:dyDescent="0.35">
      <c r="P13282" s="8"/>
    </row>
    <row r="13283" spans="16:16" x14ac:dyDescent="0.35">
      <c r="P13283" s="8"/>
    </row>
    <row r="13284" spans="16:16" x14ac:dyDescent="0.35">
      <c r="P13284" s="8"/>
    </row>
    <row r="13285" spans="16:16" x14ac:dyDescent="0.35">
      <c r="P13285" s="8"/>
    </row>
    <row r="13286" spans="16:16" x14ac:dyDescent="0.35">
      <c r="P13286" s="8"/>
    </row>
    <row r="13287" spans="16:16" x14ac:dyDescent="0.35">
      <c r="P13287" s="8"/>
    </row>
    <row r="13288" spans="16:16" x14ac:dyDescent="0.35">
      <c r="P13288" s="8"/>
    </row>
    <row r="13289" spans="16:16" x14ac:dyDescent="0.35">
      <c r="P13289" s="8"/>
    </row>
    <row r="13290" spans="16:16" x14ac:dyDescent="0.35">
      <c r="P13290" s="8"/>
    </row>
    <row r="13291" spans="16:16" x14ac:dyDescent="0.35">
      <c r="P13291" s="8"/>
    </row>
    <row r="13292" spans="16:16" x14ac:dyDescent="0.35">
      <c r="P13292" s="8"/>
    </row>
    <row r="13293" spans="16:16" x14ac:dyDescent="0.35">
      <c r="P13293" s="8"/>
    </row>
    <row r="13294" spans="16:16" x14ac:dyDescent="0.35">
      <c r="P13294" s="8"/>
    </row>
    <row r="13295" spans="16:16" x14ac:dyDescent="0.35">
      <c r="P13295" s="8"/>
    </row>
    <row r="13296" spans="16:16" x14ac:dyDescent="0.35">
      <c r="P13296" s="8"/>
    </row>
    <row r="13297" spans="16:16" x14ac:dyDescent="0.35">
      <c r="P13297" s="8"/>
    </row>
    <row r="13298" spans="16:16" x14ac:dyDescent="0.35">
      <c r="P13298" s="8"/>
    </row>
    <row r="13299" spans="16:16" x14ac:dyDescent="0.35">
      <c r="P13299" s="8"/>
    </row>
    <row r="13300" spans="16:16" x14ac:dyDescent="0.35">
      <c r="P13300" s="8"/>
    </row>
    <row r="13301" spans="16:16" x14ac:dyDescent="0.35">
      <c r="P13301" s="8"/>
    </row>
    <row r="13302" spans="16:16" x14ac:dyDescent="0.35">
      <c r="P13302" s="8"/>
    </row>
    <row r="13303" spans="16:16" x14ac:dyDescent="0.35">
      <c r="P13303" s="8"/>
    </row>
    <row r="13304" spans="16:16" x14ac:dyDescent="0.35">
      <c r="P13304" s="8"/>
    </row>
    <row r="13305" spans="16:16" x14ac:dyDescent="0.35">
      <c r="P13305" s="8"/>
    </row>
    <row r="13306" spans="16:16" x14ac:dyDescent="0.35">
      <c r="P13306" s="8"/>
    </row>
    <row r="13307" spans="16:16" x14ac:dyDescent="0.35">
      <c r="P13307" s="8"/>
    </row>
    <row r="13308" spans="16:16" x14ac:dyDescent="0.35">
      <c r="P13308" s="8"/>
    </row>
    <row r="13309" spans="16:16" x14ac:dyDescent="0.35">
      <c r="P13309" s="8"/>
    </row>
    <row r="13310" spans="16:16" x14ac:dyDescent="0.35">
      <c r="P13310" s="8"/>
    </row>
    <row r="13311" spans="16:16" x14ac:dyDescent="0.35">
      <c r="P13311" s="8"/>
    </row>
    <row r="13312" spans="16:16" x14ac:dyDescent="0.35">
      <c r="P13312" s="8"/>
    </row>
    <row r="13313" spans="16:16" x14ac:dyDescent="0.35">
      <c r="P13313" s="8"/>
    </row>
    <row r="13314" spans="16:16" x14ac:dyDescent="0.35">
      <c r="P13314" s="8"/>
    </row>
    <row r="13315" spans="16:16" x14ac:dyDescent="0.35">
      <c r="P13315" s="8"/>
    </row>
    <row r="13316" spans="16:16" x14ac:dyDescent="0.35">
      <c r="P13316" s="8"/>
    </row>
    <row r="13317" spans="16:16" x14ac:dyDescent="0.35">
      <c r="P13317" s="8"/>
    </row>
    <row r="13318" spans="16:16" x14ac:dyDescent="0.35">
      <c r="P13318" s="8"/>
    </row>
    <row r="13319" spans="16:16" x14ac:dyDescent="0.35">
      <c r="P13319" s="8"/>
    </row>
    <row r="13320" spans="16:16" x14ac:dyDescent="0.35">
      <c r="P13320" s="8"/>
    </row>
    <row r="13321" spans="16:16" x14ac:dyDescent="0.35">
      <c r="P13321" s="8"/>
    </row>
    <row r="13322" spans="16:16" x14ac:dyDescent="0.35">
      <c r="P13322" s="8"/>
    </row>
    <row r="13323" spans="16:16" x14ac:dyDescent="0.35">
      <c r="P13323" s="8"/>
    </row>
    <row r="13324" spans="16:16" x14ac:dyDescent="0.35">
      <c r="P13324" s="8"/>
    </row>
    <row r="13325" spans="16:16" x14ac:dyDescent="0.35">
      <c r="P13325" s="8"/>
    </row>
    <row r="13326" spans="16:16" x14ac:dyDescent="0.35">
      <c r="P13326" s="8"/>
    </row>
    <row r="13327" spans="16:16" x14ac:dyDescent="0.35">
      <c r="P13327" s="8"/>
    </row>
    <row r="13328" spans="16:16" x14ac:dyDescent="0.35">
      <c r="P13328" s="8"/>
    </row>
    <row r="13329" spans="16:16" x14ac:dyDescent="0.35">
      <c r="P13329" s="8"/>
    </row>
    <row r="13330" spans="16:16" x14ac:dyDescent="0.35">
      <c r="P13330" s="8"/>
    </row>
    <row r="13331" spans="16:16" x14ac:dyDescent="0.35">
      <c r="P13331" s="8"/>
    </row>
    <row r="13332" spans="16:16" x14ac:dyDescent="0.35">
      <c r="P13332" s="8"/>
    </row>
    <row r="13333" spans="16:16" x14ac:dyDescent="0.35">
      <c r="P13333" s="8"/>
    </row>
    <row r="13334" spans="16:16" x14ac:dyDescent="0.35">
      <c r="P13334" s="8"/>
    </row>
    <row r="13335" spans="16:16" x14ac:dyDescent="0.35">
      <c r="P13335" s="8"/>
    </row>
    <row r="13336" spans="16:16" x14ac:dyDescent="0.35">
      <c r="P13336" s="8"/>
    </row>
    <row r="13337" spans="16:16" x14ac:dyDescent="0.35">
      <c r="P13337" s="8"/>
    </row>
    <row r="13338" spans="16:16" x14ac:dyDescent="0.35">
      <c r="P13338" s="8"/>
    </row>
    <row r="13339" spans="16:16" x14ac:dyDescent="0.35">
      <c r="P13339" s="8"/>
    </row>
    <row r="13340" spans="16:16" x14ac:dyDescent="0.35">
      <c r="P13340" s="8"/>
    </row>
    <row r="13341" spans="16:16" x14ac:dyDescent="0.35">
      <c r="P13341" s="8"/>
    </row>
    <row r="13342" spans="16:16" x14ac:dyDescent="0.35">
      <c r="P13342" s="8"/>
    </row>
    <row r="13343" spans="16:16" x14ac:dyDescent="0.35">
      <c r="P13343" s="8"/>
    </row>
    <row r="13344" spans="16:16" x14ac:dyDescent="0.35">
      <c r="P13344" s="8"/>
    </row>
    <row r="13345" spans="16:16" x14ac:dyDescent="0.35">
      <c r="P13345" s="8"/>
    </row>
    <row r="13346" spans="16:16" x14ac:dyDescent="0.35">
      <c r="P13346" s="8"/>
    </row>
    <row r="13347" spans="16:16" x14ac:dyDescent="0.35">
      <c r="P13347" s="8"/>
    </row>
    <row r="13348" spans="16:16" x14ac:dyDescent="0.35">
      <c r="P13348" s="8"/>
    </row>
    <row r="13349" spans="16:16" x14ac:dyDescent="0.35">
      <c r="P13349" s="8"/>
    </row>
    <row r="13350" spans="16:16" x14ac:dyDescent="0.35">
      <c r="P13350" s="8"/>
    </row>
    <row r="13351" spans="16:16" x14ac:dyDescent="0.35">
      <c r="P13351" s="8"/>
    </row>
    <row r="13352" spans="16:16" x14ac:dyDescent="0.35">
      <c r="P13352" s="8"/>
    </row>
    <row r="13353" spans="16:16" x14ac:dyDescent="0.35">
      <c r="P13353" s="8"/>
    </row>
    <row r="13354" spans="16:16" x14ac:dyDescent="0.35">
      <c r="P13354" s="8"/>
    </row>
    <row r="13355" spans="16:16" x14ac:dyDescent="0.35">
      <c r="P13355" s="8"/>
    </row>
    <row r="13356" spans="16:16" x14ac:dyDescent="0.35">
      <c r="P13356" s="8"/>
    </row>
    <row r="13357" spans="16:16" x14ac:dyDescent="0.35">
      <c r="P13357" s="8"/>
    </row>
    <row r="13358" spans="16:16" x14ac:dyDescent="0.35">
      <c r="P13358" s="8"/>
    </row>
    <row r="13359" spans="16:16" x14ac:dyDescent="0.35">
      <c r="P13359" s="8"/>
    </row>
    <row r="13360" spans="16:16" x14ac:dyDescent="0.35">
      <c r="P13360" s="8"/>
    </row>
    <row r="13361" spans="16:16" x14ac:dyDescent="0.35">
      <c r="P13361" s="8"/>
    </row>
    <row r="13362" spans="16:16" x14ac:dyDescent="0.35">
      <c r="P13362" s="8"/>
    </row>
    <row r="13363" spans="16:16" x14ac:dyDescent="0.35">
      <c r="P13363" s="8"/>
    </row>
    <row r="13364" spans="16:16" x14ac:dyDescent="0.35">
      <c r="P13364" s="8"/>
    </row>
    <row r="13365" spans="16:16" x14ac:dyDescent="0.35">
      <c r="P13365" s="8"/>
    </row>
    <row r="13366" spans="16:16" x14ac:dyDescent="0.35">
      <c r="P13366" s="8"/>
    </row>
    <row r="13367" spans="16:16" x14ac:dyDescent="0.35">
      <c r="P13367" s="8"/>
    </row>
    <row r="13368" spans="16:16" x14ac:dyDescent="0.35">
      <c r="P13368" s="8"/>
    </row>
    <row r="13369" spans="16:16" x14ac:dyDescent="0.35">
      <c r="P13369" s="8"/>
    </row>
    <row r="13370" spans="16:16" x14ac:dyDescent="0.35">
      <c r="P13370" s="8"/>
    </row>
    <row r="13371" spans="16:16" x14ac:dyDescent="0.35">
      <c r="P13371" s="8"/>
    </row>
    <row r="13372" spans="16:16" x14ac:dyDescent="0.35">
      <c r="P13372" s="8"/>
    </row>
    <row r="13373" spans="16:16" x14ac:dyDescent="0.35">
      <c r="P13373" s="8"/>
    </row>
    <row r="13374" spans="16:16" x14ac:dyDescent="0.35">
      <c r="P13374" s="8"/>
    </row>
    <row r="13375" spans="16:16" x14ac:dyDescent="0.35">
      <c r="P13375" s="8"/>
    </row>
    <row r="13376" spans="16:16" x14ac:dyDescent="0.35">
      <c r="P13376" s="8"/>
    </row>
    <row r="13377" spans="16:16" x14ac:dyDescent="0.35">
      <c r="P13377" s="8"/>
    </row>
    <row r="13378" spans="16:16" x14ac:dyDescent="0.35">
      <c r="P13378" s="8"/>
    </row>
    <row r="13379" spans="16:16" x14ac:dyDescent="0.35">
      <c r="P13379" s="8"/>
    </row>
    <row r="13380" spans="16:16" x14ac:dyDescent="0.35">
      <c r="P13380" s="8"/>
    </row>
    <row r="13381" spans="16:16" x14ac:dyDescent="0.35">
      <c r="P13381" s="8"/>
    </row>
    <row r="13382" spans="16:16" x14ac:dyDescent="0.35">
      <c r="P13382" s="8"/>
    </row>
    <row r="13383" spans="16:16" x14ac:dyDescent="0.35">
      <c r="P13383" s="8"/>
    </row>
    <row r="13384" spans="16:16" x14ac:dyDescent="0.35">
      <c r="P13384" s="8"/>
    </row>
    <row r="13385" spans="16:16" x14ac:dyDescent="0.35">
      <c r="P13385" s="8"/>
    </row>
    <row r="13386" spans="16:16" x14ac:dyDescent="0.35">
      <c r="P13386" s="8"/>
    </row>
    <row r="13387" spans="16:16" x14ac:dyDescent="0.35">
      <c r="P13387" s="8"/>
    </row>
    <row r="13388" spans="16:16" x14ac:dyDescent="0.35">
      <c r="P13388" s="8"/>
    </row>
    <row r="13389" spans="16:16" x14ac:dyDescent="0.35">
      <c r="P13389" s="8"/>
    </row>
    <row r="13390" spans="16:16" x14ac:dyDescent="0.35">
      <c r="P13390" s="8"/>
    </row>
    <row r="13391" spans="16:16" x14ac:dyDescent="0.35">
      <c r="P13391" s="8"/>
    </row>
    <row r="13392" spans="16:16" x14ac:dyDescent="0.35">
      <c r="P13392" s="8"/>
    </row>
    <row r="13393" spans="16:16" x14ac:dyDescent="0.35">
      <c r="P13393" s="8"/>
    </row>
    <row r="13394" spans="16:16" x14ac:dyDescent="0.35">
      <c r="P13394" s="8"/>
    </row>
    <row r="13395" spans="16:16" x14ac:dyDescent="0.35">
      <c r="P13395" s="8"/>
    </row>
    <row r="13396" spans="16:16" x14ac:dyDescent="0.35">
      <c r="P13396" s="8"/>
    </row>
    <row r="13397" spans="16:16" x14ac:dyDescent="0.35">
      <c r="P13397" s="8"/>
    </row>
    <row r="13398" spans="16:16" x14ac:dyDescent="0.35">
      <c r="P13398" s="8"/>
    </row>
    <row r="13399" spans="16:16" x14ac:dyDescent="0.35">
      <c r="P13399" s="8"/>
    </row>
    <row r="13400" spans="16:16" x14ac:dyDescent="0.35">
      <c r="P13400" s="8"/>
    </row>
    <row r="13401" spans="16:16" x14ac:dyDescent="0.35">
      <c r="P13401" s="8"/>
    </row>
    <row r="13402" spans="16:16" x14ac:dyDescent="0.35">
      <c r="P13402" s="8"/>
    </row>
    <row r="13403" spans="16:16" x14ac:dyDescent="0.35">
      <c r="P13403" s="8"/>
    </row>
    <row r="13404" spans="16:16" x14ac:dyDescent="0.35">
      <c r="P13404" s="8"/>
    </row>
    <row r="13405" spans="16:16" x14ac:dyDescent="0.35">
      <c r="P13405" s="8"/>
    </row>
    <row r="13406" spans="16:16" x14ac:dyDescent="0.35">
      <c r="P13406" s="8"/>
    </row>
    <row r="13407" spans="16:16" x14ac:dyDescent="0.35">
      <c r="P13407" s="8"/>
    </row>
    <row r="13408" spans="16:16" x14ac:dyDescent="0.35">
      <c r="P13408" s="8"/>
    </row>
    <row r="13409" spans="16:16" x14ac:dyDescent="0.35">
      <c r="P13409" s="8"/>
    </row>
    <row r="13410" spans="16:16" x14ac:dyDescent="0.35">
      <c r="P13410" s="8"/>
    </row>
    <row r="13411" spans="16:16" x14ac:dyDescent="0.35">
      <c r="P13411" s="8"/>
    </row>
    <row r="13412" spans="16:16" x14ac:dyDescent="0.35">
      <c r="P13412" s="8"/>
    </row>
    <row r="13413" spans="16:16" x14ac:dyDescent="0.35">
      <c r="P13413" s="8"/>
    </row>
    <row r="13414" spans="16:16" x14ac:dyDescent="0.35">
      <c r="P13414" s="8"/>
    </row>
    <row r="13415" spans="16:16" x14ac:dyDescent="0.35">
      <c r="P13415" s="8"/>
    </row>
    <row r="13416" spans="16:16" x14ac:dyDescent="0.35">
      <c r="P13416" s="8"/>
    </row>
    <row r="13417" spans="16:16" x14ac:dyDescent="0.35">
      <c r="P13417" s="8"/>
    </row>
    <row r="13418" spans="16:16" x14ac:dyDescent="0.35">
      <c r="P13418" s="8"/>
    </row>
    <row r="13419" spans="16:16" x14ac:dyDescent="0.35">
      <c r="P13419" s="8"/>
    </row>
    <row r="13420" spans="16:16" x14ac:dyDescent="0.35">
      <c r="P13420" s="8"/>
    </row>
    <row r="13421" spans="16:16" x14ac:dyDescent="0.35">
      <c r="P13421" s="8"/>
    </row>
    <row r="13422" spans="16:16" x14ac:dyDescent="0.35">
      <c r="P13422" s="8"/>
    </row>
    <row r="13423" spans="16:16" x14ac:dyDescent="0.35">
      <c r="P13423" s="8"/>
    </row>
    <row r="13424" spans="16:16" x14ac:dyDescent="0.35">
      <c r="P13424" s="8"/>
    </row>
    <row r="13425" spans="16:16" x14ac:dyDescent="0.35">
      <c r="P13425" s="8"/>
    </row>
    <row r="13426" spans="16:16" x14ac:dyDescent="0.35">
      <c r="P13426" s="8"/>
    </row>
    <row r="13427" spans="16:16" x14ac:dyDescent="0.35">
      <c r="P13427" s="8"/>
    </row>
    <row r="13428" spans="16:16" x14ac:dyDescent="0.35">
      <c r="P13428" s="8"/>
    </row>
    <row r="13429" spans="16:16" x14ac:dyDescent="0.35">
      <c r="P13429" s="8"/>
    </row>
    <row r="13430" spans="16:16" x14ac:dyDescent="0.35">
      <c r="P13430" s="8"/>
    </row>
    <row r="13431" spans="16:16" x14ac:dyDescent="0.35">
      <c r="P13431" s="8"/>
    </row>
    <row r="13432" spans="16:16" x14ac:dyDescent="0.35">
      <c r="P13432" s="8"/>
    </row>
    <row r="13433" spans="16:16" x14ac:dyDescent="0.35">
      <c r="P13433" s="8"/>
    </row>
    <row r="13434" spans="16:16" x14ac:dyDescent="0.35">
      <c r="P13434" s="8"/>
    </row>
    <row r="13435" spans="16:16" x14ac:dyDescent="0.35">
      <c r="P13435" s="8"/>
    </row>
    <row r="13436" spans="16:16" x14ac:dyDescent="0.35">
      <c r="P13436" s="8"/>
    </row>
    <row r="13437" spans="16:16" x14ac:dyDescent="0.35">
      <c r="P13437" s="8"/>
    </row>
    <row r="13438" spans="16:16" x14ac:dyDescent="0.35">
      <c r="P13438" s="8"/>
    </row>
    <row r="13439" spans="16:16" x14ac:dyDescent="0.35">
      <c r="P13439" s="8"/>
    </row>
    <row r="13440" spans="16:16" x14ac:dyDescent="0.35">
      <c r="P13440" s="8"/>
    </row>
    <row r="13441" spans="16:16" x14ac:dyDescent="0.35">
      <c r="P13441" s="8"/>
    </row>
    <row r="13442" spans="16:16" x14ac:dyDescent="0.35">
      <c r="P13442" s="8"/>
    </row>
    <row r="13443" spans="16:16" x14ac:dyDescent="0.35">
      <c r="P13443" s="8"/>
    </row>
    <row r="13444" spans="16:16" x14ac:dyDescent="0.35">
      <c r="P13444" s="8"/>
    </row>
    <row r="13445" spans="16:16" x14ac:dyDescent="0.35">
      <c r="P13445" s="8"/>
    </row>
    <row r="13446" spans="16:16" x14ac:dyDescent="0.35">
      <c r="P13446" s="8"/>
    </row>
    <row r="13447" spans="16:16" x14ac:dyDescent="0.35">
      <c r="P13447" s="8"/>
    </row>
    <row r="13448" spans="16:16" x14ac:dyDescent="0.35">
      <c r="P13448" s="8"/>
    </row>
    <row r="13449" spans="16:16" x14ac:dyDescent="0.35">
      <c r="P13449" s="8"/>
    </row>
    <row r="13450" spans="16:16" x14ac:dyDescent="0.35">
      <c r="P13450" s="8"/>
    </row>
    <row r="13451" spans="16:16" x14ac:dyDescent="0.35">
      <c r="P13451" s="8"/>
    </row>
    <row r="13452" spans="16:16" x14ac:dyDescent="0.35">
      <c r="P13452" s="8"/>
    </row>
    <row r="13453" spans="16:16" x14ac:dyDescent="0.35">
      <c r="P13453" s="8"/>
    </row>
    <row r="13454" spans="16:16" x14ac:dyDescent="0.35">
      <c r="P13454" s="8"/>
    </row>
    <row r="13455" spans="16:16" x14ac:dyDescent="0.35">
      <c r="P13455" s="8"/>
    </row>
    <row r="13456" spans="16:16" x14ac:dyDescent="0.35">
      <c r="P13456" s="8"/>
    </row>
    <row r="13457" spans="16:16" x14ac:dyDescent="0.35">
      <c r="P13457" s="8"/>
    </row>
    <row r="13458" spans="16:16" x14ac:dyDescent="0.35">
      <c r="P13458" s="8"/>
    </row>
    <row r="13459" spans="16:16" x14ac:dyDescent="0.35">
      <c r="P13459" s="8"/>
    </row>
    <row r="13460" spans="16:16" x14ac:dyDescent="0.35">
      <c r="P13460" s="8"/>
    </row>
    <row r="13461" spans="16:16" x14ac:dyDescent="0.35">
      <c r="P13461" s="8"/>
    </row>
    <row r="13462" spans="16:16" x14ac:dyDescent="0.35">
      <c r="P13462" s="8"/>
    </row>
    <row r="13463" spans="16:16" x14ac:dyDescent="0.35">
      <c r="P13463" s="8"/>
    </row>
    <row r="13464" spans="16:16" x14ac:dyDescent="0.35">
      <c r="P13464" s="8"/>
    </row>
    <row r="13465" spans="16:16" x14ac:dyDescent="0.35">
      <c r="P13465" s="8"/>
    </row>
    <row r="13466" spans="16:16" x14ac:dyDescent="0.35">
      <c r="P13466" s="8"/>
    </row>
    <row r="13467" spans="16:16" x14ac:dyDescent="0.35">
      <c r="P13467" s="8"/>
    </row>
    <row r="13468" spans="16:16" x14ac:dyDescent="0.35">
      <c r="P13468" s="8"/>
    </row>
    <row r="13469" spans="16:16" x14ac:dyDescent="0.35">
      <c r="P13469" s="8"/>
    </row>
    <row r="13470" spans="16:16" x14ac:dyDescent="0.35">
      <c r="P13470" s="8"/>
    </row>
    <row r="13471" spans="16:16" x14ac:dyDescent="0.35">
      <c r="P13471" s="8"/>
    </row>
    <row r="13472" spans="16:16" x14ac:dyDescent="0.35">
      <c r="P13472" s="8"/>
    </row>
    <row r="13473" spans="16:16" x14ac:dyDescent="0.35">
      <c r="P13473" s="8"/>
    </row>
    <row r="13474" spans="16:16" x14ac:dyDescent="0.35">
      <c r="P13474" s="8"/>
    </row>
    <row r="13475" spans="16:16" x14ac:dyDescent="0.35">
      <c r="P13475" s="8"/>
    </row>
    <row r="13476" spans="16:16" x14ac:dyDescent="0.35">
      <c r="P13476" s="8"/>
    </row>
    <row r="13477" spans="16:16" x14ac:dyDescent="0.35">
      <c r="P13477" s="8"/>
    </row>
    <row r="13478" spans="16:16" x14ac:dyDescent="0.35">
      <c r="P13478" s="8"/>
    </row>
    <row r="13479" spans="16:16" x14ac:dyDescent="0.35">
      <c r="P13479" s="8"/>
    </row>
    <row r="13480" spans="16:16" x14ac:dyDescent="0.35">
      <c r="P13480" s="8"/>
    </row>
    <row r="13481" spans="16:16" x14ac:dyDescent="0.35">
      <c r="P13481" s="8"/>
    </row>
    <row r="13482" spans="16:16" x14ac:dyDescent="0.35">
      <c r="P13482" s="8"/>
    </row>
    <row r="13483" spans="16:16" x14ac:dyDescent="0.35">
      <c r="P13483" s="8"/>
    </row>
    <row r="13484" spans="16:16" x14ac:dyDescent="0.35">
      <c r="P13484" s="8"/>
    </row>
    <row r="13485" spans="16:16" x14ac:dyDescent="0.35">
      <c r="P13485" s="8"/>
    </row>
    <row r="13486" spans="16:16" x14ac:dyDescent="0.35">
      <c r="P13486" s="8"/>
    </row>
    <row r="13487" spans="16:16" x14ac:dyDescent="0.35">
      <c r="P13487" s="8"/>
    </row>
    <row r="13488" spans="16:16" x14ac:dyDescent="0.35">
      <c r="P13488" s="8"/>
    </row>
    <row r="13489" spans="16:16" x14ac:dyDescent="0.35">
      <c r="P13489" s="8"/>
    </row>
    <row r="13490" spans="16:16" x14ac:dyDescent="0.35">
      <c r="P13490" s="8"/>
    </row>
    <row r="13491" spans="16:16" x14ac:dyDescent="0.35">
      <c r="P13491" s="8"/>
    </row>
    <row r="13492" spans="16:16" x14ac:dyDescent="0.35">
      <c r="P13492" s="8"/>
    </row>
    <row r="13493" spans="16:16" x14ac:dyDescent="0.35">
      <c r="P13493" s="8"/>
    </row>
    <row r="13494" spans="16:16" x14ac:dyDescent="0.35">
      <c r="P13494" s="8"/>
    </row>
    <row r="13495" spans="16:16" x14ac:dyDescent="0.35">
      <c r="P13495" s="8"/>
    </row>
    <row r="13496" spans="16:16" x14ac:dyDescent="0.35">
      <c r="P13496" s="8"/>
    </row>
    <row r="13497" spans="16:16" x14ac:dyDescent="0.35">
      <c r="P13497" s="8"/>
    </row>
    <row r="13498" spans="16:16" x14ac:dyDescent="0.35">
      <c r="P13498" s="8"/>
    </row>
    <row r="13499" spans="16:16" x14ac:dyDescent="0.35">
      <c r="P13499" s="8"/>
    </row>
    <row r="13500" spans="16:16" x14ac:dyDescent="0.35">
      <c r="P13500" s="8"/>
    </row>
    <row r="13501" spans="16:16" x14ac:dyDescent="0.35">
      <c r="P13501" s="8"/>
    </row>
    <row r="13502" spans="16:16" x14ac:dyDescent="0.35">
      <c r="P13502" s="8"/>
    </row>
    <row r="13503" spans="16:16" x14ac:dyDescent="0.35">
      <c r="P13503" s="8"/>
    </row>
    <row r="13504" spans="16:16" x14ac:dyDescent="0.35">
      <c r="P13504" s="8"/>
    </row>
    <row r="13505" spans="16:16" x14ac:dyDescent="0.35">
      <c r="P13505" s="8"/>
    </row>
    <row r="13506" spans="16:16" x14ac:dyDescent="0.35">
      <c r="P13506" s="8"/>
    </row>
    <row r="13507" spans="16:16" x14ac:dyDescent="0.35">
      <c r="P13507" s="8"/>
    </row>
    <row r="13508" spans="16:16" x14ac:dyDescent="0.35">
      <c r="P13508" s="8"/>
    </row>
    <row r="13509" spans="16:16" x14ac:dyDescent="0.35">
      <c r="P13509" s="8"/>
    </row>
    <row r="13510" spans="16:16" x14ac:dyDescent="0.35">
      <c r="P13510" s="8"/>
    </row>
    <row r="13511" spans="16:16" x14ac:dyDescent="0.35">
      <c r="P13511" s="8"/>
    </row>
    <row r="13512" spans="16:16" x14ac:dyDescent="0.35">
      <c r="P13512" s="8"/>
    </row>
    <row r="13513" spans="16:16" x14ac:dyDescent="0.35">
      <c r="P13513" s="8"/>
    </row>
    <row r="13514" spans="16:16" x14ac:dyDescent="0.35">
      <c r="P13514" s="8"/>
    </row>
    <row r="13515" spans="16:16" x14ac:dyDescent="0.35">
      <c r="P13515" s="8"/>
    </row>
    <row r="13516" spans="16:16" x14ac:dyDescent="0.35">
      <c r="P13516" s="8"/>
    </row>
    <row r="13517" spans="16:16" x14ac:dyDescent="0.35">
      <c r="P13517" s="8"/>
    </row>
    <row r="13518" spans="16:16" x14ac:dyDescent="0.35">
      <c r="P13518" s="8"/>
    </row>
    <row r="13519" spans="16:16" x14ac:dyDescent="0.35">
      <c r="P13519" s="8"/>
    </row>
    <row r="13520" spans="16:16" x14ac:dyDescent="0.35">
      <c r="P13520" s="8"/>
    </row>
    <row r="13521" spans="16:16" x14ac:dyDescent="0.35">
      <c r="P13521" s="8"/>
    </row>
    <row r="13522" spans="16:16" x14ac:dyDescent="0.35">
      <c r="P13522" s="8"/>
    </row>
    <row r="13523" spans="16:16" x14ac:dyDescent="0.35">
      <c r="P13523" s="8"/>
    </row>
    <row r="13524" spans="16:16" x14ac:dyDescent="0.35">
      <c r="P13524" s="8"/>
    </row>
    <row r="13525" spans="16:16" x14ac:dyDescent="0.35">
      <c r="P13525" s="8"/>
    </row>
    <row r="13526" spans="16:16" x14ac:dyDescent="0.35">
      <c r="P13526" s="8"/>
    </row>
    <row r="13527" spans="16:16" x14ac:dyDescent="0.35">
      <c r="P13527" s="8"/>
    </row>
    <row r="13528" spans="16:16" x14ac:dyDescent="0.35">
      <c r="P13528" s="8"/>
    </row>
    <row r="13529" spans="16:16" x14ac:dyDescent="0.35">
      <c r="P13529" s="8"/>
    </row>
    <row r="13530" spans="16:16" x14ac:dyDescent="0.35">
      <c r="P13530" s="8"/>
    </row>
    <row r="13531" spans="16:16" x14ac:dyDescent="0.35">
      <c r="P13531" s="8"/>
    </row>
    <row r="13532" spans="16:16" x14ac:dyDescent="0.35">
      <c r="P13532" s="8"/>
    </row>
    <row r="13533" spans="16:16" x14ac:dyDescent="0.35">
      <c r="P13533" s="8"/>
    </row>
    <row r="13534" spans="16:16" x14ac:dyDescent="0.35">
      <c r="P13534" s="8"/>
    </row>
    <row r="13535" spans="16:16" x14ac:dyDescent="0.35">
      <c r="P13535" s="8"/>
    </row>
    <row r="13536" spans="16:16" x14ac:dyDescent="0.35">
      <c r="P13536" s="8"/>
    </row>
    <row r="13537" spans="16:16" x14ac:dyDescent="0.35">
      <c r="P13537" s="8"/>
    </row>
    <row r="13538" spans="16:16" x14ac:dyDescent="0.35">
      <c r="P13538" s="8"/>
    </row>
    <row r="13539" spans="16:16" x14ac:dyDescent="0.35">
      <c r="P13539" s="8"/>
    </row>
    <row r="13540" spans="16:16" x14ac:dyDescent="0.35">
      <c r="P13540" s="8"/>
    </row>
    <row r="13541" spans="16:16" x14ac:dyDescent="0.35">
      <c r="P13541" s="8"/>
    </row>
    <row r="13542" spans="16:16" x14ac:dyDescent="0.35">
      <c r="P13542" s="8"/>
    </row>
    <row r="13543" spans="16:16" x14ac:dyDescent="0.35">
      <c r="P13543" s="8"/>
    </row>
    <row r="13544" spans="16:16" x14ac:dyDescent="0.35">
      <c r="P13544" s="8"/>
    </row>
    <row r="13545" spans="16:16" x14ac:dyDescent="0.35">
      <c r="P13545" s="8"/>
    </row>
    <row r="13546" spans="16:16" x14ac:dyDescent="0.35">
      <c r="P13546" s="8"/>
    </row>
    <row r="13547" spans="16:16" x14ac:dyDescent="0.35">
      <c r="P13547" s="8"/>
    </row>
    <row r="13548" spans="16:16" x14ac:dyDescent="0.35">
      <c r="P13548" s="8"/>
    </row>
    <row r="13549" spans="16:16" x14ac:dyDescent="0.35">
      <c r="P13549" s="8"/>
    </row>
    <row r="13550" spans="16:16" x14ac:dyDescent="0.35">
      <c r="P13550" s="8"/>
    </row>
    <row r="13551" spans="16:16" x14ac:dyDescent="0.35">
      <c r="P13551" s="8"/>
    </row>
    <row r="13552" spans="16:16" x14ac:dyDescent="0.35">
      <c r="P13552" s="8"/>
    </row>
    <row r="13553" spans="16:16" x14ac:dyDescent="0.35">
      <c r="P13553" s="8"/>
    </row>
    <row r="13554" spans="16:16" x14ac:dyDescent="0.35">
      <c r="P13554" s="8"/>
    </row>
    <row r="13555" spans="16:16" x14ac:dyDescent="0.35">
      <c r="P13555" s="8"/>
    </row>
    <row r="13556" spans="16:16" x14ac:dyDescent="0.35">
      <c r="P13556" s="8"/>
    </row>
    <row r="13557" spans="16:16" x14ac:dyDescent="0.35">
      <c r="P13557" s="8"/>
    </row>
    <row r="13558" spans="16:16" x14ac:dyDescent="0.35">
      <c r="P13558" s="8"/>
    </row>
    <row r="13559" spans="16:16" x14ac:dyDescent="0.35">
      <c r="P13559" s="8"/>
    </row>
    <row r="13560" spans="16:16" x14ac:dyDescent="0.35">
      <c r="P13560" s="8"/>
    </row>
    <row r="13561" spans="16:16" x14ac:dyDescent="0.35">
      <c r="P13561" s="8"/>
    </row>
    <row r="13562" spans="16:16" x14ac:dyDescent="0.35">
      <c r="P13562" s="8"/>
    </row>
    <row r="13563" spans="16:16" x14ac:dyDescent="0.35">
      <c r="P13563" s="8"/>
    </row>
    <row r="13564" spans="16:16" x14ac:dyDescent="0.35">
      <c r="P13564" s="8"/>
    </row>
    <row r="13565" spans="16:16" x14ac:dyDescent="0.35">
      <c r="P13565" s="8"/>
    </row>
    <row r="13566" spans="16:16" x14ac:dyDescent="0.35">
      <c r="P13566" s="8"/>
    </row>
    <row r="13567" spans="16:16" x14ac:dyDescent="0.35">
      <c r="P13567" s="8"/>
    </row>
    <row r="13568" spans="16:16" x14ac:dyDescent="0.35">
      <c r="P13568" s="8"/>
    </row>
    <row r="13569" spans="16:16" x14ac:dyDescent="0.35">
      <c r="P13569" s="8"/>
    </row>
    <row r="13570" spans="16:16" x14ac:dyDescent="0.35">
      <c r="P13570" s="8"/>
    </row>
    <row r="13571" spans="16:16" x14ac:dyDescent="0.35">
      <c r="P13571" s="8"/>
    </row>
    <row r="13572" spans="16:16" x14ac:dyDescent="0.35">
      <c r="P13572" s="8"/>
    </row>
    <row r="13573" spans="16:16" x14ac:dyDescent="0.35">
      <c r="P13573" s="8"/>
    </row>
    <row r="13574" spans="16:16" x14ac:dyDescent="0.35">
      <c r="P13574" s="8"/>
    </row>
    <row r="13575" spans="16:16" x14ac:dyDescent="0.35">
      <c r="P13575" s="8"/>
    </row>
    <row r="13576" spans="16:16" x14ac:dyDescent="0.35">
      <c r="P13576" s="8"/>
    </row>
    <row r="13577" spans="16:16" x14ac:dyDescent="0.35">
      <c r="P13577" s="8"/>
    </row>
    <row r="13578" spans="16:16" x14ac:dyDescent="0.35">
      <c r="P13578" s="8"/>
    </row>
    <row r="13579" spans="16:16" x14ac:dyDescent="0.35">
      <c r="P13579" s="8"/>
    </row>
    <row r="13580" spans="16:16" x14ac:dyDescent="0.35">
      <c r="P13580" s="8"/>
    </row>
    <row r="13581" spans="16:16" x14ac:dyDescent="0.35">
      <c r="P13581" s="8"/>
    </row>
    <row r="13582" spans="16:16" x14ac:dyDescent="0.35">
      <c r="P13582" s="8"/>
    </row>
    <row r="13583" spans="16:16" x14ac:dyDescent="0.35">
      <c r="P13583" s="8"/>
    </row>
    <row r="13584" spans="16:16" x14ac:dyDescent="0.35">
      <c r="P13584" s="8"/>
    </row>
    <row r="13585" spans="16:16" x14ac:dyDescent="0.35">
      <c r="P13585" s="8"/>
    </row>
    <row r="13586" spans="16:16" x14ac:dyDescent="0.35">
      <c r="P13586" s="8"/>
    </row>
    <row r="13587" spans="16:16" x14ac:dyDescent="0.35">
      <c r="P13587" s="8"/>
    </row>
    <row r="13588" spans="16:16" x14ac:dyDescent="0.35">
      <c r="P13588" s="8"/>
    </row>
    <row r="13589" spans="16:16" x14ac:dyDescent="0.35">
      <c r="P13589" s="8"/>
    </row>
    <row r="13590" spans="16:16" x14ac:dyDescent="0.35">
      <c r="P13590" s="8"/>
    </row>
    <row r="13591" spans="16:16" x14ac:dyDescent="0.35">
      <c r="P13591" s="8"/>
    </row>
    <row r="13592" spans="16:16" x14ac:dyDescent="0.35">
      <c r="P13592" s="8"/>
    </row>
    <row r="13593" spans="16:16" x14ac:dyDescent="0.35">
      <c r="P13593" s="8"/>
    </row>
    <row r="13594" spans="16:16" x14ac:dyDescent="0.35">
      <c r="P13594" s="8"/>
    </row>
    <row r="13595" spans="16:16" x14ac:dyDescent="0.35">
      <c r="P13595" s="8"/>
    </row>
    <row r="13596" spans="16:16" x14ac:dyDescent="0.35">
      <c r="P13596" s="8"/>
    </row>
    <row r="13597" spans="16:16" x14ac:dyDescent="0.35">
      <c r="P13597" s="8"/>
    </row>
    <row r="13598" spans="16:16" x14ac:dyDescent="0.35">
      <c r="P13598" s="8"/>
    </row>
    <row r="13599" spans="16:16" x14ac:dyDescent="0.35">
      <c r="P13599" s="8"/>
    </row>
    <row r="13600" spans="16:16" x14ac:dyDescent="0.35">
      <c r="P13600" s="8"/>
    </row>
    <row r="13601" spans="16:16" x14ac:dyDescent="0.35">
      <c r="P13601" s="8"/>
    </row>
    <row r="13602" spans="16:16" x14ac:dyDescent="0.35">
      <c r="P13602" s="8"/>
    </row>
    <row r="13603" spans="16:16" x14ac:dyDescent="0.35">
      <c r="P13603" s="8"/>
    </row>
    <row r="13604" spans="16:16" x14ac:dyDescent="0.35">
      <c r="P13604" s="8"/>
    </row>
    <row r="13605" spans="16:16" x14ac:dyDescent="0.35">
      <c r="P13605" s="8"/>
    </row>
    <row r="13606" spans="16:16" x14ac:dyDescent="0.35">
      <c r="P13606" s="8"/>
    </row>
    <row r="13607" spans="16:16" x14ac:dyDescent="0.35">
      <c r="P13607" s="8"/>
    </row>
    <row r="13608" spans="16:16" x14ac:dyDescent="0.35">
      <c r="P13608" s="8"/>
    </row>
    <row r="13609" spans="16:16" x14ac:dyDescent="0.35">
      <c r="P13609" s="8"/>
    </row>
    <row r="13610" spans="16:16" x14ac:dyDescent="0.35">
      <c r="P13610" s="8"/>
    </row>
    <row r="13611" spans="16:16" x14ac:dyDescent="0.35">
      <c r="P13611" s="8"/>
    </row>
    <row r="13612" spans="16:16" x14ac:dyDescent="0.35">
      <c r="P13612" s="8"/>
    </row>
    <row r="13613" spans="16:16" x14ac:dyDescent="0.35">
      <c r="P13613" s="8"/>
    </row>
    <row r="13614" spans="16:16" x14ac:dyDescent="0.35">
      <c r="P13614" s="8"/>
    </row>
    <row r="13615" spans="16:16" x14ac:dyDescent="0.35">
      <c r="P13615" s="8"/>
    </row>
    <row r="13616" spans="16:16" x14ac:dyDescent="0.35">
      <c r="P13616" s="8"/>
    </row>
    <row r="13617" spans="16:16" x14ac:dyDescent="0.35">
      <c r="P13617" s="8"/>
    </row>
    <row r="13618" spans="16:16" x14ac:dyDescent="0.35">
      <c r="P13618" s="8"/>
    </row>
    <row r="13619" spans="16:16" x14ac:dyDescent="0.35">
      <c r="P13619" s="8"/>
    </row>
    <row r="13620" spans="16:16" x14ac:dyDescent="0.35">
      <c r="P13620" s="8"/>
    </row>
    <row r="13621" spans="16:16" x14ac:dyDescent="0.35">
      <c r="P13621" s="8"/>
    </row>
    <row r="13622" spans="16:16" x14ac:dyDescent="0.35">
      <c r="P13622" s="8"/>
    </row>
    <row r="13623" spans="16:16" x14ac:dyDescent="0.35">
      <c r="P13623" s="8"/>
    </row>
    <row r="13624" spans="16:16" x14ac:dyDescent="0.35">
      <c r="P13624" s="8"/>
    </row>
    <row r="13625" spans="16:16" x14ac:dyDescent="0.35">
      <c r="P13625" s="8"/>
    </row>
    <row r="13626" spans="16:16" x14ac:dyDescent="0.35">
      <c r="P13626" s="8"/>
    </row>
    <row r="13627" spans="16:16" x14ac:dyDescent="0.35">
      <c r="P13627" s="8"/>
    </row>
    <row r="13628" spans="16:16" x14ac:dyDescent="0.35">
      <c r="P13628" s="8"/>
    </row>
    <row r="13629" spans="16:16" x14ac:dyDescent="0.35">
      <c r="P13629" s="8"/>
    </row>
    <row r="13630" spans="16:16" x14ac:dyDescent="0.35">
      <c r="P13630" s="8"/>
    </row>
    <row r="13631" spans="16:16" x14ac:dyDescent="0.35">
      <c r="P13631" s="8"/>
    </row>
    <row r="13632" spans="16:16" x14ac:dyDescent="0.35">
      <c r="P13632" s="8"/>
    </row>
    <row r="13633" spans="16:16" x14ac:dyDescent="0.35">
      <c r="P13633" s="8"/>
    </row>
    <row r="13634" spans="16:16" x14ac:dyDescent="0.35">
      <c r="P13634" s="8"/>
    </row>
    <row r="13635" spans="16:16" x14ac:dyDescent="0.35">
      <c r="P13635" s="8"/>
    </row>
    <row r="13636" spans="16:16" x14ac:dyDescent="0.35">
      <c r="P13636" s="8"/>
    </row>
    <row r="13637" spans="16:16" x14ac:dyDescent="0.35">
      <c r="P13637" s="8"/>
    </row>
    <row r="13638" spans="16:16" x14ac:dyDescent="0.35">
      <c r="P13638" s="8"/>
    </row>
    <row r="13639" spans="16:16" x14ac:dyDescent="0.35">
      <c r="P13639" s="8"/>
    </row>
    <row r="13640" spans="16:16" x14ac:dyDescent="0.35">
      <c r="P13640" s="8"/>
    </row>
    <row r="13641" spans="16:16" x14ac:dyDescent="0.35">
      <c r="P13641" s="8"/>
    </row>
    <row r="13642" spans="16:16" x14ac:dyDescent="0.35">
      <c r="P13642" s="8"/>
    </row>
    <row r="13643" spans="16:16" x14ac:dyDescent="0.35">
      <c r="P13643" s="8"/>
    </row>
    <row r="13644" spans="16:16" x14ac:dyDescent="0.35">
      <c r="P13644" s="8"/>
    </row>
    <row r="13645" spans="16:16" x14ac:dyDescent="0.35">
      <c r="P13645" s="8"/>
    </row>
    <row r="13646" spans="16:16" x14ac:dyDescent="0.35">
      <c r="P13646" s="8"/>
    </row>
    <row r="13647" spans="16:16" x14ac:dyDescent="0.35">
      <c r="P13647" s="8"/>
    </row>
    <row r="13648" spans="16:16" x14ac:dyDescent="0.35">
      <c r="P13648" s="8"/>
    </row>
    <row r="13649" spans="16:16" x14ac:dyDescent="0.35">
      <c r="P13649" s="8"/>
    </row>
    <row r="13650" spans="16:16" x14ac:dyDescent="0.35">
      <c r="P13650" s="8"/>
    </row>
    <row r="13651" spans="16:16" x14ac:dyDescent="0.35">
      <c r="P13651" s="8"/>
    </row>
    <row r="13652" spans="16:16" x14ac:dyDescent="0.35">
      <c r="P13652" s="8"/>
    </row>
    <row r="13653" spans="16:16" x14ac:dyDescent="0.35">
      <c r="P13653" s="8"/>
    </row>
    <row r="13654" spans="16:16" x14ac:dyDescent="0.35">
      <c r="P13654" s="8"/>
    </row>
    <row r="13655" spans="16:16" x14ac:dyDescent="0.35">
      <c r="P13655" s="8"/>
    </row>
    <row r="13656" spans="16:16" x14ac:dyDescent="0.35">
      <c r="P13656" s="8"/>
    </row>
    <row r="13657" spans="16:16" x14ac:dyDescent="0.35">
      <c r="P13657" s="8"/>
    </row>
    <row r="13658" spans="16:16" x14ac:dyDescent="0.35">
      <c r="P13658" s="8"/>
    </row>
    <row r="13659" spans="16:16" x14ac:dyDescent="0.35">
      <c r="P13659" s="8"/>
    </row>
    <row r="13660" spans="16:16" x14ac:dyDescent="0.35">
      <c r="P13660" s="8"/>
    </row>
    <row r="13661" spans="16:16" x14ac:dyDescent="0.35">
      <c r="P13661" s="8"/>
    </row>
    <row r="13662" spans="16:16" x14ac:dyDescent="0.35">
      <c r="P13662" s="8"/>
    </row>
    <row r="13663" spans="16:16" x14ac:dyDescent="0.35">
      <c r="P13663" s="8"/>
    </row>
    <row r="13664" spans="16:16" x14ac:dyDescent="0.35">
      <c r="P13664" s="8"/>
    </row>
    <row r="13665" spans="16:16" x14ac:dyDescent="0.35">
      <c r="P13665" s="8"/>
    </row>
    <row r="13666" spans="16:16" x14ac:dyDescent="0.35">
      <c r="P13666" s="8"/>
    </row>
    <row r="13667" spans="16:16" x14ac:dyDescent="0.35">
      <c r="P13667" s="8"/>
    </row>
    <row r="13668" spans="16:16" x14ac:dyDescent="0.35">
      <c r="P13668" s="8"/>
    </row>
    <row r="13669" spans="16:16" x14ac:dyDescent="0.35">
      <c r="P13669" s="8"/>
    </row>
    <row r="13670" spans="16:16" x14ac:dyDescent="0.35">
      <c r="P13670" s="8"/>
    </row>
    <row r="13671" spans="16:16" x14ac:dyDescent="0.35">
      <c r="P13671" s="8"/>
    </row>
    <row r="13672" spans="16:16" x14ac:dyDescent="0.35">
      <c r="P13672" s="8"/>
    </row>
    <row r="13673" spans="16:16" x14ac:dyDescent="0.35">
      <c r="P13673" s="8"/>
    </row>
    <row r="13674" spans="16:16" x14ac:dyDescent="0.35">
      <c r="P13674" s="8"/>
    </row>
    <row r="13675" spans="16:16" x14ac:dyDescent="0.35">
      <c r="P13675" s="8"/>
    </row>
    <row r="13676" spans="16:16" x14ac:dyDescent="0.35">
      <c r="P13676" s="8"/>
    </row>
    <row r="13677" spans="16:16" x14ac:dyDescent="0.35">
      <c r="P13677" s="8"/>
    </row>
    <row r="13678" spans="16:16" x14ac:dyDescent="0.35">
      <c r="P13678" s="8"/>
    </row>
    <row r="13679" spans="16:16" x14ac:dyDescent="0.35">
      <c r="P13679" s="8"/>
    </row>
    <row r="13680" spans="16:16" x14ac:dyDescent="0.35">
      <c r="P13680" s="8"/>
    </row>
    <row r="13681" spans="16:16" x14ac:dyDescent="0.35">
      <c r="P13681" s="8"/>
    </row>
    <row r="13682" spans="16:16" x14ac:dyDescent="0.35">
      <c r="P13682" s="8"/>
    </row>
    <row r="13683" spans="16:16" x14ac:dyDescent="0.35">
      <c r="P13683" s="8"/>
    </row>
    <row r="13684" spans="16:16" x14ac:dyDescent="0.35">
      <c r="P13684" s="8"/>
    </row>
    <row r="13685" spans="16:16" x14ac:dyDescent="0.35">
      <c r="P13685" s="8"/>
    </row>
    <row r="13686" spans="16:16" x14ac:dyDescent="0.35">
      <c r="P13686" s="8"/>
    </row>
    <row r="13687" spans="16:16" x14ac:dyDescent="0.35">
      <c r="P13687" s="8"/>
    </row>
    <row r="13688" spans="16:16" x14ac:dyDescent="0.35">
      <c r="P13688" s="8"/>
    </row>
    <row r="13689" spans="16:16" x14ac:dyDescent="0.35">
      <c r="P13689" s="8"/>
    </row>
    <row r="13690" spans="16:16" x14ac:dyDescent="0.35">
      <c r="P13690" s="8"/>
    </row>
    <row r="13691" spans="16:16" x14ac:dyDescent="0.35">
      <c r="P13691" s="8"/>
    </row>
    <row r="13692" spans="16:16" x14ac:dyDescent="0.35">
      <c r="P13692" s="8"/>
    </row>
    <row r="13693" spans="16:16" x14ac:dyDescent="0.35">
      <c r="P13693" s="8"/>
    </row>
    <row r="13694" spans="16:16" x14ac:dyDescent="0.35">
      <c r="P13694" s="8"/>
    </row>
    <row r="13695" spans="16:16" x14ac:dyDescent="0.35">
      <c r="P13695" s="8"/>
    </row>
    <row r="13696" spans="16:16" x14ac:dyDescent="0.35">
      <c r="P13696" s="8"/>
    </row>
    <row r="13697" spans="16:16" x14ac:dyDescent="0.35">
      <c r="P13697" s="8"/>
    </row>
    <row r="13698" spans="16:16" x14ac:dyDescent="0.35">
      <c r="P13698" s="8"/>
    </row>
    <row r="13699" spans="16:16" x14ac:dyDescent="0.35">
      <c r="P13699" s="8"/>
    </row>
    <row r="13700" spans="16:16" x14ac:dyDescent="0.35">
      <c r="P13700" s="8"/>
    </row>
    <row r="13701" spans="16:16" x14ac:dyDescent="0.35">
      <c r="P13701" s="8"/>
    </row>
    <row r="13702" spans="16:16" x14ac:dyDescent="0.35">
      <c r="P13702" s="8"/>
    </row>
    <row r="13703" spans="16:16" x14ac:dyDescent="0.35">
      <c r="P13703" s="8"/>
    </row>
    <row r="13704" spans="16:16" x14ac:dyDescent="0.35">
      <c r="P13704" s="8"/>
    </row>
    <row r="13705" spans="16:16" x14ac:dyDescent="0.35">
      <c r="P13705" s="8"/>
    </row>
    <row r="13706" spans="16:16" x14ac:dyDescent="0.35">
      <c r="P13706" s="8"/>
    </row>
    <row r="13707" spans="16:16" x14ac:dyDescent="0.35">
      <c r="P13707" s="8"/>
    </row>
    <row r="13708" spans="16:16" x14ac:dyDescent="0.35">
      <c r="P13708" s="8"/>
    </row>
    <row r="13709" spans="16:16" x14ac:dyDescent="0.35">
      <c r="P13709" s="8"/>
    </row>
    <row r="13710" spans="16:16" x14ac:dyDescent="0.35">
      <c r="P13710" s="8"/>
    </row>
    <row r="13711" spans="16:16" x14ac:dyDescent="0.35">
      <c r="P13711" s="8"/>
    </row>
    <row r="13712" spans="16:16" x14ac:dyDescent="0.35">
      <c r="P13712" s="8"/>
    </row>
    <row r="13713" spans="16:16" x14ac:dyDescent="0.35">
      <c r="P13713" s="8"/>
    </row>
    <row r="13714" spans="16:16" x14ac:dyDescent="0.35">
      <c r="P13714" s="8"/>
    </row>
    <row r="13715" spans="16:16" x14ac:dyDescent="0.35">
      <c r="P13715" s="8"/>
    </row>
    <row r="13716" spans="16:16" x14ac:dyDescent="0.35">
      <c r="P13716" s="8"/>
    </row>
    <row r="13717" spans="16:16" x14ac:dyDescent="0.35">
      <c r="P13717" s="8"/>
    </row>
    <row r="13718" spans="16:16" x14ac:dyDescent="0.35">
      <c r="P13718" s="8"/>
    </row>
    <row r="13719" spans="16:16" x14ac:dyDescent="0.35">
      <c r="P13719" s="8"/>
    </row>
    <row r="13720" spans="16:16" x14ac:dyDescent="0.35">
      <c r="P13720" s="8"/>
    </row>
    <row r="13721" spans="16:16" x14ac:dyDescent="0.35">
      <c r="P13721" s="8"/>
    </row>
    <row r="13722" spans="16:16" x14ac:dyDescent="0.35">
      <c r="P13722" s="8"/>
    </row>
    <row r="13723" spans="16:16" x14ac:dyDescent="0.35">
      <c r="P13723" s="8"/>
    </row>
    <row r="13724" spans="16:16" x14ac:dyDescent="0.35">
      <c r="P13724" s="8"/>
    </row>
    <row r="13725" spans="16:16" x14ac:dyDescent="0.35">
      <c r="P13725" s="8"/>
    </row>
    <row r="13726" spans="16:16" x14ac:dyDescent="0.35">
      <c r="P13726" s="8"/>
    </row>
    <row r="13727" spans="16:16" x14ac:dyDescent="0.35">
      <c r="P13727" s="8"/>
    </row>
    <row r="13728" spans="16:16" x14ac:dyDescent="0.35">
      <c r="P13728" s="8"/>
    </row>
    <row r="13729" spans="16:16" x14ac:dyDescent="0.35">
      <c r="P13729" s="8"/>
    </row>
    <row r="13730" spans="16:16" x14ac:dyDescent="0.35">
      <c r="P13730" s="8"/>
    </row>
    <row r="13731" spans="16:16" x14ac:dyDescent="0.35">
      <c r="P13731" s="8"/>
    </row>
    <row r="13732" spans="16:16" x14ac:dyDescent="0.35">
      <c r="P13732" s="8"/>
    </row>
    <row r="13733" spans="16:16" x14ac:dyDescent="0.35">
      <c r="P13733" s="8"/>
    </row>
    <row r="13734" spans="16:16" x14ac:dyDescent="0.35">
      <c r="P13734" s="8"/>
    </row>
    <row r="13735" spans="16:16" x14ac:dyDescent="0.35">
      <c r="P13735" s="8"/>
    </row>
    <row r="13736" spans="16:16" x14ac:dyDescent="0.35">
      <c r="P13736" s="8"/>
    </row>
    <row r="13737" spans="16:16" x14ac:dyDescent="0.35">
      <c r="P13737" s="8"/>
    </row>
    <row r="13738" spans="16:16" x14ac:dyDescent="0.35">
      <c r="P13738" s="8"/>
    </row>
    <row r="13739" spans="16:16" x14ac:dyDescent="0.35">
      <c r="P13739" s="8"/>
    </row>
    <row r="13740" spans="16:16" x14ac:dyDescent="0.35">
      <c r="P13740" s="8"/>
    </row>
    <row r="13741" spans="16:16" x14ac:dyDescent="0.35">
      <c r="P13741" s="8"/>
    </row>
    <row r="13742" spans="16:16" x14ac:dyDescent="0.35">
      <c r="P13742" s="8"/>
    </row>
    <row r="13743" spans="16:16" x14ac:dyDescent="0.35">
      <c r="P13743" s="8"/>
    </row>
    <row r="13744" spans="16:16" x14ac:dyDescent="0.35">
      <c r="P13744" s="8"/>
    </row>
    <row r="13745" spans="16:16" x14ac:dyDescent="0.35">
      <c r="P13745" s="8"/>
    </row>
    <row r="13746" spans="16:16" x14ac:dyDescent="0.35">
      <c r="P13746" s="8"/>
    </row>
    <row r="13747" spans="16:16" x14ac:dyDescent="0.35">
      <c r="P13747" s="8"/>
    </row>
    <row r="13748" spans="16:16" x14ac:dyDescent="0.35">
      <c r="P13748" s="8"/>
    </row>
    <row r="13749" spans="16:16" x14ac:dyDescent="0.35">
      <c r="P13749" s="8"/>
    </row>
    <row r="13750" spans="16:16" x14ac:dyDescent="0.35">
      <c r="P13750" s="8"/>
    </row>
    <row r="13751" spans="16:16" x14ac:dyDescent="0.35">
      <c r="P13751" s="8"/>
    </row>
    <row r="13752" spans="16:16" x14ac:dyDescent="0.35">
      <c r="P13752" s="8"/>
    </row>
    <row r="13753" spans="16:16" x14ac:dyDescent="0.35">
      <c r="P13753" s="8"/>
    </row>
    <row r="13754" spans="16:16" x14ac:dyDescent="0.35">
      <c r="P13754" s="8"/>
    </row>
    <row r="13755" spans="16:16" x14ac:dyDescent="0.35">
      <c r="P13755" s="8"/>
    </row>
    <row r="13756" spans="16:16" x14ac:dyDescent="0.35">
      <c r="P13756" s="8"/>
    </row>
    <row r="13757" spans="16:16" x14ac:dyDescent="0.35">
      <c r="P13757" s="8"/>
    </row>
    <row r="13758" spans="16:16" x14ac:dyDescent="0.35">
      <c r="P13758" s="8"/>
    </row>
    <row r="13759" spans="16:16" x14ac:dyDescent="0.35">
      <c r="P13759" s="8"/>
    </row>
    <row r="13760" spans="16:16" x14ac:dyDescent="0.35">
      <c r="P13760" s="8"/>
    </row>
    <row r="13761" spans="16:16" x14ac:dyDescent="0.35">
      <c r="P13761" s="8"/>
    </row>
    <row r="13762" spans="16:16" x14ac:dyDescent="0.35">
      <c r="P13762" s="8"/>
    </row>
    <row r="13763" spans="16:16" x14ac:dyDescent="0.35">
      <c r="P13763" s="8"/>
    </row>
    <row r="13764" spans="16:16" x14ac:dyDescent="0.35">
      <c r="P13764" s="8"/>
    </row>
    <row r="13765" spans="16:16" x14ac:dyDescent="0.35">
      <c r="P13765" s="8"/>
    </row>
    <row r="13766" spans="16:16" x14ac:dyDescent="0.35">
      <c r="P13766" s="8"/>
    </row>
    <row r="13767" spans="16:16" x14ac:dyDescent="0.35">
      <c r="P13767" s="8"/>
    </row>
    <row r="13768" spans="16:16" x14ac:dyDescent="0.35">
      <c r="P13768" s="8"/>
    </row>
    <row r="13769" spans="16:16" x14ac:dyDescent="0.35">
      <c r="P13769" s="8"/>
    </row>
    <row r="13770" spans="16:16" x14ac:dyDescent="0.35">
      <c r="P13770" s="8"/>
    </row>
    <row r="13771" spans="16:16" x14ac:dyDescent="0.35">
      <c r="P13771" s="8"/>
    </row>
    <row r="13772" spans="16:16" x14ac:dyDescent="0.35">
      <c r="P13772" s="8"/>
    </row>
    <row r="13773" spans="16:16" x14ac:dyDescent="0.35">
      <c r="P13773" s="8"/>
    </row>
    <row r="13774" spans="16:16" x14ac:dyDescent="0.35">
      <c r="P13774" s="8"/>
    </row>
    <row r="13775" spans="16:16" x14ac:dyDescent="0.35">
      <c r="P13775" s="8"/>
    </row>
    <row r="13776" spans="16:16" x14ac:dyDescent="0.35">
      <c r="P13776" s="8"/>
    </row>
    <row r="13777" spans="16:16" x14ac:dyDescent="0.35">
      <c r="P13777" s="8"/>
    </row>
    <row r="13778" spans="16:16" x14ac:dyDescent="0.35">
      <c r="P13778" s="8"/>
    </row>
    <row r="13779" spans="16:16" x14ac:dyDescent="0.35">
      <c r="P13779" s="8"/>
    </row>
    <row r="13780" spans="16:16" x14ac:dyDescent="0.35">
      <c r="P13780" s="8"/>
    </row>
    <row r="13781" spans="16:16" x14ac:dyDescent="0.35">
      <c r="P13781" s="8"/>
    </row>
    <row r="13782" spans="16:16" x14ac:dyDescent="0.35">
      <c r="P13782" s="8"/>
    </row>
    <row r="13783" spans="16:16" x14ac:dyDescent="0.35">
      <c r="P13783" s="8"/>
    </row>
    <row r="13784" spans="16:16" x14ac:dyDescent="0.35">
      <c r="P13784" s="8"/>
    </row>
    <row r="13785" spans="16:16" x14ac:dyDescent="0.35">
      <c r="P13785" s="8"/>
    </row>
    <row r="13786" spans="16:16" x14ac:dyDescent="0.35">
      <c r="P13786" s="8"/>
    </row>
    <row r="13787" spans="16:16" x14ac:dyDescent="0.35">
      <c r="P13787" s="8"/>
    </row>
    <row r="13788" spans="16:16" x14ac:dyDescent="0.35">
      <c r="P13788" s="8"/>
    </row>
    <row r="13789" spans="16:16" x14ac:dyDescent="0.35">
      <c r="P13789" s="8"/>
    </row>
    <row r="13790" spans="16:16" x14ac:dyDescent="0.35">
      <c r="P13790" s="8"/>
    </row>
    <row r="13791" spans="16:16" x14ac:dyDescent="0.35">
      <c r="P13791" s="8"/>
    </row>
    <row r="13792" spans="16:16" x14ac:dyDescent="0.35">
      <c r="P13792" s="8"/>
    </row>
    <row r="13793" spans="16:16" x14ac:dyDescent="0.35">
      <c r="P13793" s="8"/>
    </row>
    <row r="13794" spans="16:16" x14ac:dyDescent="0.35">
      <c r="P13794" s="8"/>
    </row>
    <row r="13795" spans="16:16" x14ac:dyDescent="0.35">
      <c r="P13795" s="8"/>
    </row>
    <row r="13796" spans="16:16" x14ac:dyDescent="0.35">
      <c r="P13796" s="8"/>
    </row>
    <row r="13797" spans="16:16" x14ac:dyDescent="0.35">
      <c r="P13797" s="8"/>
    </row>
    <row r="13798" spans="16:16" x14ac:dyDescent="0.35">
      <c r="P13798" s="8"/>
    </row>
    <row r="13799" spans="16:16" x14ac:dyDescent="0.35">
      <c r="P13799" s="8"/>
    </row>
    <row r="13800" spans="16:16" x14ac:dyDescent="0.35">
      <c r="P13800" s="8"/>
    </row>
    <row r="13801" spans="16:16" x14ac:dyDescent="0.35">
      <c r="P13801" s="8"/>
    </row>
    <row r="13802" spans="16:16" x14ac:dyDescent="0.35">
      <c r="P13802" s="8"/>
    </row>
    <row r="13803" spans="16:16" x14ac:dyDescent="0.35">
      <c r="P13803" s="8"/>
    </row>
    <row r="13804" spans="16:16" x14ac:dyDescent="0.35">
      <c r="P13804" s="8"/>
    </row>
    <row r="13805" spans="16:16" x14ac:dyDescent="0.35">
      <c r="P13805" s="8"/>
    </row>
    <row r="13806" spans="16:16" x14ac:dyDescent="0.35">
      <c r="P13806" s="8"/>
    </row>
    <row r="13807" spans="16:16" x14ac:dyDescent="0.35">
      <c r="P13807" s="8"/>
    </row>
    <row r="13808" spans="16:16" x14ac:dyDescent="0.35">
      <c r="P13808" s="8"/>
    </row>
    <row r="13809" spans="16:16" x14ac:dyDescent="0.35">
      <c r="P13809" s="8"/>
    </row>
    <row r="13810" spans="16:16" x14ac:dyDescent="0.35">
      <c r="P13810" s="8"/>
    </row>
    <row r="13811" spans="16:16" x14ac:dyDescent="0.35">
      <c r="P13811" s="8"/>
    </row>
    <row r="13812" spans="16:16" x14ac:dyDescent="0.35">
      <c r="P13812" s="8"/>
    </row>
    <row r="13813" spans="16:16" x14ac:dyDescent="0.35">
      <c r="P13813" s="8"/>
    </row>
    <row r="13814" spans="16:16" x14ac:dyDescent="0.35">
      <c r="P13814" s="8"/>
    </row>
    <row r="13815" spans="16:16" x14ac:dyDescent="0.35">
      <c r="P13815" s="8"/>
    </row>
    <row r="13816" spans="16:16" x14ac:dyDescent="0.35">
      <c r="P13816" s="8"/>
    </row>
    <row r="13817" spans="16:16" x14ac:dyDescent="0.35">
      <c r="P13817" s="8"/>
    </row>
    <row r="13818" spans="16:16" x14ac:dyDescent="0.35">
      <c r="P13818" s="8"/>
    </row>
    <row r="13819" spans="16:16" x14ac:dyDescent="0.35">
      <c r="P13819" s="8"/>
    </row>
    <row r="13820" spans="16:16" x14ac:dyDescent="0.35">
      <c r="P13820" s="8"/>
    </row>
    <row r="13821" spans="16:16" x14ac:dyDescent="0.35">
      <c r="P13821" s="8"/>
    </row>
    <row r="13822" spans="16:16" x14ac:dyDescent="0.35">
      <c r="P13822" s="8"/>
    </row>
    <row r="13823" spans="16:16" x14ac:dyDescent="0.35">
      <c r="P13823" s="8"/>
    </row>
    <row r="13824" spans="16:16" x14ac:dyDescent="0.35">
      <c r="P13824" s="8"/>
    </row>
    <row r="13825" spans="16:16" x14ac:dyDescent="0.35">
      <c r="P13825" s="8"/>
    </row>
    <row r="13826" spans="16:16" x14ac:dyDescent="0.35">
      <c r="P13826" s="8"/>
    </row>
    <row r="13827" spans="16:16" x14ac:dyDescent="0.35">
      <c r="P13827" s="8"/>
    </row>
    <row r="13828" spans="16:16" x14ac:dyDescent="0.35">
      <c r="P13828" s="8"/>
    </row>
    <row r="13829" spans="16:16" x14ac:dyDescent="0.35">
      <c r="P13829" s="8"/>
    </row>
    <row r="13830" spans="16:16" x14ac:dyDescent="0.35">
      <c r="P13830" s="8"/>
    </row>
    <row r="13831" spans="16:16" x14ac:dyDescent="0.35">
      <c r="P13831" s="8"/>
    </row>
    <row r="13832" spans="16:16" x14ac:dyDescent="0.35">
      <c r="P13832" s="8"/>
    </row>
    <row r="13833" spans="16:16" x14ac:dyDescent="0.35">
      <c r="P13833" s="8"/>
    </row>
    <row r="13834" spans="16:16" x14ac:dyDescent="0.35">
      <c r="P13834" s="8"/>
    </row>
    <row r="13835" spans="16:16" x14ac:dyDescent="0.35">
      <c r="P13835" s="8"/>
    </row>
    <row r="13836" spans="16:16" x14ac:dyDescent="0.35">
      <c r="P13836" s="8"/>
    </row>
    <row r="13837" spans="16:16" x14ac:dyDescent="0.35">
      <c r="P13837" s="8"/>
    </row>
    <row r="13838" spans="16:16" x14ac:dyDescent="0.35">
      <c r="P13838" s="8"/>
    </row>
    <row r="13839" spans="16:16" x14ac:dyDescent="0.35">
      <c r="P13839" s="8"/>
    </row>
    <row r="13840" spans="16:16" x14ac:dyDescent="0.35">
      <c r="P13840" s="8"/>
    </row>
    <row r="13841" spans="16:16" x14ac:dyDescent="0.35">
      <c r="P13841" s="8"/>
    </row>
    <row r="13842" spans="16:16" x14ac:dyDescent="0.35">
      <c r="P13842" s="8"/>
    </row>
    <row r="13843" spans="16:16" x14ac:dyDescent="0.35">
      <c r="P13843" s="8"/>
    </row>
    <row r="13844" spans="16:16" x14ac:dyDescent="0.35">
      <c r="P13844" s="8"/>
    </row>
    <row r="13845" spans="16:16" x14ac:dyDescent="0.35">
      <c r="P13845" s="8"/>
    </row>
    <row r="13846" spans="16:16" x14ac:dyDescent="0.35">
      <c r="P13846" s="8"/>
    </row>
    <row r="13847" spans="16:16" x14ac:dyDescent="0.35">
      <c r="P13847" s="8"/>
    </row>
    <row r="13848" spans="16:16" x14ac:dyDescent="0.35">
      <c r="P13848" s="8"/>
    </row>
    <row r="13849" spans="16:16" x14ac:dyDescent="0.35">
      <c r="P13849" s="8"/>
    </row>
    <row r="13850" spans="16:16" x14ac:dyDescent="0.35">
      <c r="P13850" s="8"/>
    </row>
    <row r="13851" spans="16:16" x14ac:dyDescent="0.35">
      <c r="P13851" s="8"/>
    </row>
    <row r="13852" spans="16:16" x14ac:dyDescent="0.35">
      <c r="P13852" s="8"/>
    </row>
    <row r="13853" spans="16:16" x14ac:dyDescent="0.35">
      <c r="P13853" s="8"/>
    </row>
    <row r="13854" spans="16:16" x14ac:dyDescent="0.35">
      <c r="P13854" s="8"/>
    </row>
    <row r="13855" spans="16:16" x14ac:dyDescent="0.35">
      <c r="P13855" s="8"/>
    </row>
    <row r="13856" spans="16:16" x14ac:dyDescent="0.35">
      <c r="P13856" s="8"/>
    </row>
    <row r="13857" spans="16:16" x14ac:dyDescent="0.35">
      <c r="P13857" s="8"/>
    </row>
    <row r="13858" spans="16:16" x14ac:dyDescent="0.35">
      <c r="P13858" s="8"/>
    </row>
    <row r="13859" spans="16:16" x14ac:dyDescent="0.35">
      <c r="P13859" s="8"/>
    </row>
    <row r="13860" spans="16:16" x14ac:dyDescent="0.35">
      <c r="P13860" s="8"/>
    </row>
    <row r="13861" spans="16:16" x14ac:dyDescent="0.35">
      <c r="P13861" s="8"/>
    </row>
    <row r="13862" spans="16:16" x14ac:dyDescent="0.35">
      <c r="P13862" s="8"/>
    </row>
    <row r="13863" spans="16:16" x14ac:dyDescent="0.35">
      <c r="P13863" s="8"/>
    </row>
    <row r="13864" spans="16:16" x14ac:dyDescent="0.35">
      <c r="P13864" s="8"/>
    </row>
    <row r="13865" spans="16:16" x14ac:dyDescent="0.35">
      <c r="P13865" s="8"/>
    </row>
    <row r="13866" spans="16:16" x14ac:dyDescent="0.35">
      <c r="P13866" s="8"/>
    </row>
    <row r="13867" spans="16:16" x14ac:dyDescent="0.35">
      <c r="P13867" s="8"/>
    </row>
    <row r="13868" spans="16:16" x14ac:dyDescent="0.35">
      <c r="P13868" s="8"/>
    </row>
    <row r="13869" spans="16:16" x14ac:dyDescent="0.35">
      <c r="P13869" s="8"/>
    </row>
    <row r="13870" spans="16:16" x14ac:dyDescent="0.35">
      <c r="P13870" s="8"/>
    </row>
    <row r="13871" spans="16:16" x14ac:dyDescent="0.35">
      <c r="P13871" s="8"/>
    </row>
    <row r="13872" spans="16:16" x14ac:dyDescent="0.35">
      <c r="P13872" s="8"/>
    </row>
    <row r="13873" spans="16:16" x14ac:dyDescent="0.35">
      <c r="P13873" s="8"/>
    </row>
    <row r="13874" spans="16:16" x14ac:dyDescent="0.35">
      <c r="P13874" s="8"/>
    </row>
    <row r="13875" spans="16:16" x14ac:dyDescent="0.35">
      <c r="P13875" s="8"/>
    </row>
    <row r="13876" spans="16:16" x14ac:dyDescent="0.35">
      <c r="P13876" s="8"/>
    </row>
    <row r="13877" spans="16:16" x14ac:dyDescent="0.35">
      <c r="P13877" s="8"/>
    </row>
    <row r="13878" spans="16:16" x14ac:dyDescent="0.35">
      <c r="P13878" s="8"/>
    </row>
    <row r="13879" spans="16:16" x14ac:dyDescent="0.35">
      <c r="P13879" s="8"/>
    </row>
    <row r="13880" spans="16:16" x14ac:dyDescent="0.35">
      <c r="P13880" s="8"/>
    </row>
    <row r="13881" spans="16:16" x14ac:dyDescent="0.35">
      <c r="P13881" s="8"/>
    </row>
    <row r="13882" spans="16:16" x14ac:dyDescent="0.35">
      <c r="P13882" s="8"/>
    </row>
    <row r="13883" spans="16:16" x14ac:dyDescent="0.35">
      <c r="P13883" s="8"/>
    </row>
    <row r="13884" spans="16:16" x14ac:dyDescent="0.35">
      <c r="P13884" s="8"/>
    </row>
    <row r="13885" spans="16:16" x14ac:dyDescent="0.35">
      <c r="P13885" s="8"/>
    </row>
    <row r="13886" spans="16:16" x14ac:dyDescent="0.35">
      <c r="P13886" s="8"/>
    </row>
    <row r="13887" spans="16:16" x14ac:dyDescent="0.35">
      <c r="P13887" s="8"/>
    </row>
    <row r="13888" spans="16:16" x14ac:dyDescent="0.35">
      <c r="P13888" s="8"/>
    </row>
    <row r="13889" spans="16:16" x14ac:dyDescent="0.35">
      <c r="P13889" s="8"/>
    </row>
    <row r="13890" spans="16:16" x14ac:dyDescent="0.35">
      <c r="P13890" s="8"/>
    </row>
    <row r="13891" spans="16:16" x14ac:dyDescent="0.35">
      <c r="P13891" s="8"/>
    </row>
    <row r="13892" spans="16:16" x14ac:dyDescent="0.35">
      <c r="P13892" s="8"/>
    </row>
    <row r="13893" spans="16:16" x14ac:dyDescent="0.35">
      <c r="P13893" s="8"/>
    </row>
    <row r="13894" spans="16:16" x14ac:dyDescent="0.35">
      <c r="P13894" s="8"/>
    </row>
    <row r="13895" spans="16:16" x14ac:dyDescent="0.35">
      <c r="P13895" s="8"/>
    </row>
    <row r="13896" spans="16:16" x14ac:dyDescent="0.35">
      <c r="P13896" s="8"/>
    </row>
    <row r="13897" spans="16:16" x14ac:dyDescent="0.35">
      <c r="P13897" s="8"/>
    </row>
    <row r="13898" spans="16:16" x14ac:dyDescent="0.35">
      <c r="P13898" s="8"/>
    </row>
    <row r="13899" spans="16:16" x14ac:dyDescent="0.35">
      <c r="P13899" s="8"/>
    </row>
    <row r="13900" spans="16:16" x14ac:dyDescent="0.35">
      <c r="P13900" s="8"/>
    </row>
    <row r="13901" spans="16:16" x14ac:dyDescent="0.35">
      <c r="P13901" s="8"/>
    </row>
    <row r="13902" spans="16:16" x14ac:dyDescent="0.35">
      <c r="P13902" s="8"/>
    </row>
    <row r="13903" spans="16:16" x14ac:dyDescent="0.35">
      <c r="P13903" s="8"/>
    </row>
    <row r="13904" spans="16:16" x14ac:dyDescent="0.35">
      <c r="P13904" s="8"/>
    </row>
    <row r="13905" spans="16:16" x14ac:dyDescent="0.35">
      <c r="P13905" s="8"/>
    </row>
    <row r="13906" spans="16:16" x14ac:dyDescent="0.35">
      <c r="P13906" s="8"/>
    </row>
    <row r="13907" spans="16:16" x14ac:dyDescent="0.35">
      <c r="P13907" s="8"/>
    </row>
    <row r="13908" spans="16:16" x14ac:dyDescent="0.35">
      <c r="P13908" s="8"/>
    </row>
    <row r="13909" spans="16:16" x14ac:dyDescent="0.35">
      <c r="P13909" s="8"/>
    </row>
    <row r="13910" spans="16:16" x14ac:dyDescent="0.35">
      <c r="P13910" s="8"/>
    </row>
    <row r="13911" spans="16:16" x14ac:dyDescent="0.35">
      <c r="P13911" s="8"/>
    </row>
    <row r="13912" spans="16:16" x14ac:dyDescent="0.35">
      <c r="P13912" s="8"/>
    </row>
    <row r="13913" spans="16:16" x14ac:dyDescent="0.35">
      <c r="P13913" s="8"/>
    </row>
    <row r="13914" spans="16:16" x14ac:dyDescent="0.35">
      <c r="P13914" s="8"/>
    </row>
    <row r="13915" spans="16:16" x14ac:dyDescent="0.35">
      <c r="P13915" s="8"/>
    </row>
    <row r="13916" spans="16:16" x14ac:dyDescent="0.35">
      <c r="P13916" s="8"/>
    </row>
    <row r="13917" spans="16:16" x14ac:dyDescent="0.35">
      <c r="P13917" s="8"/>
    </row>
    <row r="13918" spans="16:16" x14ac:dyDescent="0.35">
      <c r="P13918" s="8"/>
    </row>
    <row r="13919" spans="16:16" x14ac:dyDescent="0.35">
      <c r="P13919" s="8"/>
    </row>
    <row r="13920" spans="16:16" x14ac:dyDescent="0.35">
      <c r="P13920" s="8"/>
    </row>
    <row r="13921" spans="16:16" x14ac:dyDescent="0.35">
      <c r="P13921" s="8"/>
    </row>
    <row r="13922" spans="16:16" x14ac:dyDescent="0.35">
      <c r="P13922" s="8"/>
    </row>
    <row r="13923" spans="16:16" x14ac:dyDescent="0.35">
      <c r="P13923" s="8"/>
    </row>
    <row r="13924" spans="16:16" x14ac:dyDescent="0.35">
      <c r="P13924" s="8"/>
    </row>
    <row r="13925" spans="16:16" x14ac:dyDescent="0.35">
      <c r="P13925" s="8"/>
    </row>
    <row r="13926" spans="16:16" x14ac:dyDescent="0.35">
      <c r="P13926" s="8"/>
    </row>
    <row r="13927" spans="16:16" x14ac:dyDescent="0.35">
      <c r="P13927" s="8"/>
    </row>
    <row r="13928" spans="16:16" x14ac:dyDescent="0.35">
      <c r="P13928" s="8"/>
    </row>
    <row r="13929" spans="16:16" x14ac:dyDescent="0.35">
      <c r="P13929" s="8"/>
    </row>
    <row r="13930" spans="16:16" x14ac:dyDescent="0.35">
      <c r="P13930" s="8"/>
    </row>
    <row r="13931" spans="16:16" x14ac:dyDescent="0.35">
      <c r="P13931" s="8"/>
    </row>
    <row r="13932" spans="16:16" x14ac:dyDescent="0.35">
      <c r="P13932" s="8"/>
    </row>
    <row r="13933" spans="16:16" x14ac:dyDescent="0.35">
      <c r="P13933" s="8"/>
    </row>
    <row r="13934" spans="16:16" x14ac:dyDescent="0.35">
      <c r="P13934" s="8"/>
    </row>
    <row r="13935" spans="16:16" x14ac:dyDescent="0.35">
      <c r="P13935" s="8"/>
    </row>
    <row r="13936" spans="16:16" x14ac:dyDescent="0.35">
      <c r="P13936" s="8"/>
    </row>
    <row r="13937" spans="16:16" x14ac:dyDescent="0.35">
      <c r="P13937" s="8"/>
    </row>
    <row r="13938" spans="16:16" x14ac:dyDescent="0.35">
      <c r="P13938" s="8"/>
    </row>
    <row r="13939" spans="16:16" x14ac:dyDescent="0.35">
      <c r="P13939" s="8"/>
    </row>
    <row r="13940" spans="16:16" x14ac:dyDescent="0.35">
      <c r="P13940" s="8"/>
    </row>
    <row r="13941" spans="16:16" x14ac:dyDescent="0.35">
      <c r="P13941" s="8"/>
    </row>
    <row r="13942" spans="16:16" x14ac:dyDescent="0.35">
      <c r="P13942" s="8"/>
    </row>
    <row r="13943" spans="16:16" x14ac:dyDescent="0.35">
      <c r="P13943" s="8"/>
    </row>
    <row r="13944" spans="16:16" x14ac:dyDescent="0.35">
      <c r="P13944" s="8"/>
    </row>
    <row r="13945" spans="16:16" x14ac:dyDescent="0.35">
      <c r="P13945" s="8"/>
    </row>
    <row r="13946" spans="16:16" x14ac:dyDescent="0.35">
      <c r="P13946" s="8"/>
    </row>
    <row r="13947" spans="16:16" x14ac:dyDescent="0.35">
      <c r="P13947" s="8"/>
    </row>
    <row r="13948" spans="16:16" x14ac:dyDescent="0.35">
      <c r="P13948" s="8"/>
    </row>
    <row r="13949" spans="16:16" x14ac:dyDescent="0.35">
      <c r="P13949" s="8"/>
    </row>
    <row r="13950" spans="16:16" x14ac:dyDescent="0.35">
      <c r="P13950" s="8"/>
    </row>
    <row r="13951" spans="16:16" x14ac:dyDescent="0.35">
      <c r="P13951" s="8"/>
    </row>
    <row r="13952" spans="16:16" x14ac:dyDescent="0.35">
      <c r="P13952" s="8"/>
    </row>
    <row r="13953" spans="16:16" x14ac:dyDescent="0.35">
      <c r="P13953" s="8"/>
    </row>
    <row r="13954" spans="16:16" x14ac:dyDescent="0.35">
      <c r="P13954" s="8"/>
    </row>
    <row r="13955" spans="16:16" x14ac:dyDescent="0.35">
      <c r="P13955" s="8"/>
    </row>
    <row r="13956" spans="16:16" x14ac:dyDescent="0.35">
      <c r="P13956" s="8"/>
    </row>
    <row r="13957" spans="16:16" x14ac:dyDescent="0.35">
      <c r="P13957" s="8"/>
    </row>
    <row r="13958" spans="16:16" x14ac:dyDescent="0.35">
      <c r="P13958" s="8"/>
    </row>
    <row r="13959" spans="16:16" x14ac:dyDescent="0.35">
      <c r="P13959" s="8"/>
    </row>
    <row r="13960" spans="16:16" x14ac:dyDescent="0.35">
      <c r="P13960" s="8"/>
    </row>
    <row r="13961" spans="16:16" x14ac:dyDescent="0.35">
      <c r="P13961" s="8"/>
    </row>
    <row r="13962" spans="16:16" x14ac:dyDescent="0.35">
      <c r="P13962" s="8"/>
    </row>
    <row r="13963" spans="16:16" x14ac:dyDescent="0.35">
      <c r="P13963" s="8"/>
    </row>
    <row r="13964" spans="16:16" x14ac:dyDescent="0.35">
      <c r="P13964" s="8"/>
    </row>
    <row r="13965" spans="16:16" x14ac:dyDescent="0.35">
      <c r="P13965" s="8"/>
    </row>
    <row r="13966" spans="16:16" x14ac:dyDescent="0.35">
      <c r="P13966" s="8"/>
    </row>
    <row r="13967" spans="16:16" x14ac:dyDescent="0.35">
      <c r="P13967" s="8"/>
    </row>
    <row r="13968" spans="16:16" x14ac:dyDescent="0.35">
      <c r="P13968" s="8"/>
    </row>
    <row r="13969" spans="16:16" x14ac:dyDescent="0.35">
      <c r="P13969" s="8"/>
    </row>
    <row r="13970" spans="16:16" x14ac:dyDescent="0.35">
      <c r="P13970" s="8"/>
    </row>
    <row r="13971" spans="16:16" x14ac:dyDescent="0.35">
      <c r="P13971" s="8"/>
    </row>
    <row r="13972" spans="16:16" x14ac:dyDescent="0.35">
      <c r="P13972" s="8"/>
    </row>
    <row r="13973" spans="16:16" x14ac:dyDescent="0.35">
      <c r="P13973" s="8"/>
    </row>
    <row r="13974" spans="16:16" x14ac:dyDescent="0.35">
      <c r="P13974" s="8"/>
    </row>
    <row r="13975" spans="16:16" x14ac:dyDescent="0.35">
      <c r="P13975" s="8"/>
    </row>
    <row r="13976" spans="16:16" x14ac:dyDescent="0.35">
      <c r="P13976" s="8"/>
    </row>
    <row r="13977" spans="16:16" x14ac:dyDescent="0.35">
      <c r="P13977" s="8"/>
    </row>
    <row r="13978" spans="16:16" x14ac:dyDescent="0.35">
      <c r="P13978" s="8"/>
    </row>
    <row r="13979" spans="16:16" x14ac:dyDescent="0.35">
      <c r="P13979" s="8"/>
    </row>
    <row r="13980" spans="16:16" x14ac:dyDescent="0.35">
      <c r="P13980" s="8"/>
    </row>
    <row r="13981" spans="16:16" x14ac:dyDescent="0.35">
      <c r="P13981" s="8"/>
    </row>
    <row r="13982" spans="16:16" x14ac:dyDescent="0.35">
      <c r="P13982" s="8"/>
    </row>
    <row r="13983" spans="16:16" x14ac:dyDescent="0.35">
      <c r="P13983" s="8"/>
    </row>
    <row r="13984" spans="16:16" x14ac:dyDescent="0.35">
      <c r="P13984" s="8"/>
    </row>
    <row r="13985" spans="16:16" x14ac:dyDescent="0.35">
      <c r="P13985" s="8"/>
    </row>
    <row r="13986" spans="16:16" x14ac:dyDescent="0.35">
      <c r="P13986" s="8"/>
    </row>
    <row r="13987" spans="16:16" x14ac:dyDescent="0.35">
      <c r="P13987" s="8"/>
    </row>
    <row r="13988" spans="16:16" x14ac:dyDescent="0.35">
      <c r="P13988" s="8"/>
    </row>
    <row r="13989" spans="16:16" x14ac:dyDescent="0.35">
      <c r="P13989" s="8"/>
    </row>
    <row r="13990" spans="16:16" x14ac:dyDescent="0.35">
      <c r="P13990" s="8"/>
    </row>
    <row r="13991" spans="16:16" x14ac:dyDescent="0.35">
      <c r="P13991" s="8"/>
    </row>
    <row r="13992" spans="16:16" x14ac:dyDescent="0.35">
      <c r="P13992" s="8"/>
    </row>
    <row r="13993" spans="16:16" x14ac:dyDescent="0.35">
      <c r="P13993" s="8"/>
    </row>
    <row r="13994" spans="16:16" x14ac:dyDescent="0.35">
      <c r="P13994" s="8"/>
    </row>
    <row r="13995" spans="16:16" x14ac:dyDescent="0.35">
      <c r="P13995" s="8"/>
    </row>
    <row r="13996" spans="16:16" x14ac:dyDescent="0.35">
      <c r="P13996" s="8"/>
    </row>
    <row r="13997" spans="16:16" x14ac:dyDescent="0.35">
      <c r="P13997" s="8"/>
    </row>
    <row r="13998" spans="16:16" x14ac:dyDescent="0.35">
      <c r="P13998" s="8"/>
    </row>
    <row r="13999" spans="16:16" x14ac:dyDescent="0.35">
      <c r="P13999" s="8"/>
    </row>
    <row r="14000" spans="16:16" x14ac:dyDescent="0.35">
      <c r="P14000" s="8"/>
    </row>
    <row r="14001" spans="16:16" x14ac:dyDescent="0.35">
      <c r="P14001" s="8"/>
    </row>
    <row r="14002" spans="16:16" x14ac:dyDescent="0.35">
      <c r="P14002" s="8"/>
    </row>
    <row r="14003" spans="16:16" x14ac:dyDescent="0.35">
      <c r="P14003" s="8"/>
    </row>
    <row r="14004" spans="16:16" x14ac:dyDescent="0.35">
      <c r="P14004" s="8"/>
    </row>
    <row r="14005" spans="16:16" x14ac:dyDescent="0.35">
      <c r="P14005" s="8"/>
    </row>
    <row r="14006" spans="16:16" x14ac:dyDescent="0.35">
      <c r="P14006" s="8"/>
    </row>
    <row r="14007" spans="16:16" x14ac:dyDescent="0.35">
      <c r="P14007" s="8"/>
    </row>
    <row r="14008" spans="16:16" x14ac:dyDescent="0.35">
      <c r="P14008" s="8"/>
    </row>
    <row r="14009" spans="16:16" x14ac:dyDescent="0.35">
      <c r="P14009" s="8"/>
    </row>
    <row r="14010" spans="16:16" x14ac:dyDescent="0.35">
      <c r="P14010" s="8"/>
    </row>
    <row r="14011" spans="16:16" x14ac:dyDescent="0.35">
      <c r="P14011" s="8"/>
    </row>
    <row r="14012" spans="16:16" x14ac:dyDescent="0.35">
      <c r="P14012" s="8"/>
    </row>
    <row r="14013" spans="16:16" x14ac:dyDescent="0.35">
      <c r="P14013" s="8"/>
    </row>
    <row r="14014" spans="16:16" x14ac:dyDescent="0.35">
      <c r="P14014" s="8"/>
    </row>
    <row r="14015" spans="16:16" x14ac:dyDescent="0.35">
      <c r="P14015" s="8"/>
    </row>
    <row r="14016" spans="16:16" x14ac:dyDescent="0.35">
      <c r="P14016" s="8"/>
    </row>
    <row r="14017" spans="16:16" x14ac:dyDescent="0.35">
      <c r="P14017" s="8"/>
    </row>
    <row r="14018" spans="16:16" x14ac:dyDescent="0.35">
      <c r="P14018" s="8"/>
    </row>
    <row r="14019" spans="16:16" x14ac:dyDescent="0.35">
      <c r="P14019" s="8"/>
    </row>
    <row r="14020" spans="16:16" x14ac:dyDescent="0.35">
      <c r="P14020" s="8"/>
    </row>
    <row r="14021" spans="16:16" x14ac:dyDescent="0.35">
      <c r="P14021" s="8"/>
    </row>
    <row r="14022" spans="16:16" x14ac:dyDescent="0.35">
      <c r="P14022" s="8"/>
    </row>
    <row r="14023" spans="16:16" x14ac:dyDescent="0.35">
      <c r="P14023" s="8"/>
    </row>
    <row r="14024" spans="16:16" x14ac:dyDescent="0.35">
      <c r="P14024" s="8"/>
    </row>
    <row r="14025" spans="16:16" x14ac:dyDescent="0.35">
      <c r="P14025" s="8"/>
    </row>
    <row r="14026" spans="16:16" x14ac:dyDescent="0.35">
      <c r="P14026" s="8"/>
    </row>
    <row r="14027" spans="16:16" x14ac:dyDescent="0.35">
      <c r="P14027" s="8"/>
    </row>
    <row r="14028" spans="16:16" x14ac:dyDescent="0.35">
      <c r="P14028" s="8"/>
    </row>
    <row r="14029" spans="16:16" x14ac:dyDescent="0.35">
      <c r="P14029" s="8"/>
    </row>
    <row r="14030" spans="16:16" x14ac:dyDescent="0.35">
      <c r="P14030" s="8"/>
    </row>
    <row r="14031" spans="16:16" x14ac:dyDescent="0.35">
      <c r="P14031" s="8"/>
    </row>
    <row r="14032" spans="16:16" x14ac:dyDescent="0.35">
      <c r="P14032" s="8"/>
    </row>
    <row r="14033" spans="16:16" x14ac:dyDescent="0.35">
      <c r="P14033" s="8"/>
    </row>
    <row r="14034" spans="16:16" x14ac:dyDescent="0.35">
      <c r="P14034" s="8"/>
    </row>
    <row r="14035" spans="16:16" x14ac:dyDescent="0.35">
      <c r="P14035" s="8"/>
    </row>
    <row r="14036" spans="16:16" x14ac:dyDescent="0.35">
      <c r="P14036" s="8"/>
    </row>
    <row r="14037" spans="16:16" x14ac:dyDescent="0.35">
      <c r="P14037" s="8"/>
    </row>
    <row r="14038" spans="16:16" x14ac:dyDescent="0.35">
      <c r="P14038" s="8"/>
    </row>
    <row r="14039" spans="16:16" x14ac:dyDescent="0.35">
      <c r="P14039" s="8"/>
    </row>
    <row r="14040" spans="16:16" x14ac:dyDescent="0.35">
      <c r="P14040" s="8"/>
    </row>
    <row r="14041" spans="16:16" x14ac:dyDescent="0.35">
      <c r="P14041" s="8"/>
    </row>
    <row r="14042" spans="16:16" x14ac:dyDescent="0.35">
      <c r="P14042" s="8"/>
    </row>
    <row r="14043" spans="16:16" x14ac:dyDescent="0.35">
      <c r="P14043" s="8"/>
    </row>
    <row r="14044" spans="16:16" x14ac:dyDescent="0.35">
      <c r="P14044" s="8"/>
    </row>
    <row r="14045" spans="16:16" x14ac:dyDescent="0.35">
      <c r="P14045" s="8"/>
    </row>
    <row r="14046" spans="16:16" x14ac:dyDescent="0.35">
      <c r="P14046" s="8"/>
    </row>
    <row r="14047" spans="16:16" x14ac:dyDescent="0.35">
      <c r="P14047" s="8"/>
    </row>
    <row r="14048" spans="16:16" x14ac:dyDescent="0.35">
      <c r="P14048" s="8"/>
    </row>
    <row r="14049" spans="16:16" x14ac:dyDescent="0.35">
      <c r="P14049" s="8"/>
    </row>
    <row r="14050" spans="16:16" x14ac:dyDescent="0.35">
      <c r="P14050" s="8"/>
    </row>
    <row r="14051" spans="16:16" x14ac:dyDescent="0.35">
      <c r="P14051" s="8"/>
    </row>
    <row r="14052" spans="16:16" x14ac:dyDescent="0.35">
      <c r="P14052" s="8"/>
    </row>
    <row r="14053" spans="16:16" x14ac:dyDescent="0.35">
      <c r="P14053" s="8"/>
    </row>
    <row r="14054" spans="16:16" x14ac:dyDescent="0.35">
      <c r="P14054" s="8"/>
    </row>
    <row r="14055" spans="16:16" x14ac:dyDescent="0.35">
      <c r="P14055" s="8"/>
    </row>
    <row r="14056" spans="16:16" x14ac:dyDescent="0.35">
      <c r="P14056" s="8"/>
    </row>
    <row r="14057" spans="16:16" x14ac:dyDescent="0.35">
      <c r="P14057" s="8"/>
    </row>
    <row r="14058" spans="16:16" x14ac:dyDescent="0.35">
      <c r="P14058" s="8"/>
    </row>
    <row r="14059" spans="16:16" x14ac:dyDescent="0.35">
      <c r="P14059" s="8"/>
    </row>
    <row r="14060" spans="16:16" x14ac:dyDescent="0.35">
      <c r="P14060" s="8"/>
    </row>
    <row r="14061" spans="16:16" x14ac:dyDescent="0.35">
      <c r="P14061" s="8"/>
    </row>
    <row r="14062" spans="16:16" x14ac:dyDescent="0.35">
      <c r="P14062" s="8"/>
    </row>
    <row r="14063" spans="16:16" x14ac:dyDescent="0.35">
      <c r="P14063" s="8"/>
    </row>
    <row r="14064" spans="16:16" x14ac:dyDescent="0.35">
      <c r="P14064" s="8"/>
    </row>
    <row r="14065" spans="16:16" x14ac:dyDescent="0.35">
      <c r="P14065" s="8"/>
    </row>
    <row r="14066" spans="16:16" x14ac:dyDescent="0.35">
      <c r="P14066" s="8"/>
    </row>
    <row r="14067" spans="16:16" x14ac:dyDescent="0.35">
      <c r="P14067" s="8"/>
    </row>
    <row r="14068" spans="16:16" x14ac:dyDescent="0.35">
      <c r="P14068" s="8"/>
    </row>
    <row r="14069" spans="16:16" x14ac:dyDescent="0.35">
      <c r="P14069" s="8"/>
    </row>
    <row r="14070" spans="16:16" x14ac:dyDescent="0.35">
      <c r="P14070" s="8"/>
    </row>
    <row r="14071" spans="16:16" x14ac:dyDescent="0.35">
      <c r="P14071" s="8"/>
    </row>
    <row r="14072" spans="16:16" x14ac:dyDescent="0.35">
      <c r="P14072" s="8"/>
    </row>
    <row r="14073" spans="16:16" x14ac:dyDescent="0.35">
      <c r="P14073" s="8"/>
    </row>
    <row r="14074" spans="16:16" x14ac:dyDescent="0.35">
      <c r="P14074" s="8"/>
    </row>
    <row r="14075" spans="16:16" x14ac:dyDescent="0.35">
      <c r="P14075" s="8"/>
    </row>
    <row r="14076" spans="16:16" x14ac:dyDescent="0.35">
      <c r="P14076" s="8"/>
    </row>
    <row r="14077" spans="16:16" x14ac:dyDescent="0.35">
      <c r="P14077" s="8"/>
    </row>
    <row r="14078" spans="16:16" x14ac:dyDescent="0.35">
      <c r="P14078" s="8"/>
    </row>
    <row r="14079" spans="16:16" x14ac:dyDescent="0.35">
      <c r="P14079" s="8"/>
    </row>
    <row r="14080" spans="16:16" x14ac:dyDescent="0.35">
      <c r="P14080" s="8"/>
    </row>
    <row r="14081" spans="16:16" x14ac:dyDescent="0.35">
      <c r="P14081" s="8"/>
    </row>
    <row r="14082" spans="16:16" x14ac:dyDescent="0.35">
      <c r="P14082" s="8"/>
    </row>
    <row r="14083" spans="16:16" x14ac:dyDescent="0.35">
      <c r="P14083" s="8"/>
    </row>
    <row r="14084" spans="16:16" x14ac:dyDescent="0.35">
      <c r="P14084" s="8"/>
    </row>
    <row r="14085" spans="16:16" x14ac:dyDescent="0.35">
      <c r="P14085" s="8"/>
    </row>
    <row r="14086" spans="16:16" x14ac:dyDescent="0.35">
      <c r="P14086" s="8"/>
    </row>
    <row r="14087" spans="16:16" x14ac:dyDescent="0.35">
      <c r="P14087" s="8"/>
    </row>
    <row r="14088" spans="16:16" x14ac:dyDescent="0.35">
      <c r="P14088" s="8"/>
    </row>
    <row r="14089" spans="16:16" x14ac:dyDescent="0.35">
      <c r="P14089" s="8"/>
    </row>
    <row r="14090" spans="16:16" x14ac:dyDescent="0.35">
      <c r="P14090" s="8"/>
    </row>
    <row r="14091" spans="16:16" x14ac:dyDescent="0.35">
      <c r="P14091" s="8"/>
    </row>
    <row r="14092" spans="16:16" x14ac:dyDescent="0.35">
      <c r="P14092" s="8"/>
    </row>
    <row r="14093" spans="16:16" x14ac:dyDescent="0.35">
      <c r="P14093" s="8"/>
    </row>
    <row r="14094" spans="16:16" x14ac:dyDescent="0.35">
      <c r="P14094" s="8"/>
    </row>
    <row r="14095" spans="16:16" x14ac:dyDescent="0.35">
      <c r="P14095" s="8"/>
    </row>
    <row r="14096" spans="16:16" x14ac:dyDescent="0.35">
      <c r="P14096" s="8"/>
    </row>
    <row r="14097" spans="16:16" x14ac:dyDescent="0.35">
      <c r="P14097" s="8"/>
    </row>
    <row r="14098" spans="16:16" x14ac:dyDescent="0.35">
      <c r="P14098" s="8"/>
    </row>
    <row r="14099" spans="16:16" x14ac:dyDescent="0.35">
      <c r="P14099" s="8"/>
    </row>
    <row r="14100" spans="16:16" x14ac:dyDescent="0.35">
      <c r="P14100" s="8"/>
    </row>
    <row r="14101" spans="16:16" x14ac:dyDescent="0.35">
      <c r="P14101" s="8"/>
    </row>
    <row r="14102" spans="16:16" x14ac:dyDescent="0.35">
      <c r="P14102" s="8"/>
    </row>
    <row r="14103" spans="16:16" x14ac:dyDescent="0.35">
      <c r="P14103" s="8"/>
    </row>
    <row r="14104" spans="16:16" x14ac:dyDescent="0.35">
      <c r="P14104" s="8"/>
    </row>
    <row r="14105" spans="16:16" x14ac:dyDescent="0.35">
      <c r="P14105" s="8"/>
    </row>
    <row r="14106" spans="16:16" x14ac:dyDescent="0.35">
      <c r="P14106" s="8"/>
    </row>
    <row r="14107" spans="16:16" x14ac:dyDescent="0.35">
      <c r="P14107" s="8"/>
    </row>
    <row r="14108" spans="16:16" x14ac:dyDescent="0.35">
      <c r="P14108" s="8"/>
    </row>
    <row r="14109" spans="16:16" x14ac:dyDescent="0.35">
      <c r="P14109" s="8"/>
    </row>
    <row r="14110" spans="16:16" x14ac:dyDescent="0.35">
      <c r="P14110" s="8"/>
    </row>
    <row r="14111" spans="16:16" x14ac:dyDescent="0.35">
      <c r="P14111" s="8"/>
    </row>
    <row r="14112" spans="16:16" x14ac:dyDescent="0.35">
      <c r="P14112" s="8"/>
    </row>
    <row r="14113" spans="16:16" x14ac:dyDescent="0.35">
      <c r="P14113" s="8"/>
    </row>
    <row r="14114" spans="16:16" x14ac:dyDescent="0.35">
      <c r="P14114" s="8"/>
    </row>
    <row r="14115" spans="16:16" x14ac:dyDescent="0.35">
      <c r="P14115" s="8"/>
    </row>
    <row r="14116" spans="16:16" x14ac:dyDescent="0.35">
      <c r="P14116" s="8"/>
    </row>
    <row r="14117" spans="16:16" x14ac:dyDescent="0.35">
      <c r="P14117" s="8"/>
    </row>
    <row r="14118" spans="16:16" x14ac:dyDescent="0.35">
      <c r="P14118" s="8"/>
    </row>
    <row r="14119" spans="16:16" x14ac:dyDescent="0.35">
      <c r="P14119" s="8"/>
    </row>
    <row r="14120" spans="16:16" x14ac:dyDescent="0.35">
      <c r="P14120" s="8"/>
    </row>
    <row r="14121" spans="16:16" x14ac:dyDescent="0.35">
      <c r="P14121" s="8"/>
    </row>
    <row r="14122" spans="16:16" x14ac:dyDescent="0.35">
      <c r="P14122" s="8"/>
    </row>
    <row r="14123" spans="16:16" x14ac:dyDescent="0.35">
      <c r="P14123" s="8"/>
    </row>
    <row r="14124" spans="16:16" x14ac:dyDescent="0.35">
      <c r="P14124" s="8"/>
    </row>
    <row r="14125" spans="16:16" x14ac:dyDescent="0.35">
      <c r="P14125" s="8"/>
    </row>
    <row r="14126" spans="16:16" x14ac:dyDescent="0.35">
      <c r="P14126" s="8"/>
    </row>
    <row r="14127" spans="16:16" x14ac:dyDescent="0.35">
      <c r="P14127" s="8"/>
    </row>
    <row r="14128" spans="16:16" x14ac:dyDescent="0.35">
      <c r="P14128" s="8"/>
    </row>
    <row r="14129" spans="16:16" x14ac:dyDescent="0.35">
      <c r="P14129" s="8"/>
    </row>
    <row r="14130" spans="16:16" x14ac:dyDescent="0.35">
      <c r="P14130" s="8"/>
    </row>
    <row r="14131" spans="16:16" x14ac:dyDescent="0.35">
      <c r="P14131" s="8"/>
    </row>
    <row r="14132" spans="16:16" x14ac:dyDescent="0.35">
      <c r="P14132" s="8"/>
    </row>
    <row r="14133" spans="16:16" x14ac:dyDescent="0.35">
      <c r="P14133" s="8"/>
    </row>
    <row r="14134" spans="16:16" x14ac:dyDescent="0.35">
      <c r="P14134" s="8"/>
    </row>
    <row r="14135" spans="16:16" x14ac:dyDescent="0.35">
      <c r="P14135" s="8"/>
    </row>
    <row r="14136" spans="16:16" x14ac:dyDescent="0.35">
      <c r="P14136" s="8"/>
    </row>
    <row r="14137" spans="16:16" x14ac:dyDescent="0.35">
      <c r="P14137" s="8"/>
    </row>
    <row r="14138" spans="16:16" x14ac:dyDescent="0.35">
      <c r="P14138" s="8"/>
    </row>
    <row r="14139" spans="16:16" x14ac:dyDescent="0.35">
      <c r="P14139" s="8"/>
    </row>
    <row r="14140" spans="16:16" x14ac:dyDescent="0.35">
      <c r="P14140" s="8"/>
    </row>
    <row r="14141" spans="16:16" x14ac:dyDescent="0.35">
      <c r="P14141" s="8"/>
    </row>
    <row r="14142" spans="16:16" x14ac:dyDescent="0.35">
      <c r="P14142" s="8"/>
    </row>
    <row r="14143" spans="16:16" x14ac:dyDescent="0.35">
      <c r="P14143" s="8"/>
    </row>
    <row r="14144" spans="16:16" x14ac:dyDescent="0.35">
      <c r="P14144" s="8"/>
    </row>
    <row r="14145" spans="16:16" x14ac:dyDescent="0.35">
      <c r="P14145" s="8"/>
    </row>
    <row r="14146" spans="16:16" x14ac:dyDescent="0.35">
      <c r="P14146" s="8"/>
    </row>
    <row r="14147" spans="16:16" x14ac:dyDescent="0.35">
      <c r="P14147" s="8"/>
    </row>
    <row r="14148" spans="16:16" x14ac:dyDescent="0.35">
      <c r="P14148" s="8"/>
    </row>
    <row r="14149" spans="16:16" x14ac:dyDescent="0.35">
      <c r="P14149" s="8"/>
    </row>
    <row r="14150" spans="16:16" x14ac:dyDescent="0.35">
      <c r="P14150" s="8"/>
    </row>
    <row r="14151" spans="16:16" x14ac:dyDescent="0.35">
      <c r="P14151" s="8"/>
    </row>
    <row r="14152" spans="16:16" x14ac:dyDescent="0.35">
      <c r="P14152" s="8"/>
    </row>
    <row r="14153" spans="16:16" x14ac:dyDescent="0.35">
      <c r="P14153" s="8"/>
    </row>
    <row r="14154" spans="16:16" x14ac:dyDescent="0.35">
      <c r="P14154" s="8"/>
    </row>
    <row r="14155" spans="16:16" x14ac:dyDescent="0.35">
      <c r="P14155" s="8"/>
    </row>
    <row r="14156" spans="16:16" x14ac:dyDescent="0.35">
      <c r="P14156" s="8"/>
    </row>
    <row r="14157" spans="16:16" x14ac:dyDescent="0.35">
      <c r="P14157" s="8"/>
    </row>
    <row r="14158" spans="16:16" x14ac:dyDescent="0.35">
      <c r="P14158" s="8"/>
    </row>
    <row r="14159" spans="16:16" x14ac:dyDescent="0.35">
      <c r="P14159" s="8"/>
    </row>
    <row r="14160" spans="16:16" x14ac:dyDescent="0.35">
      <c r="P14160" s="8"/>
    </row>
    <row r="14161" spans="16:16" x14ac:dyDescent="0.35">
      <c r="P14161" s="8"/>
    </row>
    <row r="14162" spans="16:16" x14ac:dyDescent="0.35">
      <c r="P14162" s="8"/>
    </row>
    <row r="14163" spans="16:16" x14ac:dyDescent="0.35">
      <c r="P14163" s="8"/>
    </row>
    <row r="14164" spans="16:16" x14ac:dyDescent="0.35">
      <c r="P14164" s="8"/>
    </row>
    <row r="14165" spans="16:16" x14ac:dyDescent="0.35">
      <c r="P14165" s="8"/>
    </row>
    <row r="14166" spans="16:16" x14ac:dyDescent="0.35">
      <c r="P14166" s="8"/>
    </row>
    <row r="14167" spans="16:16" x14ac:dyDescent="0.35">
      <c r="P14167" s="8"/>
    </row>
    <row r="14168" spans="16:16" x14ac:dyDescent="0.35">
      <c r="P14168" s="8"/>
    </row>
    <row r="14169" spans="16:16" x14ac:dyDescent="0.35">
      <c r="P14169" s="8"/>
    </row>
    <row r="14170" spans="16:16" x14ac:dyDescent="0.35">
      <c r="P14170" s="8"/>
    </row>
    <row r="14171" spans="16:16" x14ac:dyDescent="0.35">
      <c r="P14171" s="8"/>
    </row>
    <row r="14172" spans="16:16" x14ac:dyDescent="0.35">
      <c r="P14172" s="8"/>
    </row>
    <row r="14173" spans="16:16" x14ac:dyDescent="0.35">
      <c r="P14173" s="8"/>
    </row>
    <row r="14174" spans="16:16" x14ac:dyDescent="0.35">
      <c r="P14174" s="8"/>
    </row>
    <row r="14175" spans="16:16" x14ac:dyDescent="0.35">
      <c r="P14175" s="8"/>
    </row>
    <row r="14176" spans="16:16" x14ac:dyDescent="0.35">
      <c r="P14176" s="8"/>
    </row>
    <row r="14177" spans="16:16" x14ac:dyDescent="0.35">
      <c r="P14177" s="8"/>
    </row>
    <row r="14178" spans="16:16" x14ac:dyDescent="0.35">
      <c r="P14178" s="8"/>
    </row>
    <row r="14179" spans="16:16" x14ac:dyDescent="0.35">
      <c r="P14179" s="8"/>
    </row>
    <row r="14180" spans="16:16" x14ac:dyDescent="0.35">
      <c r="P14180" s="8"/>
    </row>
    <row r="14181" spans="16:16" x14ac:dyDescent="0.35">
      <c r="P14181" s="8"/>
    </row>
    <row r="14182" spans="16:16" x14ac:dyDescent="0.35">
      <c r="P14182" s="8"/>
    </row>
    <row r="14183" spans="16:16" x14ac:dyDescent="0.35">
      <c r="P14183" s="8"/>
    </row>
    <row r="14184" spans="16:16" x14ac:dyDescent="0.35">
      <c r="P14184" s="8"/>
    </row>
    <row r="14185" spans="16:16" x14ac:dyDescent="0.35">
      <c r="P14185" s="8"/>
    </row>
    <row r="14186" spans="16:16" x14ac:dyDescent="0.35">
      <c r="P14186" s="8"/>
    </row>
    <row r="14187" spans="16:16" x14ac:dyDescent="0.35">
      <c r="P14187" s="8"/>
    </row>
    <row r="14188" spans="16:16" x14ac:dyDescent="0.35">
      <c r="P14188" s="8"/>
    </row>
    <row r="14189" spans="16:16" x14ac:dyDescent="0.35">
      <c r="P14189" s="8"/>
    </row>
    <row r="14190" spans="16:16" x14ac:dyDescent="0.35">
      <c r="P14190" s="8"/>
    </row>
    <row r="14191" spans="16:16" x14ac:dyDescent="0.35">
      <c r="P14191" s="8"/>
    </row>
    <row r="14192" spans="16:16" x14ac:dyDescent="0.35">
      <c r="P14192" s="8"/>
    </row>
    <row r="14193" spans="16:16" x14ac:dyDescent="0.35">
      <c r="P14193" s="8"/>
    </row>
    <row r="14194" spans="16:16" x14ac:dyDescent="0.35">
      <c r="P14194" s="8"/>
    </row>
    <row r="14195" spans="16:16" x14ac:dyDescent="0.35">
      <c r="P14195" s="8"/>
    </row>
    <row r="14196" spans="16:16" x14ac:dyDescent="0.35">
      <c r="P14196" s="8"/>
    </row>
    <row r="14197" spans="16:16" x14ac:dyDescent="0.35">
      <c r="P14197" s="8"/>
    </row>
    <row r="14198" spans="16:16" x14ac:dyDescent="0.35">
      <c r="P14198" s="8"/>
    </row>
    <row r="14199" spans="16:16" x14ac:dyDescent="0.35">
      <c r="P14199" s="8"/>
    </row>
    <row r="14200" spans="16:16" x14ac:dyDescent="0.35">
      <c r="P14200" s="8"/>
    </row>
    <row r="14201" spans="16:16" x14ac:dyDescent="0.35">
      <c r="P14201" s="8"/>
    </row>
    <row r="14202" spans="16:16" x14ac:dyDescent="0.35">
      <c r="P14202" s="8"/>
    </row>
    <row r="14203" spans="16:16" x14ac:dyDescent="0.35">
      <c r="P14203" s="8"/>
    </row>
    <row r="14204" spans="16:16" x14ac:dyDescent="0.35">
      <c r="P14204" s="8"/>
    </row>
    <row r="14205" spans="16:16" x14ac:dyDescent="0.35">
      <c r="P14205" s="8"/>
    </row>
    <row r="14206" spans="16:16" x14ac:dyDescent="0.35">
      <c r="P14206" s="8"/>
    </row>
    <row r="14207" spans="16:16" x14ac:dyDescent="0.35">
      <c r="P14207" s="8"/>
    </row>
    <row r="14208" spans="16:16" x14ac:dyDescent="0.35">
      <c r="P14208" s="8"/>
    </row>
    <row r="14209" spans="16:16" x14ac:dyDescent="0.35">
      <c r="P14209" s="8"/>
    </row>
    <row r="14210" spans="16:16" x14ac:dyDescent="0.35">
      <c r="P14210" s="8"/>
    </row>
    <row r="14211" spans="16:16" x14ac:dyDescent="0.35">
      <c r="P14211" s="8"/>
    </row>
    <row r="14212" spans="16:16" x14ac:dyDescent="0.35">
      <c r="P14212" s="8"/>
    </row>
    <row r="14213" spans="16:16" x14ac:dyDescent="0.35">
      <c r="P14213" s="8"/>
    </row>
    <row r="14214" spans="16:16" x14ac:dyDescent="0.35">
      <c r="P14214" s="8"/>
    </row>
    <row r="14215" spans="16:16" x14ac:dyDescent="0.35">
      <c r="P14215" s="8"/>
    </row>
    <row r="14216" spans="16:16" x14ac:dyDescent="0.35">
      <c r="P14216" s="8"/>
    </row>
    <row r="14217" spans="16:16" x14ac:dyDescent="0.35">
      <c r="P14217" s="8"/>
    </row>
    <row r="14218" spans="16:16" x14ac:dyDescent="0.35">
      <c r="P14218" s="8"/>
    </row>
    <row r="14219" spans="16:16" x14ac:dyDescent="0.35">
      <c r="P14219" s="8"/>
    </row>
    <row r="14220" spans="16:16" x14ac:dyDescent="0.35">
      <c r="P14220" s="8"/>
    </row>
    <row r="14221" spans="16:16" x14ac:dyDescent="0.35">
      <c r="P14221" s="8"/>
    </row>
    <row r="14222" spans="16:16" x14ac:dyDescent="0.35">
      <c r="P14222" s="8"/>
    </row>
    <row r="14223" spans="16:16" x14ac:dyDescent="0.35">
      <c r="P14223" s="8"/>
    </row>
    <row r="14224" spans="16:16" x14ac:dyDescent="0.35">
      <c r="P14224" s="8"/>
    </row>
    <row r="14225" spans="16:16" x14ac:dyDescent="0.35">
      <c r="P14225" s="8"/>
    </row>
    <row r="14226" spans="16:16" x14ac:dyDescent="0.35">
      <c r="P14226" s="8"/>
    </row>
    <row r="14227" spans="16:16" x14ac:dyDescent="0.35">
      <c r="P14227" s="8"/>
    </row>
    <row r="14228" spans="16:16" x14ac:dyDescent="0.35">
      <c r="P14228" s="8"/>
    </row>
    <row r="14229" spans="16:16" x14ac:dyDescent="0.35">
      <c r="P14229" s="8"/>
    </row>
    <row r="14230" spans="16:16" x14ac:dyDescent="0.35">
      <c r="P14230" s="8"/>
    </row>
    <row r="14231" spans="16:16" x14ac:dyDescent="0.35">
      <c r="P14231" s="8"/>
    </row>
    <row r="14232" spans="16:16" x14ac:dyDescent="0.35">
      <c r="P14232" s="8"/>
    </row>
    <row r="14233" spans="16:16" x14ac:dyDescent="0.35">
      <c r="P14233" s="8"/>
    </row>
    <row r="14234" spans="16:16" x14ac:dyDescent="0.35">
      <c r="P14234" s="8"/>
    </row>
    <row r="14235" spans="16:16" x14ac:dyDescent="0.35">
      <c r="P14235" s="8"/>
    </row>
    <row r="14236" spans="16:16" x14ac:dyDescent="0.35">
      <c r="P14236" s="8"/>
    </row>
    <row r="14237" spans="16:16" x14ac:dyDescent="0.35">
      <c r="P14237" s="8"/>
    </row>
    <row r="14238" spans="16:16" x14ac:dyDescent="0.35">
      <c r="P14238" s="8"/>
    </row>
    <row r="14239" spans="16:16" x14ac:dyDescent="0.35">
      <c r="P14239" s="8"/>
    </row>
    <row r="14240" spans="16:16" x14ac:dyDescent="0.35">
      <c r="P14240" s="8"/>
    </row>
    <row r="14241" spans="16:16" x14ac:dyDescent="0.35">
      <c r="P14241" s="8"/>
    </row>
    <row r="14242" spans="16:16" x14ac:dyDescent="0.35">
      <c r="P14242" s="8"/>
    </row>
    <row r="14243" spans="16:16" x14ac:dyDescent="0.35">
      <c r="P14243" s="8"/>
    </row>
    <row r="14244" spans="16:16" x14ac:dyDescent="0.35">
      <c r="P14244" s="8"/>
    </row>
    <row r="14245" spans="16:16" x14ac:dyDescent="0.35">
      <c r="P14245" s="8"/>
    </row>
    <row r="14246" spans="16:16" x14ac:dyDescent="0.35">
      <c r="P14246" s="8"/>
    </row>
    <row r="14247" spans="16:16" x14ac:dyDescent="0.35">
      <c r="P14247" s="8"/>
    </row>
    <row r="14248" spans="16:16" x14ac:dyDescent="0.35">
      <c r="P14248" s="8"/>
    </row>
    <row r="14249" spans="16:16" x14ac:dyDescent="0.35">
      <c r="P14249" s="8"/>
    </row>
    <row r="14250" spans="16:16" x14ac:dyDescent="0.35">
      <c r="P14250" s="8"/>
    </row>
    <row r="14251" spans="16:16" x14ac:dyDescent="0.35">
      <c r="P14251" s="8"/>
    </row>
    <row r="14252" spans="16:16" x14ac:dyDescent="0.35">
      <c r="P14252" s="8"/>
    </row>
    <row r="14253" spans="16:16" x14ac:dyDescent="0.35">
      <c r="P14253" s="8"/>
    </row>
    <row r="14254" spans="16:16" x14ac:dyDescent="0.35">
      <c r="P14254" s="8"/>
    </row>
    <row r="14255" spans="16:16" x14ac:dyDescent="0.35">
      <c r="P14255" s="8"/>
    </row>
    <row r="14256" spans="16:16" x14ac:dyDescent="0.35">
      <c r="P14256" s="8"/>
    </row>
    <row r="14257" spans="16:16" x14ac:dyDescent="0.35">
      <c r="P14257" s="8"/>
    </row>
    <row r="14258" spans="16:16" x14ac:dyDescent="0.35">
      <c r="P14258" s="8"/>
    </row>
    <row r="14259" spans="16:16" x14ac:dyDescent="0.35">
      <c r="P14259" s="8"/>
    </row>
    <row r="14260" spans="16:16" x14ac:dyDescent="0.35">
      <c r="P14260" s="8"/>
    </row>
    <row r="14261" spans="16:16" x14ac:dyDescent="0.35">
      <c r="P14261" s="8"/>
    </row>
    <row r="14262" spans="16:16" x14ac:dyDescent="0.35">
      <c r="P14262" s="8"/>
    </row>
    <row r="14263" spans="16:16" x14ac:dyDescent="0.35">
      <c r="P14263" s="8"/>
    </row>
    <row r="14264" spans="16:16" x14ac:dyDescent="0.35">
      <c r="P14264" s="8"/>
    </row>
    <row r="14265" spans="16:16" x14ac:dyDescent="0.35">
      <c r="P14265" s="8"/>
    </row>
    <row r="14266" spans="16:16" x14ac:dyDescent="0.35">
      <c r="P14266" s="8"/>
    </row>
    <row r="14267" spans="16:16" x14ac:dyDescent="0.35">
      <c r="P14267" s="8"/>
    </row>
    <row r="14268" spans="16:16" x14ac:dyDescent="0.35">
      <c r="P14268" s="8"/>
    </row>
    <row r="14269" spans="16:16" x14ac:dyDescent="0.35">
      <c r="P14269" s="8"/>
    </row>
    <row r="14270" spans="16:16" x14ac:dyDescent="0.35">
      <c r="P14270" s="8"/>
    </row>
    <row r="14271" spans="16:16" x14ac:dyDescent="0.35">
      <c r="P14271" s="8"/>
    </row>
    <row r="14272" spans="16:16" x14ac:dyDescent="0.35">
      <c r="P14272" s="8"/>
    </row>
    <row r="14273" spans="16:16" x14ac:dyDescent="0.35">
      <c r="P14273" s="8"/>
    </row>
    <row r="14274" spans="16:16" x14ac:dyDescent="0.35">
      <c r="P14274" s="8"/>
    </row>
    <row r="14275" spans="16:16" x14ac:dyDescent="0.35">
      <c r="P14275" s="8"/>
    </row>
    <row r="14276" spans="16:16" x14ac:dyDescent="0.35">
      <c r="P14276" s="8"/>
    </row>
    <row r="14277" spans="16:16" x14ac:dyDescent="0.35">
      <c r="P14277" s="8"/>
    </row>
    <row r="14278" spans="16:16" x14ac:dyDescent="0.35">
      <c r="P14278" s="8"/>
    </row>
    <row r="14279" spans="16:16" x14ac:dyDescent="0.35">
      <c r="P14279" s="8"/>
    </row>
    <row r="14280" spans="16:16" x14ac:dyDescent="0.35">
      <c r="P14280" s="8"/>
    </row>
    <row r="14281" spans="16:16" x14ac:dyDescent="0.35">
      <c r="P14281" s="8"/>
    </row>
    <row r="14282" spans="16:16" x14ac:dyDescent="0.35">
      <c r="P14282" s="8"/>
    </row>
    <row r="14283" spans="16:16" x14ac:dyDescent="0.35">
      <c r="P14283" s="8"/>
    </row>
    <row r="14284" spans="16:16" x14ac:dyDescent="0.35">
      <c r="P14284" s="8"/>
    </row>
    <row r="14285" spans="16:16" x14ac:dyDescent="0.35">
      <c r="P14285" s="8"/>
    </row>
    <row r="14286" spans="16:16" x14ac:dyDescent="0.35">
      <c r="P14286" s="8"/>
    </row>
    <row r="14287" spans="16:16" x14ac:dyDescent="0.35">
      <c r="P14287" s="8"/>
    </row>
    <row r="14288" spans="16:16" x14ac:dyDescent="0.35">
      <c r="P14288" s="8"/>
    </row>
    <row r="14289" spans="16:16" x14ac:dyDescent="0.35">
      <c r="P14289" s="8"/>
    </row>
    <row r="14290" spans="16:16" x14ac:dyDescent="0.35">
      <c r="P14290" s="8"/>
    </row>
    <row r="14291" spans="16:16" x14ac:dyDescent="0.35">
      <c r="P14291" s="8"/>
    </row>
    <row r="14292" spans="16:16" x14ac:dyDescent="0.35">
      <c r="P14292" s="8"/>
    </row>
    <row r="14293" spans="16:16" x14ac:dyDescent="0.35">
      <c r="P14293" s="8"/>
    </row>
    <row r="14294" spans="16:16" x14ac:dyDescent="0.35">
      <c r="P14294" s="8"/>
    </row>
    <row r="14295" spans="16:16" x14ac:dyDescent="0.35">
      <c r="P14295" s="8"/>
    </row>
    <row r="14296" spans="16:16" x14ac:dyDescent="0.35">
      <c r="P14296" s="8"/>
    </row>
    <row r="14297" spans="16:16" x14ac:dyDescent="0.35">
      <c r="P14297" s="8"/>
    </row>
    <row r="14298" spans="16:16" x14ac:dyDescent="0.35">
      <c r="P14298" s="8"/>
    </row>
    <row r="14299" spans="16:16" x14ac:dyDescent="0.35">
      <c r="P14299" s="8"/>
    </row>
    <row r="14300" spans="16:16" x14ac:dyDescent="0.35">
      <c r="P14300" s="8"/>
    </row>
    <row r="14301" spans="16:16" x14ac:dyDescent="0.35">
      <c r="P14301" s="8"/>
    </row>
    <row r="14302" spans="16:16" x14ac:dyDescent="0.35">
      <c r="P14302" s="8"/>
    </row>
    <row r="14303" spans="16:16" x14ac:dyDescent="0.35">
      <c r="P14303" s="8"/>
    </row>
    <row r="14304" spans="16:16" x14ac:dyDescent="0.35">
      <c r="P14304" s="8"/>
    </row>
    <row r="14305" spans="16:16" x14ac:dyDescent="0.35">
      <c r="P14305" s="8"/>
    </row>
    <row r="14306" spans="16:16" x14ac:dyDescent="0.35">
      <c r="P14306" s="8"/>
    </row>
    <row r="14307" spans="16:16" x14ac:dyDescent="0.35">
      <c r="P14307" s="8"/>
    </row>
    <row r="14308" spans="16:16" x14ac:dyDescent="0.35">
      <c r="P14308" s="8"/>
    </row>
    <row r="14309" spans="16:16" x14ac:dyDescent="0.35">
      <c r="P14309" s="8"/>
    </row>
    <row r="14310" spans="16:16" x14ac:dyDescent="0.35">
      <c r="P14310" s="8"/>
    </row>
    <row r="14311" spans="16:16" x14ac:dyDescent="0.35">
      <c r="P14311" s="8"/>
    </row>
    <row r="14312" spans="16:16" x14ac:dyDescent="0.35">
      <c r="P14312" s="8"/>
    </row>
    <row r="14313" spans="16:16" x14ac:dyDescent="0.35">
      <c r="P14313" s="8"/>
    </row>
    <row r="14314" spans="16:16" x14ac:dyDescent="0.35">
      <c r="P14314" s="8"/>
    </row>
    <row r="14315" spans="16:16" x14ac:dyDescent="0.35">
      <c r="P14315" s="8"/>
    </row>
    <row r="14316" spans="16:16" x14ac:dyDescent="0.35">
      <c r="P14316" s="8"/>
    </row>
    <row r="14317" spans="16:16" x14ac:dyDescent="0.35">
      <c r="P14317" s="8"/>
    </row>
    <row r="14318" spans="16:16" x14ac:dyDescent="0.35">
      <c r="P14318" s="8"/>
    </row>
    <row r="14319" spans="16:16" x14ac:dyDescent="0.35">
      <c r="P14319" s="8"/>
    </row>
    <row r="14320" spans="16:16" x14ac:dyDescent="0.35">
      <c r="P14320" s="8"/>
    </row>
    <row r="14321" spans="16:16" x14ac:dyDescent="0.35">
      <c r="P14321" s="8"/>
    </row>
    <row r="14322" spans="16:16" x14ac:dyDescent="0.35">
      <c r="P14322" s="8"/>
    </row>
    <row r="14323" spans="16:16" x14ac:dyDescent="0.35">
      <c r="P14323" s="8"/>
    </row>
    <row r="14324" spans="16:16" x14ac:dyDescent="0.35">
      <c r="P14324" s="8"/>
    </row>
    <row r="14325" spans="16:16" x14ac:dyDescent="0.35">
      <c r="P14325" s="8"/>
    </row>
    <row r="14326" spans="16:16" x14ac:dyDescent="0.35">
      <c r="P14326" s="8"/>
    </row>
    <row r="14327" spans="16:16" x14ac:dyDescent="0.35">
      <c r="P14327" s="8"/>
    </row>
    <row r="14328" spans="16:16" x14ac:dyDescent="0.35">
      <c r="P14328" s="8"/>
    </row>
    <row r="14329" spans="16:16" x14ac:dyDescent="0.35">
      <c r="P14329" s="8"/>
    </row>
    <row r="14330" spans="16:16" x14ac:dyDescent="0.35">
      <c r="P14330" s="8"/>
    </row>
    <row r="14331" spans="16:16" x14ac:dyDescent="0.35">
      <c r="P14331" s="8"/>
    </row>
    <row r="14332" spans="16:16" x14ac:dyDescent="0.35">
      <c r="P14332" s="8"/>
    </row>
    <row r="14333" spans="16:16" x14ac:dyDescent="0.35">
      <c r="P14333" s="8"/>
    </row>
    <row r="14334" spans="16:16" x14ac:dyDescent="0.35">
      <c r="P14334" s="8"/>
    </row>
    <row r="14335" spans="16:16" x14ac:dyDescent="0.35">
      <c r="P14335" s="8"/>
    </row>
    <row r="14336" spans="16:16" x14ac:dyDescent="0.35">
      <c r="P14336" s="8"/>
    </row>
    <row r="14337" spans="16:16" x14ac:dyDescent="0.35">
      <c r="P14337" s="8"/>
    </row>
    <row r="14338" spans="16:16" x14ac:dyDescent="0.35">
      <c r="P14338" s="8"/>
    </row>
    <row r="14339" spans="16:16" x14ac:dyDescent="0.35">
      <c r="P14339" s="8"/>
    </row>
    <row r="14340" spans="16:16" x14ac:dyDescent="0.35">
      <c r="P14340" s="8"/>
    </row>
    <row r="14341" spans="16:16" x14ac:dyDescent="0.35">
      <c r="P14341" s="8"/>
    </row>
    <row r="14342" spans="16:16" x14ac:dyDescent="0.35">
      <c r="P14342" s="8"/>
    </row>
    <row r="14343" spans="16:16" x14ac:dyDescent="0.35">
      <c r="P14343" s="8"/>
    </row>
    <row r="14344" spans="16:16" x14ac:dyDescent="0.35">
      <c r="P14344" s="8"/>
    </row>
    <row r="14345" spans="16:16" x14ac:dyDescent="0.35">
      <c r="P14345" s="8"/>
    </row>
    <row r="14346" spans="16:16" x14ac:dyDescent="0.35">
      <c r="P14346" s="8"/>
    </row>
    <row r="14347" spans="16:16" x14ac:dyDescent="0.35">
      <c r="P14347" s="8"/>
    </row>
    <row r="14348" spans="16:16" x14ac:dyDescent="0.35">
      <c r="P14348" s="8"/>
    </row>
    <row r="14349" spans="16:16" x14ac:dyDescent="0.35">
      <c r="P14349" s="8"/>
    </row>
    <row r="14350" spans="16:16" x14ac:dyDescent="0.35">
      <c r="P14350" s="8"/>
    </row>
    <row r="14351" spans="16:16" x14ac:dyDescent="0.35">
      <c r="P14351" s="8"/>
    </row>
    <row r="14352" spans="16:16" x14ac:dyDescent="0.35">
      <c r="P14352" s="8"/>
    </row>
    <row r="14353" spans="16:16" x14ac:dyDescent="0.35">
      <c r="P14353" s="8"/>
    </row>
    <row r="14354" spans="16:16" x14ac:dyDescent="0.35">
      <c r="P14354" s="8"/>
    </row>
    <row r="14355" spans="16:16" x14ac:dyDescent="0.35">
      <c r="P14355" s="8"/>
    </row>
    <row r="14356" spans="16:16" x14ac:dyDescent="0.35">
      <c r="P14356" s="8"/>
    </row>
    <row r="14357" spans="16:16" x14ac:dyDescent="0.35">
      <c r="P14357" s="8"/>
    </row>
    <row r="14358" spans="16:16" x14ac:dyDescent="0.35">
      <c r="P14358" s="8"/>
    </row>
    <row r="14359" spans="16:16" x14ac:dyDescent="0.35">
      <c r="P14359" s="8"/>
    </row>
    <row r="14360" spans="16:16" x14ac:dyDescent="0.35">
      <c r="P14360" s="8"/>
    </row>
    <row r="14361" spans="16:16" x14ac:dyDescent="0.35">
      <c r="P14361" s="8"/>
    </row>
    <row r="14362" spans="16:16" x14ac:dyDescent="0.35">
      <c r="P14362" s="8"/>
    </row>
    <row r="14363" spans="16:16" x14ac:dyDescent="0.35">
      <c r="P14363" s="8"/>
    </row>
    <row r="14364" spans="16:16" x14ac:dyDescent="0.35">
      <c r="P14364" s="8"/>
    </row>
    <row r="14365" spans="16:16" x14ac:dyDescent="0.35">
      <c r="P14365" s="8"/>
    </row>
    <row r="14366" spans="16:16" x14ac:dyDescent="0.35">
      <c r="P14366" s="8"/>
    </row>
    <row r="14367" spans="16:16" x14ac:dyDescent="0.35">
      <c r="P14367" s="8"/>
    </row>
    <row r="14368" spans="16:16" x14ac:dyDescent="0.35">
      <c r="P14368" s="8"/>
    </row>
    <row r="14369" spans="16:16" x14ac:dyDescent="0.35">
      <c r="P14369" s="8"/>
    </row>
    <row r="14370" spans="16:16" x14ac:dyDescent="0.35">
      <c r="P14370" s="8"/>
    </row>
    <row r="14371" spans="16:16" x14ac:dyDescent="0.35">
      <c r="P14371" s="8"/>
    </row>
    <row r="14372" spans="16:16" x14ac:dyDescent="0.35">
      <c r="P14372" s="8"/>
    </row>
    <row r="14373" spans="16:16" x14ac:dyDescent="0.35">
      <c r="P14373" s="8"/>
    </row>
    <row r="14374" spans="16:16" x14ac:dyDescent="0.35">
      <c r="P14374" s="8"/>
    </row>
    <row r="14375" spans="16:16" x14ac:dyDescent="0.35">
      <c r="P14375" s="8"/>
    </row>
    <row r="14376" spans="16:16" x14ac:dyDescent="0.35">
      <c r="P14376" s="8"/>
    </row>
    <row r="14377" spans="16:16" x14ac:dyDescent="0.35">
      <c r="P14377" s="8"/>
    </row>
    <row r="14378" spans="16:16" x14ac:dyDescent="0.35">
      <c r="P14378" s="8"/>
    </row>
    <row r="14379" spans="16:16" x14ac:dyDescent="0.35">
      <c r="P14379" s="8"/>
    </row>
    <row r="14380" spans="16:16" x14ac:dyDescent="0.35">
      <c r="P14380" s="8"/>
    </row>
    <row r="14381" spans="16:16" x14ac:dyDescent="0.35">
      <c r="P14381" s="8"/>
    </row>
    <row r="14382" spans="16:16" x14ac:dyDescent="0.35">
      <c r="P14382" s="8"/>
    </row>
    <row r="14383" spans="16:16" x14ac:dyDescent="0.35">
      <c r="P14383" s="8"/>
    </row>
    <row r="14384" spans="16:16" x14ac:dyDescent="0.35">
      <c r="P14384" s="8"/>
    </row>
    <row r="14385" spans="16:16" x14ac:dyDescent="0.35">
      <c r="P14385" s="8"/>
    </row>
    <row r="14386" spans="16:16" x14ac:dyDescent="0.35">
      <c r="P14386" s="8"/>
    </row>
    <row r="14387" spans="16:16" x14ac:dyDescent="0.35">
      <c r="P14387" s="8"/>
    </row>
    <row r="14388" spans="16:16" x14ac:dyDescent="0.35">
      <c r="P14388" s="8"/>
    </row>
    <row r="14389" spans="16:16" x14ac:dyDescent="0.35">
      <c r="P14389" s="8"/>
    </row>
    <row r="14390" spans="16:16" x14ac:dyDescent="0.35">
      <c r="P14390" s="8"/>
    </row>
    <row r="14391" spans="16:16" x14ac:dyDescent="0.35">
      <c r="P14391" s="8"/>
    </row>
    <row r="14392" spans="16:16" x14ac:dyDescent="0.35">
      <c r="P14392" s="8"/>
    </row>
    <row r="14393" spans="16:16" x14ac:dyDescent="0.35">
      <c r="P14393" s="8"/>
    </row>
    <row r="14394" spans="16:16" x14ac:dyDescent="0.35">
      <c r="P14394" s="8"/>
    </row>
    <row r="14395" spans="16:16" x14ac:dyDescent="0.35">
      <c r="P14395" s="8"/>
    </row>
    <row r="14396" spans="16:16" x14ac:dyDescent="0.35">
      <c r="P14396" s="8"/>
    </row>
    <row r="14397" spans="16:16" x14ac:dyDescent="0.35">
      <c r="P14397" s="8"/>
    </row>
    <row r="14398" spans="16:16" x14ac:dyDescent="0.35">
      <c r="P14398" s="8"/>
    </row>
    <row r="14399" spans="16:16" x14ac:dyDescent="0.35">
      <c r="P14399" s="8"/>
    </row>
    <row r="14400" spans="16:16" x14ac:dyDescent="0.35">
      <c r="P14400" s="8"/>
    </row>
    <row r="14401" spans="16:16" x14ac:dyDescent="0.35">
      <c r="P14401" s="8"/>
    </row>
    <row r="14402" spans="16:16" x14ac:dyDescent="0.35">
      <c r="P14402" s="8"/>
    </row>
    <row r="14403" spans="16:16" x14ac:dyDescent="0.35">
      <c r="P14403" s="8"/>
    </row>
    <row r="14404" spans="16:16" x14ac:dyDescent="0.35">
      <c r="P14404" s="8"/>
    </row>
    <row r="14405" spans="16:16" x14ac:dyDescent="0.35">
      <c r="P14405" s="8"/>
    </row>
    <row r="14406" spans="16:16" x14ac:dyDescent="0.35">
      <c r="P14406" s="8"/>
    </row>
    <row r="14407" spans="16:16" x14ac:dyDescent="0.35">
      <c r="P14407" s="8"/>
    </row>
    <row r="14408" spans="16:16" x14ac:dyDescent="0.35">
      <c r="P14408" s="8"/>
    </row>
    <row r="14409" spans="16:16" x14ac:dyDescent="0.35">
      <c r="P14409" s="8"/>
    </row>
    <row r="14410" spans="16:16" x14ac:dyDescent="0.35">
      <c r="P14410" s="8"/>
    </row>
    <row r="14411" spans="16:16" x14ac:dyDescent="0.35">
      <c r="P14411" s="8"/>
    </row>
    <row r="14412" spans="16:16" x14ac:dyDescent="0.35">
      <c r="P14412" s="8"/>
    </row>
    <row r="14413" spans="16:16" x14ac:dyDescent="0.35">
      <c r="P14413" s="8"/>
    </row>
    <row r="14414" spans="16:16" x14ac:dyDescent="0.35">
      <c r="P14414" s="8"/>
    </row>
    <row r="14415" spans="16:16" x14ac:dyDescent="0.35">
      <c r="P14415" s="8"/>
    </row>
    <row r="14416" spans="16:16" x14ac:dyDescent="0.35">
      <c r="P14416" s="8"/>
    </row>
    <row r="14417" spans="16:16" x14ac:dyDescent="0.35">
      <c r="P14417" s="8"/>
    </row>
    <row r="14418" spans="16:16" x14ac:dyDescent="0.35">
      <c r="P14418" s="8"/>
    </row>
    <row r="14419" spans="16:16" x14ac:dyDescent="0.35">
      <c r="P14419" s="8"/>
    </row>
    <row r="14420" spans="16:16" x14ac:dyDescent="0.35">
      <c r="P14420" s="8"/>
    </row>
    <row r="14421" spans="16:16" x14ac:dyDescent="0.35">
      <c r="P14421" s="8"/>
    </row>
    <row r="14422" spans="16:16" x14ac:dyDescent="0.35">
      <c r="P14422" s="8"/>
    </row>
    <row r="14423" spans="16:16" x14ac:dyDescent="0.35">
      <c r="P14423" s="8"/>
    </row>
    <row r="14424" spans="16:16" x14ac:dyDescent="0.35">
      <c r="P14424" s="8"/>
    </row>
    <row r="14425" spans="16:16" x14ac:dyDescent="0.35">
      <c r="P14425" s="8"/>
    </row>
    <row r="14426" spans="16:16" x14ac:dyDescent="0.35">
      <c r="P14426" s="8"/>
    </row>
    <row r="14427" spans="16:16" x14ac:dyDescent="0.35">
      <c r="P14427" s="8"/>
    </row>
    <row r="14428" spans="16:16" x14ac:dyDescent="0.35">
      <c r="P14428" s="8"/>
    </row>
    <row r="14429" spans="16:16" x14ac:dyDescent="0.35">
      <c r="P14429" s="8"/>
    </row>
    <row r="14430" spans="16:16" x14ac:dyDescent="0.35">
      <c r="P14430" s="8"/>
    </row>
    <row r="14431" spans="16:16" x14ac:dyDescent="0.35">
      <c r="P14431" s="8"/>
    </row>
    <row r="14432" spans="16:16" x14ac:dyDescent="0.35">
      <c r="P14432" s="8"/>
    </row>
    <row r="14433" spans="16:16" x14ac:dyDescent="0.35">
      <c r="P14433" s="8"/>
    </row>
    <row r="14434" spans="16:16" x14ac:dyDescent="0.35">
      <c r="P14434" s="8"/>
    </row>
    <row r="14435" spans="16:16" x14ac:dyDescent="0.35">
      <c r="P14435" s="8"/>
    </row>
    <row r="14436" spans="16:16" x14ac:dyDescent="0.35">
      <c r="P14436" s="8"/>
    </row>
    <row r="14437" spans="16:16" x14ac:dyDescent="0.35">
      <c r="P14437" s="8"/>
    </row>
    <row r="14438" spans="16:16" x14ac:dyDescent="0.35">
      <c r="P14438" s="8"/>
    </row>
    <row r="14439" spans="16:16" x14ac:dyDescent="0.35">
      <c r="P14439" s="8"/>
    </row>
    <row r="14440" spans="16:16" x14ac:dyDescent="0.35">
      <c r="P14440" s="8"/>
    </row>
    <row r="14441" spans="16:16" x14ac:dyDescent="0.35">
      <c r="P14441" s="8"/>
    </row>
    <row r="14442" spans="16:16" x14ac:dyDescent="0.35">
      <c r="P14442" s="8"/>
    </row>
    <row r="14443" spans="16:16" x14ac:dyDescent="0.35">
      <c r="P14443" s="8"/>
    </row>
    <row r="14444" spans="16:16" x14ac:dyDescent="0.35">
      <c r="P14444" s="8"/>
    </row>
    <row r="14445" spans="16:16" x14ac:dyDescent="0.35">
      <c r="P14445" s="8"/>
    </row>
    <row r="14446" spans="16:16" x14ac:dyDescent="0.35">
      <c r="P14446" s="8"/>
    </row>
    <row r="14447" spans="16:16" x14ac:dyDescent="0.35">
      <c r="P14447" s="8"/>
    </row>
    <row r="14448" spans="16:16" x14ac:dyDescent="0.35">
      <c r="P14448" s="8"/>
    </row>
    <row r="14449" spans="16:16" x14ac:dyDescent="0.35">
      <c r="P14449" s="8"/>
    </row>
    <row r="14450" spans="16:16" x14ac:dyDescent="0.35">
      <c r="P14450" s="8"/>
    </row>
    <row r="14451" spans="16:16" x14ac:dyDescent="0.35">
      <c r="P14451" s="8"/>
    </row>
    <row r="14452" spans="16:16" x14ac:dyDescent="0.35">
      <c r="P14452" s="8"/>
    </row>
    <row r="14453" spans="16:16" x14ac:dyDescent="0.35">
      <c r="P14453" s="8"/>
    </row>
    <row r="14454" spans="16:16" x14ac:dyDescent="0.35">
      <c r="P14454" s="8"/>
    </row>
    <row r="14455" spans="16:16" x14ac:dyDescent="0.35">
      <c r="P14455" s="8"/>
    </row>
    <row r="14456" spans="16:16" x14ac:dyDescent="0.35">
      <c r="P14456" s="8"/>
    </row>
    <row r="14457" spans="16:16" x14ac:dyDescent="0.35">
      <c r="P14457" s="8"/>
    </row>
    <row r="14458" spans="16:16" x14ac:dyDescent="0.35">
      <c r="P14458" s="8"/>
    </row>
    <row r="14459" spans="16:16" x14ac:dyDescent="0.35">
      <c r="P14459" s="8"/>
    </row>
    <row r="14460" spans="16:16" x14ac:dyDescent="0.35">
      <c r="P14460" s="8"/>
    </row>
    <row r="14461" spans="16:16" x14ac:dyDescent="0.35">
      <c r="P14461" s="8"/>
    </row>
    <row r="14462" spans="16:16" x14ac:dyDescent="0.35">
      <c r="P14462" s="8"/>
    </row>
    <row r="14463" spans="16:16" x14ac:dyDescent="0.35">
      <c r="P14463" s="8"/>
    </row>
    <row r="14464" spans="16:16" x14ac:dyDescent="0.35">
      <c r="P14464" s="8"/>
    </row>
    <row r="14465" spans="16:16" x14ac:dyDescent="0.35">
      <c r="P14465" s="8"/>
    </row>
    <row r="14466" spans="16:16" x14ac:dyDescent="0.35">
      <c r="P14466" s="8"/>
    </row>
    <row r="14467" spans="16:16" x14ac:dyDescent="0.35">
      <c r="P14467" s="8"/>
    </row>
    <row r="14468" spans="16:16" x14ac:dyDescent="0.35">
      <c r="P14468" s="8"/>
    </row>
    <row r="14469" spans="16:16" x14ac:dyDescent="0.35">
      <c r="P14469" s="8"/>
    </row>
    <row r="14470" spans="16:16" x14ac:dyDescent="0.35">
      <c r="P14470" s="8"/>
    </row>
    <row r="14471" spans="16:16" x14ac:dyDescent="0.35">
      <c r="P14471" s="8"/>
    </row>
    <row r="14472" spans="16:16" x14ac:dyDescent="0.35">
      <c r="P14472" s="8"/>
    </row>
    <row r="14473" spans="16:16" x14ac:dyDescent="0.35">
      <c r="P14473" s="8"/>
    </row>
    <row r="14474" spans="16:16" x14ac:dyDescent="0.35">
      <c r="P14474" s="8"/>
    </row>
    <row r="14475" spans="16:16" x14ac:dyDescent="0.35">
      <c r="P14475" s="8"/>
    </row>
    <row r="14476" spans="16:16" x14ac:dyDescent="0.35">
      <c r="P14476" s="8"/>
    </row>
    <row r="14477" spans="16:16" x14ac:dyDescent="0.35">
      <c r="P14477" s="8"/>
    </row>
    <row r="14478" spans="16:16" x14ac:dyDescent="0.35">
      <c r="P14478" s="8"/>
    </row>
    <row r="14479" spans="16:16" x14ac:dyDescent="0.35">
      <c r="P14479" s="8"/>
    </row>
    <row r="14480" spans="16:16" x14ac:dyDescent="0.35">
      <c r="P14480" s="8"/>
    </row>
    <row r="14481" spans="16:16" x14ac:dyDescent="0.35">
      <c r="P14481" s="8"/>
    </row>
    <row r="14482" spans="16:16" x14ac:dyDescent="0.35">
      <c r="P14482" s="8"/>
    </row>
    <row r="14483" spans="16:16" x14ac:dyDescent="0.35">
      <c r="P14483" s="8"/>
    </row>
    <row r="14484" spans="16:16" x14ac:dyDescent="0.35">
      <c r="P14484" s="8"/>
    </row>
    <row r="14485" spans="16:16" x14ac:dyDescent="0.35">
      <c r="P14485" s="8"/>
    </row>
    <row r="14486" spans="16:16" x14ac:dyDescent="0.35">
      <c r="P14486" s="8"/>
    </row>
    <row r="14487" spans="16:16" x14ac:dyDescent="0.35">
      <c r="P14487" s="8"/>
    </row>
    <row r="14488" spans="16:16" x14ac:dyDescent="0.35">
      <c r="P14488" s="8"/>
    </row>
    <row r="14489" spans="16:16" x14ac:dyDescent="0.35">
      <c r="P14489" s="8"/>
    </row>
    <row r="14490" spans="16:16" x14ac:dyDescent="0.35">
      <c r="P14490" s="8"/>
    </row>
    <row r="14491" spans="16:16" x14ac:dyDescent="0.35">
      <c r="P14491" s="8"/>
    </row>
    <row r="14492" spans="16:16" x14ac:dyDescent="0.35">
      <c r="P14492" s="8"/>
    </row>
    <row r="14493" spans="16:16" x14ac:dyDescent="0.35">
      <c r="P14493" s="8"/>
    </row>
    <row r="14494" spans="16:16" x14ac:dyDescent="0.35">
      <c r="P14494" s="8"/>
    </row>
    <row r="14495" spans="16:16" x14ac:dyDescent="0.35">
      <c r="P14495" s="8"/>
    </row>
    <row r="14496" spans="16:16" x14ac:dyDescent="0.35">
      <c r="P14496" s="8"/>
    </row>
    <row r="14497" spans="16:16" x14ac:dyDescent="0.35">
      <c r="P14497" s="8"/>
    </row>
    <row r="14498" spans="16:16" x14ac:dyDescent="0.35">
      <c r="P14498" s="8"/>
    </row>
    <row r="14499" spans="16:16" x14ac:dyDescent="0.35">
      <c r="P14499" s="8"/>
    </row>
    <row r="14500" spans="16:16" x14ac:dyDescent="0.35">
      <c r="P14500" s="8"/>
    </row>
    <row r="14501" spans="16:16" x14ac:dyDescent="0.35">
      <c r="P14501" s="8"/>
    </row>
    <row r="14502" spans="16:16" x14ac:dyDescent="0.35">
      <c r="P14502" s="8"/>
    </row>
    <row r="14503" spans="16:16" x14ac:dyDescent="0.35">
      <c r="P14503" s="8"/>
    </row>
    <row r="14504" spans="16:16" x14ac:dyDescent="0.35">
      <c r="P14504" s="8"/>
    </row>
    <row r="14505" spans="16:16" x14ac:dyDescent="0.35">
      <c r="P14505" s="8"/>
    </row>
    <row r="14506" spans="16:16" x14ac:dyDescent="0.35">
      <c r="P14506" s="8"/>
    </row>
    <row r="14507" spans="16:16" x14ac:dyDescent="0.35">
      <c r="P14507" s="8"/>
    </row>
    <row r="14508" spans="16:16" x14ac:dyDescent="0.35">
      <c r="P14508" s="8"/>
    </row>
    <row r="14509" spans="16:16" x14ac:dyDescent="0.35">
      <c r="P14509" s="8"/>
    </row>
    <row r="14510" spans="16:16" x14ac:dyDescent="0.35">
      <c r="P14510" s="8"/>
    </row>
    <row r="14511" spans="16:16" x14ac:dyDescent="0.35">
      <c r="P14511" s="8"/>
    </row>
    <row r="14512" spans="16:16" x14ac:dyDescent="0.35">
      <c r="P14512" s="8"/>
    </row>
    <row r="14513" spans="16:16" x14ac:dyDescent="0.35">
      <c r="P14513" s="8"/>
    </row>
    <row r="14514" spans="16:16" x14ac:dyDescent="0.35">
      <c r="P14514" s="8"/>
    </row>
    <row r="14515" spans="16:16" x14ac:dyDescent="0.35">
      <c r="P14515" s="8"/>
    </row>
    <row r="14516" spans="16:16" x14ac:dyDescent="0.35">
      <c r="P14516" s="8"/>
    </row>
    <row r="14517" spans="16:16" x14ac:dyDescent="0.35">
      <c r="P14517" s="8"/>
    </row>
    <row r="14518" spans="16:16" x14ac:dyDescent="0.35">
      <c r="P14518" s="8"/>
    </row>
    <row r="14519" spans="16:16" x14ac:dyDescent="0.35">
      <c r="P14519" s="8"/>
    </row>
    <row r="14520" spans="16:16" x14ac:dyDescent="0.35">
      <c r="P14520" s="8"/>
    </row>
    <row r="14521" spans="16:16" x14ac:dyDescent="0.35">
      <c r="P14521" s="8"/>
    </row>
    <row r="14522" spans="16:16" x14ac:dyDescent="0.35">
      <c r="P14522" s="8"/>
    </row>
    <row r="14523" spans="16:16" x14ac:dyDescent="0.35">
      <c r="P14523" s="8"/>
    </row>
    <row r="14524" spans="16:16" x14ac:dyDescent="0.35">
      <c r="P14524" s="8"/>
    </row>
    <row r="14525" spans="16:16" x14ac:dyDescent="0.35">
      <c r="P14525" s="8"/>
    </row>
    <row r="14526" spans="16:16" x14ac:dyDescent="0.35">
      <c r="P14526" s="8"/>
    </row>
    <row r="14527" spans="16:16" x14ac:dyDescent="0.35">
      <c r="P14527" s="8"/>
    </row>
    <row r="14528" spans="16:16" x14ac:dyDescent="0.35">
      <c r="P14528" s="8"/>
    </row>
    <row r="14529" spans="16:16" x14ac:dyDescent="0.35">
      <c r="P14529" s="8"/>
    </row>
    <row r="14530" spans="16:16" x14ac:dyDescent="0.35">
      <c r="P14530" s="8"/>
    </row>
    <row r="14531" spans="16:16" x14ac:dyDescent="0.35">
      <c r="P14531" s="8"/>
    </row>
    <row r="14532" spans="16:16" x14ac:dyDescent="0.35">
      <c r="P14532" s="8"/>
    </row>
    <row r="14533" spans="16:16" x14ac:dyDescent="0.35">
      <c r="P14533" s="8"/>
    </row>
    <row r="14534" spans="16:16" x14ac:dyDescent="0.35">
      <c r="P14534" s="8"/>
    </row>
    <row r="14535" spans="16:16" x14ac:dyDescent="0.35">
      <c r="P14535" s="8"/>
    </row>
    <row r="14536" spans="16:16" x14ac:dyDescent="0.35">
      <c r="P14536" s="8"/>
    </row>
    <row r="14537" spans="16:16" x14ac:dyDescent="0.35">
      <c r="P14537" s="8"/>
    </row>
    <row r="14538" spans="16:16" x14ac:dyDescent="0.35">
      <c r="P14538" s="8"/>
    </row>
    <row r="14539" spans="16:16" x14ac:dyDescent="0.35">
      <c r="P14539" s="8"/>
    </row>
    <row r="14540" spans="16:16" x14ac:dyDescent="0.35">
      <c r="P14540" s="8"/>
    </row>
    <row r="14541" spans="16:16" x14ac:dyDescent="0.35">
      <c r="P14541" s="8"/>
    </row>
    <row r="14542" spans="16:16" x14ac:dyDescent="0.35">
      <c r="P14542" s="8"/>
    </row>
    <row r="14543" spans="16:16" x14ac:dyDescent="0.35">
      <c r="P14543" s="8"/>
    </row>
    <row r="14544" spans="16:16" x14ac:dyDescent="0.35">
      <c r="P14544" s="8"/>
    </row>
    <row r="14545" spans="16:16" x14ac:dyDescent="0.35">
      <c r="P14545" s="8"/>
    </row>
    <row r="14546" spans="16:16" x14ac:dyDescent="0.35">
      <c r="P14546" s="8"/>
    </row>
    <row r="14547" spans="16:16" x14ac:dyDescent="0.35">
      <c r="P14547" s="8"/>
    </row>
    <row r="14548" spans="16:16" x14ac:dyDescent="0.35">
      <c r="P14548" s="8"/>
    </row>
    <row r="14549" spans="16:16" x14ac:dyDescent="0.35">
      <c r="P14549" s="8"/>
    </row>
    <row r="14550" spans="16:16" x14ac:dyDescent="0.35">
      <c r="P14550" s="8"/>
    </row>
    <row r="14551" spans="16:16" x14ac:dyDescent="0.35">
      <c r="P14551" s="8"/>
    </row>
    <row r="14552" spans="16:16" x14ac:dyDescent="0.35">
      <c r="P14552" s="8"/>
    </row>
    <row r="14553" spans="16:16" x14ac:dyDescent="0.35">
      <c r="P14553" s="8"/>
    </row>
    <row r="14554" spans="16:16" x14ac:dyDescent="0.35">
      <c r="P14554" s="8"/>
    </row>
    <row r="14555" spans="16:16" x14ac:dyDescent="0.35">
      <c r="P14555" s="8"/>
    </row>
    <row r="14556" spans="16:16" x14ac:dyDescent="0.35">
      <c r="P14556" s="8"/>
    </row>
    <row r="14557" spans="16:16" x14ac:dyDescent="0.35">
      <c r="P14557" s="8"/>
    </row>
    <row r="14558" spans="16:16" x14ac:dyDescent="0.35">
      <c r="P14558" s="8"/>
    </row>
    <row r="14559" spans="16:16" x14ac:dyDescent="0.35">
      <c r="P14559" s="8"/>
    </row>
    <row r="14560" spans="16:16" x14ac:dyDescent="0.35">
      <c r="P14560" s="8"/>
    </row>
    <row r="14561" spans="16:16" x14ac:dyDescent="0.35">
      <c r="P14561" s="8"/>
    </row>
    <row r="14562" spans="16:16" x14ac:dyDescent="0.35">
      <c r="P14562" s="8"/>
    </row>
    <row r="14563" spans="16:16" x14ac:dyDescent="0.35">
      <c r="P14563" s="8"/>
    </row>
    <row r="14564" spans="16:16" x14ac:dyDescent="0.35">
      <c r="P14564" s="8"/>
    </row>
    <row r="14565" spans="16:16" x14ac:dyDescent="0.35">
      <c r="P14565" s="8"/>
    </row>
    <row r="14566" spans="16:16" x14ac:dyDescent="0.35">
      <c r="P14566" s="8"/>
    </row>
    <row r="14567" spans="16:16" x14ac:dyDescent="0.35">
      <c r="P14567" s="8"/>
    </row>
    <row r="14568" spans="16:16" x14ac:dyDescent="0.35">
      <c r="P14568" s="8"/>
    </row>
    <row r="14569" spans="16:16" x14ac:dyDescent="0.35">
      <c r="P14569" s="8"/>
    </row>
    <row r="14570" spans="16:16" x14ac:dyDescent="0.35">
      <c r="P14570" s="8"/>
    </row>
    <row r="14571" spans="16:16" x14ac:dyDescent="0.35">
      <c r="P14571" s="8"/>
    </row>
    <row r="14572" spans="16:16" x14ac:dyDescent="0.35">
      <c r="P14572" s="8"/>
    </row>
    <row r="14573" spans="16:16" x14ac:dyDescent="0.35">
      <c r="P14573" s="8"/>
    </row>
    <row r="14574" spans="16:16" x14ac:dyDescent="0.35">
      <c r="P14574" s="8"/>
    </row>
    <row r="14575" spans="16:16" x14ac:dyDescent="0.35">
      <c r="P14575" s="8"/>
    </row>
    <row r="14576" spans="16:16" x14ac:dyDescent="0.35">
      <c r="P14576" s="8"/>
    </row>
    <row r="14577" spans="16:16" x14ac:dyDescent="0.35">
      <c r="P14577" s="8"/>
    </row>
    <row r="14578" spans="16:16" x14ac:dyDescent="0.35">
      <c r="P14578" s="8"/>
    </row>
    <row r="14579" spans="16:16" x14ac:dyDescent="0.35">
      <c r="P14579" s="8"/>
    </row>
    <row r="14580" spans="16:16" x14ac:dyDescent="0.35">
      <c r="P14580" s="8"/>
    </row>
    <row r="14581" spans="16:16" x14ac:dyDescent="0.35">
      <c r="P14581" s="8"/>
    </row>
    <row r="14582" spans="16:16" x14ac:dyDescent="0.35">
      <c r="P14582" s="8"/>
    </row>
    <row r="14583" spans="16:16" x14ac:dyDescent="0.35">
      <c r="P14583" s="8"/>
    </row>
    <row r="14584" spans="16:16" x14ac:dyDescent="0.35">
      <c r="P14584" s="8"/>
    </row>
    <row r="14585" spans="16:16" x14ac:dyDescent="0.35">
      <c r="P14585" s="8"/>
    </row>
    <row r="14586" spans="16:16" x14ac:dyDescent="0.35">
      <c r="P14586" s="8"/>
    </row>
    <row r="14587" spans="16:16" x14ac:dyDescent="0.35">
      <c r="P14587" s="8"/>
    </row>
    <row r="14588" spans="16:16" x14ac:dyDescent="0.35">
      <c r="P14588" s="8"/>
    </row>
    <row r="14589" spans="16:16" x14ac:dyDescent="0.35">
      <c r="P14589" s="8"/>
    </row>
    <row r="14590" spans="16:16" x14ac:dyDescent="0.35">
      <c r="P14590" s="8"/>
    </row>
    <row r="14591" spans="16:16" x14ac:dyDescent="0.35">
      <c r="P14591" s="8"/>
    </row>
    <row r="14592" spans="16:16" x14ac:dyDescent="0.35">
      <c r="P14592" s="8"/>
    </row>
    <row r="14593" spans="16:16" x14ac:dyDescent="0.35">
      <c r="P14593" s="8"/>
    </row>
    <row r="14594" spans="16:16" x14ac:dyDescent="0.35">
      <c r="P14594" s="8"/>
    </row>
    <row r="14595" spans="16:16" x14ac:dyDescent="0.35">
      <c r="P14595" s="8"/>
    </row>
    <row r="14596" spans="16:16" x14ac:dyDescent="0.35">
      <c r="P14596" s="8"/>
    </row>
    <row r="14597" spans="16:16" x14ac:dyDescent="0.35">
      <c r="P14597" s="8"/>
    </row>
    <row r="14598" spans="16:16" x14ac:dyDescent="0.35">
      <c r="P14598" s="8"/>
    </row>
    <row r="14599" spans="16:16" x14ac:dyDescent="0.35">
      <c r="P14599" s="8"/>
    </row>
    <row r="14600" spans="16:16" x14ac:dyDescent="0.35">
      <c r="P14600" s="8"/>
    </row>
    <row r="14601" spans="16:16" x14ac:dyDescent="0.35">
      <c r="P14601" s="8"/>
    </row>
    <row r="14602" spans="16:16" x14ac:dyDescent="0.35">
      <c r="P14602" s="8"/>
    </row>
    <row r="14603" spans="16:16" x14ac:dyDescent="0.35">
      <c r="P14603" s="8"/>
    </row>
    <row r="14604" spans="16:16" x14ac:dyDescent="0.35">
      <c r="P14604" s="8"/>
    </row>
    <row r="14605" spans="16:16" x14ac:dyDescent="0.35">
      <c r="P14605" s="8"/>
    </row>
    <row r="14606" spans="16:16" x14ac:dyDescent="0.35">
      <c r="P14606" s="8"/>
    </row>
    <row r="14607" spans="16:16" x14ac:dyDescent="0.35">
      <c r="P14607" s="8"/>
    </row>
    <row r="14608" spans="16:16" x14ac:dyDescent="0.35">
      <c r="P14608" s="8"/>
    </row>
    <row r="14609" spans="16:16" x14ac:dyDescent="0.35">
      <c r="P14609" s="8"/>
    </row>
    <row r="14610" spans="16:16" x14ac:dyDescent="0.35">
      <c r="P14610" s="8"/>
    </row>
    <row r="14611" spans="16:16" x14ac:dyDescent="0.35">
      <c r="P14611" s="8"/>
    </row>
    <row r="14612" spans="16:16" x14ac:dyDescent="0.35">
      <c r="P14612" s="8"/>
    </row>
    <row r="14613" spans="16:16" x14ac:dyDescent="0.35">
      <c r="P14613" s="8"/>
    </row>
    <row r="14614" spans="16:16" x14ac:dyDescent="0.35">
      <c r="P14614" s="8"/>
    </row>
    <row r="14615" spans="16:16" x14ac:dyDescent="0.35">
      <c r="P14615" s="8"/>
    </row>
    <row r="14616" spans="16:16" x14ac:dyDescent="0.35">
      <c r="P14616" s="8"/>
    </row>
    <row r="14617" spans="16:16" x14ac:dyDescent="0.35">
      <c r="P14617" s="8"/>
    </row>
    <row r="14618" spans="16:16" x14ac:dyDescent="0.35">
      <c r="P14618" s="8"/>
    </row>
    <row r="14619" spans="16:16" x14ac:dyDescent="0.35">
      <c r="P14619" s="8"/>
    </row>
    <row r="14620" spans="16:16" x14ac:dyDescent="0.35">
      <c r="P14620" s="8"/>
    </row>
    <row r="14621" spans="16:16" x14ac:dyDescent="0.35">
      <c r="P14621" s="8"/>
    </row>
    <row r="14622" spans="16:16" x14ac:dyDescent="0.35">
      <c r="P14622" s="8"/>
    </row>
    <row r="14623" spans="16:16" x14ac:dyDescent="0.35">
      <c r="P14623" s="8"/>
    </row>
    <row r="14624" spans="16:16" x14ac:dyDescent="0.35">
      <c r="P14624" s="8"/>
    </row>
    <row r="14625" spans="16:16" x14ac:dyDescent="0.35">
      <c r="P14625" s="8"/>
    </row>
    <row r="14626" spans="16:16" x14ac:dyDescent="0.35">
      <c r="P14626" s="8"/>
    </row>
    <row r="14627" spans="16:16" x14ac:dyDescent="0.35">
      <c r="P14627" s="8"/>
    </row>
    <row r="14628" spans="16:16" x14ac:dyDescent="0.35">
      <c r="P14628" s="8"/>
    </row>
    <row r="14629" spans="16:16" x14ac:dyDescent="0.35">
      <c r="P14629" s="8"/>
    </row>
    <row r="14630" spans="16:16" x14ac:dyDescent="0.35">
      <c r="P14630" s="8"/>
    </row>
    <row r="14631" spans="16:16" x14ac:dyDescent="0.35">
      <c r="P14631" s="8"/>
    </row>
    <row r="14632" spans="16:16" x14ac:dyDescent="0.35">
      <c r="P14632" s="8"/>
    </row>
    <row r="14633" spans="16:16" x14ac:dyDescent="0.35">
      <c r="P14633" s="8"/>
    </row>
    <row r="14634" spans="16:16" x14ac:dyDescent="0.35">
      <c r="P14634" s="8"/>
    </row>
    <row r="14635" spans="16:16" x14ac:dyDescent="0.35">
      <c r="P14635" s="8"/>
    </row>
    <row r="14636" spans="16:16" x14ac:dyDescent="0.35">
      <c r="P14636" s="8"/>
    </row>
    <row r="14637" spans="16:16" x14ac:dyDescent="0.35">
      <c r="P14637" s="8"/>
    </row>
    <row r="14638" spans="16:16" x14ac:dyDescent="0.35">
      <c r="P14638" s="8"/>
    </row>
    <row r="14639" spans="16:16" x14ac:dyDescent="0.35">
      <c r="P14639" s="8"/>
    </row>
    <row r="14640" spans="16:16" x14ac:dyDescent="0.35">
      <c r="P14640" s="8"/>
    </row>
    <row r="14641" spans="16:16" x14ac:dyDescent="0.35">
      <c r="P14641" s="8"/>
    </row>
    <row r="14642" spans="16:16" x14ac:dyDescent="0.35">
      <c r="P14642" s="8"/>
    </row>
    <row r="14643" spans="16:16" x14ac:dyDescent="0.35">
      <c r="P14643" s="8"/>
    </row>
    <row r="14644" spans="16:16" x14ac:dyDescent="0.35">
      <c r="P14644" s="8"/>
    </row>
    <row r="14645" spans="16:16" x14ac:dyDescent="0.35">
      <c r="P14645" s="8"/>
    </row>
    <row r="14646" spans="16:16" x14ac:dyDescent="0.35">
      <c r="P14646" s="8"/>
    </row>
    <row r="14647" spans="16:16" x14ac:dyDescent="0.35">
      <c r="P14647" s="8"/>
    </row>
    <row r="14648" spans="16:16" x14ac:dyDescent="0.35">
      <c r="P14648" s="8"/>
    </row>
    <row r="14649" spans="16:16" x14ac:dyDescent="0.35">
      <c r="P14649" s="8"/>
    </row>
    <row r="14650" spans="16:16" x14ac:dyDescent="0.35">
      <c r="P14650" s="8"/>
    </row>
    <row r="14651" spans="16:16" x14ac:dyDescent="0.35">
      <c r="P14651" s="8"/>
    </row>
    <row r="14652" spans="16:16" x14ac:dyDescent="0.35">
      <c r="P14652" s="8"/>
    </row>
    <row r="14653" spans="16:16" x14ac:dyDescent="0.35">
      <c r="P14653" s="8"/>
    </row>
    <row r="14654" spans="16:16" x14ac:dyDescent="0.35">
      <c r="P14654" s="8"/>
    </row>
    <row r="14655" spans="16:16" x14ac:dyDescent="0.35">
      <c r="P14655" s="8"/>
    </row>
    <row r="14656" spans="16:16" x14ac:dyDescent="0.35">
      <c r="P14656" s="8"/>
    </row>
    <row r="14657" spans="16:16" x14ac:dyDescent="0.35">
      <c r="P14657" s="8"/>
    </row>
    <row r="14658" spans="16:16" x14ac:dyDescent="0.35">
      <c r="P14658" s="8"/>
    </row>
    <row r="14659" spans="16:16" x14ac:dyDescent="0.35">
      <c r="P14659" s="8"/>
    </row>
    <row r="14660" spans="16:16" x14ac:dyDescent="0.35">
      <c r="P14660" s="8"/>
    </row>
    <row r="14661" spans="16:16" x14ac:dyDescent="0.35">
      <c r="P14661" s="8"/>
    </row>
    <row r="14662" spans="16:16" x14ac:dyDescent="0.35">
      <c r="P14662" s="8"/>
    </row>
    <row r="14663" spans="16:16" x14ac:dyDescent="0.35">
      <c r="P14663" s="8"/>
    </row>
    <row r="14664" spans="16:16" x14ac:dyDescent="0.35">
      <c r="P14664" s="8"/>
    </row>
    <row r="14665" spans="16:16" x14ac:dyDescent="0.35">
      <c r="P14665" s="8"/>
    </row>
    <row r="14666" spans="16:16" x14ac:dyDescent="0.35">
      <c r="P14666" s="8"/>
    </row>
    <row r="14667" spans="16:16" x14ac:dyDescent="0.35">
      <c r="P14667" s="8"/>
    </row>
    <row r="14668" spans="16:16" x14ac:dyDescent="0.35">
      <c r="P14668" s="8"/>
    </row>
    <row r="14669" spans="16:16" x14ac:dyDescent="0.35">
      <c r="P14669" s="8"/>
    </row>
    <row r="14670" spans="16:16" x14ac:dyDescent="0.35">
      <c r="P14670" s="8"/>
    </row>
    <row r="14671" spans="16:16" x14ac:dyDescent="0.35">
      <c r="P14671" s="8"/>
    </row>
    <row r="14672" spans="16:16" x14ac:dyDescent="0.35">
      <c r="P14672" s="8"/>
    </row>
    <row r="14673" spans="16:16" x14ac:dyDescent="0.35">
      <c r="P14673" s="8"/>
    </row>
    <row r="14674" spans="16:16" x14ac:dyDescent="0.35">
      <c r="P14674" s="8"/>
    </row>
    <row r="14675" spans="16:16" x14ac:dyDescent="0.35">
      <c r="P14675" s="8"/>
    </row>
    <row r="14676" spans="16:16" x14ac:dyDescent="0.35">
      <c r="P14676" s="8"/>
    </row>
    <row r="14677" spans="16:16" x14ac:dyDescent="0.35">
      <c r="P14677" s="8"/>
    </row>
    <row r="14678" spans="16:16" x14ac:dyDescent="0.35">
      <c r="P14678" s="8"/>
    </row>
    <row r="14679" spans="16:16" x14ac:dyDescent="0.35">
      <c r="P14679" s="8"/>
    </row>
    <row r="14680" spans="16:16" x14ac:dyDescent="0.35">
      <c r="P14680" s="8"/>
    </row>
    <row r="14681" spans="16:16" x14ac:dyDescent="0.35">
      <c r="P14681" s="8"/>
    </row>
    <row r="14682" spans="16:16" x14ac:dyDescent="0.35">
      <c r="P14682" s="8"/>
    </row>
    <row r="14683" spans="16:16" x14ac:dyDescent="0.35">
      <c r="P14683" s="8"/>
    </row>
    <row r="14684" spans="16:16" x14ac:dyDescent="0.35">
      <c r="P14684" s="8"/>
    </row>
    <row r="14685" spans="16:16" x14ac:dyDescent="0.35">
      <c r="P14685" s="8"/>
    </row>
    <row r="14686" spans="16:16" x14ac:dyDescent="0.35">
      <c r="P14686" s="8"/>
    </row>
    <row r="14687" spans="16:16" x14ac:dyDescent="0.35">
      <c r="P14687" s="8"/>
    </row>
    <row r="14688" spans="16:16" x14ac:dyDescent="0.35">
      <c r="P14688" s="8"/>
    </row>
    <row r="14689" spans="16:16" x14ac:dyDescent="0.35">
      <c r="P14689" s="8"/>
    </row>
    <row r="14690" spans="16:16" x14ac:dyDescent="0.35">
      <c r="P14690" s="8"/>
    </row>
    <row r="14691" spans="16:16" x14ac:dyDescent="0.35">
      <c r="P14691" s="8"/>
    </row>
    <row r="14692" spans="16:16" x14ac:dyDescent="0.35">
      <c r="P14692" s="8"/>
    </row>
    <row r="14693" spans="16:16" x14ac:dyDescent="0.35">
      <c r="P14693" s="8"/>
    </row>
    <row r="14694" spans="16:16" x14ac:dyDescent="0.35">
      <c r="P14694" s="8"/>
    </row>
    <row r="14695" spans="16:16" x14ac:dyDescent="0.35">
      <c r="P14695" s="8"/>
    </row>
    <row r="14696" spans="16:16" x14ac:dyDescent="0.35">
      <c r="P14696" s="8"/>
    </row>
    <row r="14697" spans="16:16" x14ac:dyDescent="0.35">
      <c r="P14697" s="8"/>
    </row>
    <row r="14698" spans="16:16" x14ac:dyDescent="0.35">
      <c r="P14698" s="8"/>
    </row>
    <row r="14699" spans="16:16" x14ac:dyDescent="0.35">
      <c r="P14699" s="8"/>
    </row>
    <row r="14700" spans="16:16" x14ac:dyDescent="0.35">
      <c r="P14700" s="8"/>
    </row>
    <row r="14701" spans="16:16" x14ac:dyDescent="0.35">
      <c r="P14701" s="8"/>
    </row>
    <row r="14702" spans="16:16" x14ac:dyDescent="0.35">
      <c r="P14702" s="8"/>
    </row>
    <row r="14703" spans="16:16" x14ac:dyDescent="0.35">
      <c r="P14703" s="8"/>
    </row>
    <row r="14704" spans="16:16" x14ac:dyDescent="0.35">
      <c r="P14704" s="8"/>
    </row>
    <row r="14705" spans="16:16" x14ac:dyDescent="0.35">
      <c r="P14705" s="8"/>
    </row>
    <row r="14706" spans="16:16" x14ac:dyDescent="0.35">
      <c r="P14706" s="8"/>
    </row>
    <row r="14707" spans="16:16" x14ac:dyDescent="0.35">
      <c r="P14707" s="8"/>
    </row>
    <row r="14708" spans="16:16" x14ac:dyDescent="0.35">
      <c r="P14708" s="8"/>
    </row>
    <row r="14709" spans="16:16" x14ac:dyDescent="0.35">
      <c r="P14709" s="8"/>
    </row>
    <row r="14710" spans="16:16" x14ac:dyDescent="0.35">
      <c r="P14710" s="8"/>
    </row>
    <row r="14711" spans="16:16" x14ac:dyDescent="0.35">
      <c r="P14711" s="8"/>
    </row>
    <row r="14712" spans="16:16" x14ac:dyDescent="0.35">
      <c r="P14712" s="8"/>
    </row>
    <row r="14713" spans="16:16" x14ac:dyDescent="0.35">
      <c r="P14713" s="8"/>
    </row>
    <row r="14714" spans="16:16" x14ac:dyDescent="0.35">
      <c r="P14714" s="8"/>
    </row>
    <row r="14715" spans="16:16" x14ac:dyDescent="0.35">
      <c r="P14715" s="8"/>
    </row>
    <row r="14716" spans="16:16" x14ac:dyDescent="0.35">
      <c r="P14716" s="8"/>
    </row>
    <row r="14717" spans="16:16" x14ac:dyDescent="0.35">
      <c r="P14717" s="8"/>
    </row>
    <row r="14718" spans="16:16" x14ac:dyDescent="0.35">
      <c r="P14718" s="8"/>
    </row>
    <row r="14719" spans="16:16" x14ac:dyDescent="0.35">
      <c r="P14719" s="8"/>
    </row>
    <row r="14720" spans="16:16" x14ac:dyDescent="0.35">
      <c r="P14720" s="8"/>
    </row>
    <row r="14721" spans="16:16" x14ac:dyDescent="0.35">
      <c r="P14721" s="8"/>
    </row>
    <row r="14722" spans="16:16" x14ac:dyDescent="0.35">
      <c r="P14722" s="8"/>
    </row>
    <row r="14723" spans="16:16" x14ac:dyDescent="0.35">
      <c r="P14723" s="8"/>
    </row>
    <row r="14724" spans="16:16" x14ac:dyDescent="0.35">
      <c r="P14724" s="8"/>
    </row>
    <row r="14725" spans="16:16" x14ac:dyDescent="0.35">
      <c r="P14725" s="8"/>
    </row>
    <row r="14726" spans="16:16" x14ac:dyDescent="0.35">
      <c r="P14726" s="8"/>
    </row>
    <row r="14727" spans="16:16" x14ac:dyDescent="0.35">
      <c r="P14727" s="8"/>
    </row>
    <row r="14728" spans="16:16" x14ac:dyDescent="0.35">
      <c r="P14728" s="8"/>
    </row>
    <row r="14729" spans="16:16" x14ac:dyDescent="0.35">
      <c r="P14729" s="8"/>
    </row>
    <row r="14730" spans="16:16" x14ac:dyDescent="0.35">
      <c r="P14730" s="8"/>
    </row>
    <row r="14731" spans="16:16" x14ac:dyDescent="0.35">
      <c r="P14731" s="8"/>
    </row>
    <row r="14732" spans="16:16" x14ac:dyDescent="0.35">
      <c r="P14732" s="8"/>
    </row>
    <row r="14733" spans="16:16" x14ac:dyDescent="0.35">
      <c r="P14733" s="8"/>
    </row>
    <row r="14734" spans="16:16" x14ac:dyDescent="0.35">
      <c r="P14734" s="8"/>
    </row>
    <row r="14735" spans="16:16" x14ac:dyDescent="0.35">
      <c r="P14735" s="8"/>
    </row>
    <row r="14736" spans="16:16" x14ac:dyDescent="0.35">
      <c r="P14736" s="8"/>
    </row>
    <row r="14737" spans="16:16" x14ac:dyDescent="0.35">
      <c r="P14737" s="8"/>
    </row>
    <row r="14738" spans="16:16" x14ac:dyDescent="0.35">
      <c r="P14738" s="8"/>
    </row>
    <row r="14739" spans="16:16" x14ac:dyDescent="0.35">
      <c r="P14739" s="8"/>
    </row>
    <row r="14740" spans="16:16" x14ac:dyDescent="0.35">
      <c r="P14740" s="8"/>
    </row>
    <row r="14741" spans="16:16" x14ac:dyDescent="0.35">
      <c r="P14741" s="8"/>
    </row>
    <row r="14742" spans="16:16" x14ac:dyDescent="0.35">
      <c r="P14742" s="8"/>
    </row>
    <row r="14743" spans="16:16" x14ac:dyDescent="0.35">
      <c r="P14743" s="8"/>
    </row>
    <row r="14744" spans="16:16" x14ac:dyDescent="0.35">
      <c r="P14744" s="8"/>
    </row>
    <row r="14745" spans="16:16" x14ac:dyDescent="0.35">
      <c r="P14745" s="8"/>
    </row>
    <row r="14746" spans="16:16" x14ac:dyDescent="0.35">
      <c r="P14746" s="8"/>
    </row>
    <row r="14747" spans="16:16" x14ac:dyDescent="0.35">
      <c r="P14747" s="8"/>
    </row>
    <row r="14748" spans="16:16" x14ac:dyDescent="0.35">
      <c r="P14748" s="8"/>
    </row>
    <row r="14749" spans="16:16" x14ac:dyDescent="0.35">
      <c r="P14749" s="8"/>
    </row>
    <row r="14750" spans="16:16" x14ac:dyDescent="0.35">
      <c r="P14750" s="8"/>
    </row>
    <row r="14751" spans="16:16" x14ac:dyDescent="0.35">
      <c r="P14751" s="8"/>
    </row>
    <row r="14752" spans="16:16" x14ac:dyDescent="0.35">
      <c r="P14752" s="8"/>
    </row>
    <row r="14753" spans="16:16" x14ac:dyDescent="0.35">
      <c r="P14753" s="8"/>
    </row>
    <row r="14754" spans="16:16" x14ac:dyDescent="0.35">
      <c r="P14754" s="8"/>
    </row>
    <row r="14755" spans="16:16" x14ac:dyDescent="0.35">
      <c r="P14755" s="8"/>
    </row>
    <row r="14756" spans="16:16" x14ac:dyDescent="0.35">
      <c r="P14756" s="8"/>
    </row>
    <row r="14757" spans="16:16" x14ac:dyDescent="0.35">
      <c r="P14757" s="8"/>
    </row>
    <row r="14758" spans="16:16" x14ac:dyDescent="0.35">
      <c r="P14758" s="8"/>
    </row>
    <row r="14759" spans="16:16" x14ac:dyDescent="0.35">
      <c r="P14759" s="8"/>
    </row>
    <row r="14760" spans="16:16" x14ac:dyDescent="0.35">
      <c r="P14760" s="8"/>
    </row>
    <row r="14761" spans="16:16" x14ac:dyDescent="0.35">
      <c r="P14761" s="8"/>
    </row>
    <row r="14762" spans="16:16" x14ac:dyDescent="0.35">
      <c r="P14762" s="8"/>
    </row>
    <row r="14763" spans="16:16" x14ac:dyDescent="0.35">
      <c r="P14763" s="8"/>
    </row>
    <row r="14764" spans="16:16" x14ac:dyDescent="0.35">
      <c r="P14764" s="8"/>
    </row>
    <row r="14765" spans="16:16" x14ac:dyDescent="0.35">
      <c r="P14765" s="8"/>
    </row>
    <row r="14766" spans="16:16" x14ac:dyDescent="0.35">
      <c r="P14766" s="8"/>
    </row>
    <row r="14767" spans="16:16" x14ac:dyDescent="0.35">
      <c r="P14767" s="8"/>
    </row>
    <row r="14768" spans="16:16" x14ac:dyDescent="0.35">
      <c r="P14768" s="8"/>
    </row>
    <row r="14769" spans="16:16" x14ac:dyDescent="0.35">
      <c r="P14769" s="8"/>
    </row>
    <row r="14770" spans="16:16" x14ac:dyDescent="0.35">
      <c r="P14770" s="8"/>
    </row>
    <row r="14771" spans="16:16" x14ac:dyDescent="0.35">
      <c r="P14771" s="8"/>
    </row>
    <row r="14772" spans="16:16" x14ac:dyDescent="0.35">
      <c r="P14772" s="8"/>
    </row>
    <row r="14773" spans="16:16" x14ac:dyDescent="0.35">
      <c r="P14773" s="8"/>
    </row>
    <row r="14774" spans="16:16" x14ac:dyDescent="0.35">
      <c r="P14774" s="8"/>
    </row>
    <row r="14775" spans="16:16" x14ac:dyDescent="0.35">
      <c r="P14775" s="8"/>
    </row>
    <row r="14776" spans="16:16" x14ac:dyDescent="0.35">
      <c r="P14776" s="8"/>
    </row>
    <row r="14777" spans="16:16" x14ac:dyDescent="0.35">
      <c r="P14777" s="8"/>
    </row>
    <row r="14778" spans="16:16" x14ac:dyDescent="0.35">
      <c r="P14778" s="8"/>
    </row>
    <row r="14779" spans="16:16" x14ac:dyDescent="0.35">
      <c r="P14779" s="8"/>
    </row>
    <row r="14780" spans="16:16" x14ac:dyDescent="0.35">
      <c r="P14780" s="8"/>
    </row>
    <row r="14781" spans="16:16" x14ac:dyDescent="0.35">
      <c r="P14781" s="8"/>
    </row>
    <row r="14782" spans="16:16" x14ac:dyDescent="0.35">
      <c r="P14782" s="8"/>
    </row>
    <row r="14783" spans="16:16" x14ac:dyDescent="0.35">
      <c r="P14783" s="8"/>
    </row>
    <row r="14784" spans="16:16" x14ac:dyDescent="0.35">
      <c r="P14784" s="8"/>
    </row>
    <row r="14785" spans="16:16" x14ac:dyDescent="0.35">
      <c r="P14785" s="8"/>
    </row>
    <row r="14786" spans="16:16" x14ac:dyDescent="0.35">
      <c r="P14786" s="8"/>
    </row>
    <row r="14787" spans="16:16" x14ac:dyDescent="0.35">
      <c r="P14787" s="8"/>
    </row>
    <row r="14788" spans="16:16" x14ac:dyDescent="0.35">
      <c r="P14788" s="8"/>
    </row>
    <row r="14789" spans="16:16" x14ac:dyDescent="0.35">
      <c r="P14789" s="8"/>
    </row>
    <row r="14790" spans="16:16" x14ac:dyDescent="0.35">
      <c r="P14790" s="8"/>
    </row>
    <row r="14791" spans="16:16" x14ac:dyDescent="0.35">
      <c r="P14791" s="8"/>
    </row>
    <row r="14792" spans="16:16" x14ac:dyDescent="0.35">
      <c r="P14792" s="8"/>
    </row>
    <row r="14793" spans="16:16" x14ac:dyDescent="0.35">
      <c r="P14793" s="8"/>
    </row>
    <row r="14794" spans="16:16" x14ac:dyDescent="0.35">
      <c r="P14794" s="8"/>
    </row>
    <row r="14795" spans="16:16" x14ac:dyDescent="0.35">
      <c r="P14795" s="8"/>
    </row>
    <row r="14796" spans="16:16" x14ac:dyDescent="0.35">
      <c r="P14796" s="8"/>
    </row>
    <row r="14797" spans="16:16" x14ac:dyDescent="0.35">
      <c r="P14797" s="8"/>
    </row>
    <row r="14798" spans="16:16" x14ac:dyDescent="0.35">
      <c r="P14798" s="8"/>
    </row>
    <row r="14799" spans="16:16" x14ac:dyDescent="0.35">
      <c r="P14799" s="8"/>
    </row>
    <row r="14800" spans="16:16" x14ac:dyDescent="0.35">
      <c r="P14800" s="8"/>
    </row>
    <row r="14801" spans="16:16" x14ac:dyDescent="0.35">
      <c r="P14801" s="8"/>
    </row>
    <row r="14802" spans="16:16" x14ac:dyDescent="0.35">
      <c r="P14802" s="8"/>
    </row>
    <row r="14803" spans="16:16" x14ac:dyDescent="0.35">
      <c r="P14803" s="8"/>
    </row>
    <row r="14804" spans="16:16" x14ac:dyDescent="0.35">
      <c r="P14804" s="8"/>
    </row>
    <row r="14805" spans="16:16" x14ac:dyDescent="0.35">
      <c r="P14805" s="8"/>
    </row>
    <row r="14806" spans="16:16" x14ac:dyDescent="0.35">
      <c r="P14806" s="8"/>
    </row>
    <row r="14807" spans="16:16" x14ac:dyDescent="0.35">
      <c r="P14807" s="8"/>
    </row>
    <row r="14808" spans="16:16" x14ac:dyDescent="0.35">
      <c r="P14808" s="8"/>
    </row>
    <row r="14809" spans="16:16" x14ac:dyDescent="0.35">
      <c r="P14809" s="8"/>
    </row>
    <row r="14810" spans="16:16" x14ac:dyDescent="0.35">
      <c r="P14810" s="8"/>
    </row>
    <row r="14811" spans="16:16" x14ac:dyDescent="0.35">
      <c r="P14811" s="8"/>
    </row>
    <row r="14812" spans="16:16" x14ac:dyDescent="0.35">
      <c r="P14812" s="8"/>
    </row>
    <row r="14813" spans="16:16" x14ac:dyDescent="0.35">
      <c r="P14813" s="8"/>
    </row>
    <row r="14814" spans="16:16" x14ac:dyDescent="0.35">
      <c r="P14814" s="8"/>
    </row>
    <row r="14815" spans="16:16" x14ac:dyDescent="0.35">
      <c r="P14815" s="8"/>
    </row>
    <row r="14816" spans="16:16" x14ac:dyDescent="0.35">
      <c r="P14816" s="8"/>
    </row>
    <row r="14817" spans="16:16" x14ac:dyDescent="0.35">
      <c r="P14817" s="8"/>
    </row>
    <row r="14818" spans="16:16" x14ac:dyDescent="0.35">
      <c r="P14818" s="8"/>
    </row>
    <row r="14819" spans="16:16" x14ac:dyDescent="0.35">
      <c r="P14819" s="8"/>
    </row>
    <row r="14820" spans="16:16" x14ac:dyDescent="0.35">
      <c r="P14820" s="8"/>
    </row>
    <row r="14821" spans="16:16" x14ac:dyDescent="0.35">
      <c r="P14821" s="8"/>
    </row>
    <row r="14822" spans="16:16" x14ac:dyDescent="0.35">
      <c r="P14822" s="8"/>
    </row>
    <row r="14823" spans="16:16" x14ac:dyDescent="0.35">
      <c r="P14823" s="8"/>
    </row>
    <row r="14824" spans="16:16" x14ac:dyDescent="0.35">
      <c r="P14824" s="8"/>
    </row>
    <row r="14825" spans="16:16" x14ac:dyDescent="0.35">
      <c r="P14825" s="8"/>
    </row>
    <row r="14826" spans="16:16" x14ac:dyDescent="0.35">
      <c r="P14826" s="8"/>
    </row>
    <row r="14827" spans="16:16" x14ac:dyDescent="0.35">
      <c r="P14827" s="8"/>
    </row>
    <row r="14828" spans="16:16" x14ac:dyDescent="0.35">
      <c r="P14828" s="8"/>
    </row>
    <row r="14829" spans="16:16" x14ac:dyDescent="0.35">
      <c r="P14829" s="8"/>
    </row>
    <row r="14830" spans="16:16" x14ac:dyDescent="0.35">
      <c r="P14830" s="8"/>
    </row>
    <row r="14831" spans="16:16" x14ac:dyDescent="0.35">
      <c r="P14831" s="8"/>
    </row>
    <row r="14832" spans="16:16" x14ac:dyDescent="0.35">
      <c r="P14832" s="8"/>
    </row>
    <row r="14833" spans="16:16" x14ac:dyDescent="0.35">
      <c r="P14833" s="8"/>
    </row>
    <row r="14834" spans="16:16" x14ac:dyDescent="0.35">
      <c r="P14834" s="8"/>
    </row>
    <row r="14835" spans="16:16" x14ac:dyDescent="0.35">
      <c r="P14835" s="8"/>
    </row>
    <row r="14836" spans="16:16" x14ac:dyDescent="0.35">
      <c r="P14836" s="8"/>
    </row>
    <row r="14837" spans="16:16" x14ac:dyDescent="0.35">
      <c r="P14837" s="8"/>
    </row>
    <row r="14838" spans="16:16" x14ac:dyDescent="0.35">
      <c r="P14838" s="8"/>
    </row>
    <row r="14839" spans="16:16" x14ac:dyDescent="0.35">
      <c r="P14839" s="8"/>
    </row>
    <row r="14840" spans="16:16" x14ac:dyDescent="0.35">
      <c r="P14840" s="8"/>
    </row>
    <row r="14841" spans="16:16" x14ac:dyDescent="0.35">
      <c r="P14841" s="8"/>
    </row>
    <row r="14842" spans="16:16" x14ac:dyDescent="0.35">
      <c r="P14842" s="8"/>
    </row>
    <row r="14843" spans="16:16" x14ac:dyDescent="0.35">
      <c r="P14843" s="8"/>
    </row>
    <row r="14844" spans="16:16" x14ac:dyDescent="0.35">
      <c r="P14844" s="8"/>
    </row>
    <row r="14845" spans="16:16" x14ac:dyDescent="0.35">
      <c r="P14845" s="8"/>
    </row>
    <row r="14846" spans="16:16" x14ac:dyDescent="0.35">
      <c r="P14846" s="8"/>
    </row>
    <row r="14847" spans="16:16" x14ac:dyDescent="0.35">
      <c r="P14847" s="8"/>
    </row>
    <row r="14848" spans="16:16" x14ac:dyDescent="0.35">
      <c r="P14848" s="8"/>
    </row>
    <row r="14849" spans="16:16" x14ac:dyDescent="0.35">
      <c r="P14849" s="8"/>
    </row>
    <row r="14850" spans="16:16" x14ac:dyDescent="0.35">
      <c r="P14850" s="8"/>
    </row>
    <row r="14851" spans="16:16" x14ac:dyDescent="0.35">
      <c r="P14851" s="8"/>
    </row>
    <row r="14852" spans="16:16" x14ac:dyDescent="0.35">
      <c r="P14852" s="8"/>
    </row>
    <row r="14853" spans="16:16" x14ac:dyDescent="0.35">
      <c r="P14853" s="8"/>
    </row>
    <row r="14854" spans="16:16" x14ac:dyDescent="0.35">
      <c r="P14854" s="8"/>
    </row>
    <row r="14855" spans="16:16" x14ac:dyDescent="0.35">
      <c r="P14855" s="8"/>
    </row>
    <row r="14856" spans="16:16" x14ac:dyDescent="0.35">
      <c r="P14856" s="8"/>
    </row>
    <row r="14857" spans="16:16" x14ac:dyDescent="0.35">
      <c r="P14857" s="8"/>
    </row>
    <row r="14858" spans="16:16" x14ac:dyDescent="0.35">
      <c r="P14858" s="8"/>
    </row>
    <row r="14859" spans="16:16" x14ac:dyDescent="0.35">
      <c r="P14859" s="8"/>
    </row>
    <row r="14860" spans="16:16" x14ac:dyDescent="0.35">
      <c r="P14860" s="8"/>
    </row>
    <row r="14861" spans="16:16" x14ac:dyDescent="0.35">
      <c r="P14861" s="8"/>
    </row>
    <row r="14862" spans="16:16" x14ac:dyDescent="0.35">
      <c r="P14862" s="8"/>
    </row>
    <row r="14863" spans="16:16" x14ac:dyDescent="0.35">
      <c r="P14863" s="8"/>
    </row>
    <row r="14864" spans="16:16" x14ac:dyDescent="0.35">
      <c r="P14864" s="8"/>
    </row>
    <row r="14865" spans="16:16" x14ac:dyDescent="0.35">
      <c r="P14865" s="8"/>
    </row>
    <row r="14866" spans="16:16" x14ac:dyDescent="0.35">
      <c r="P14866" s="8"/>
    </row>
    <row r="14867" spans="16:16" x14ac:dyDescent="0.35">
      <c r="P14867" s="8"/>
    </row>
    <row r="14868" spans="16:16" x14ac:dyDescent="0.35">
      <c r="P14868" s="8"/>
    </row>
    <row r="14869" spans="16:16" x14ac:dyDescent="0.35">
      <c r="P14869" s="8"/>
    </row>
    <row r="14870" spans="16:16" x14ac:dyDescent="0.35">
      <c r="P14870" s="8"/>
    </row>
    <row r="14871" spans="16:16" x14ac:dyDescent="0.35">
      <c r="P14871" s="8"/>
    </row>
    <row r="14872" spans="16:16" x14ac:dyDescent="0.35">
      <c r="P14872" s="8"/>
    </row>
    <row r="14873" spans="16:16" x14ac:dyDescent="0.35">
      <c r="P14873" s="8"/>
    </row>
    <row r="14874" spans="16:16" x14ac:dyDescent="0.35">
      <c r="P14874" s="8"/>
    </row>
    <row r="14875" spans="16:16" x14ac:dyDescent="0.35">
      <c r="P14875" s="8"/>
    </row>
    <row r="14876" spans="16:16" x14ac:dyDescent="0.35">
      <c r="P14876" s="8"/>
    </row>
    <row r="14877" spans="16:16" x14ac:dyDescent="0.35">
      <c r="P14877" s="8"/>
    </row>
    <row r="14878" spans="16:16" x14ac:dyDescent="0.35">
      <c r="P14878" s="8"/>
    </row>
    <row r="14879" spans="16:16" x14ac:dyDescent="0.35">
      <c r="P14879" s="8"/>
    </row>
    <row r="14880" spans="16:16" x14ac:dyDescent="0.35">
      <c r="P14880" s="8"/>
    </row>
    <row r="14881" spans="16:16" x14ac:dyDescent="0.35">
      <c r="P14881" s="8"/>
    </row>
    <row r="14882" spans="16:16" x14ac:dyDescent="0.35">
      <c r="P14882" s="8"/>
    </row>
    <row r="14883" spans="16:16" x14ac:dyDescent="0.35">
      <c r="P14883" s="8"/>
    </row>
    <row r="14884" spans="16:16" x14ac:dyDescent="0.35">
      <c r="P14884" s="8"/>
    </row>
    <row r="14885" spans="16:16" x14ac:dyDescent="0.35">
      <c r="P14885" s="8"/>
    </row>
    <row r="14886" spans="16:16" x14ac:dyDescent="0.35">
      <c r="P14886" s="8"/>
    </row>
    <row r="14887" spans="16:16" x14ac:dyDescent="0.35">
      <c r="P14887" s="8"/>
    </row>
    <row r="14888" spans="16:16" x14ac:dyDescent="0.35">
      <c r="P14888" s="8"/>
    </row>
    <row r="14889" spans="16:16" x14ac:dyDescent="0.35">
      <c r="P14889" s="8"/>
    </row>
    <row r="14890" spans="16:16" x14ac:dyDescent="0.35">
      <c r="P14890" s="8"/>
    </row>
    <row r="14891" spans="16:16" x14ac:dyDescent="0.35">
      <c r="P14891" s="8"/>
    </row>
    <row r="14892" spans="16:16" x14ac:dyDescent="0.35">
      <c r="P14892" s="8"/>
    </row>
    <row r="14893" spans="16:16" x14ac:dyDescent="0.35">
      <c r="P14893" s="8"/>
    </row>
    <row r="14894" spans="16:16" x14ac:dyDescent="0.35">
      <c r="P14894" s="8"/>
    </row>
    <row r="14895" spans="16:16" x14ac:dyDescent="0.35">
      <c r="P14895" s="8"/>
    </row>
    <row r="14896" spans="16:16" x14ac:dyDescent="0.35">
      <c r="P14896" s="8"/>
    </row>
    <row r="14897" spans="16:16" x14ac:dyDescent="0.35">
      <c r="P14897" s="8"/>
    </row>
    <row r="14898" spans="16:16" x14ac:dyDescent="0.35">
      <c r="P14898" s="8"/>
    </row>
    <row r="14899" spans="16:16" x14ac:dyDescent="0.35">
      <c r="P14899" s="8"/>
    </row>
    <row r="14900" spans="16:16" x14ac:dyDescent="0.35">
      <c r="P14900" s="8"/>
    </row>
    <row r="14901" spans="16:16" x14ac:dyDescent="0.35">
      <c r="P14901" s="8"/>
    </row>
    <row r="14902" spans="16:16" x14ac:dyDescent="0.35">
      <c r="P14902" s="8"/>
    </row>
    <row r="14903" spans="16:16" x14ac:dyDescent="0.35">
      <c r="P14903" s="8"/>
    </row>
    <row r="14904" spans="16:16" x14ac:dyDescent="0.35">
      <c r="P14904" s="8"/>
    </row>
    <row r="14905" spans="16:16" x14ac:dyDescent="0.35">
      <c r="P14905" s="8"/>
    </row>
    <row r="14906" spans="16:16" x14ac:dyDescent="0.35">
      <c r="P14906" s="8"/>
    </row>
    <row r="14907" spans="16:16" x14ac:dyDescent="0.35">
      <c r="P14907" s="8"/>
    </row>
    <row r="14908" spans="16:16" x14ac:dyDescent="0.35">
      <c r="P14908" s="8"/>
    </row>
    <row r="14909" spans="16:16" x14ac:dyDescent="0.35">
      <c r="P14909" s="8"/>
    </row>
    <row r="14910" spans="16:16" x14ac:dyDescent="0.35">
      <c r="P14910" s="8"/>
    </row>
    <row r="14911" spans="16:16" x14ac:dyDescent="0.35">
      <c r="P14911" s="8"/>
    </row>
    <row r="14912" spans="16:16" x14ac:dyDescent="0.35">
      <c r="P14912" s="8"/>
    </row>
    <row r="14913" spans="16:16" x14ac:dyDescent="0.35">
      <c r="P14913" s="8"/>
    </row>
    <row r="14914" spans="16:16" x14ac:dyDescent="0.35">
      <c r="P14914" s="8"/>
    </row>
    <row r="14915" spans="16:16" x14ac:dyDescent="0.35">
      <c r="P14915" s="8"/>
    </row>
    <row r="14916" spans="16:16" x14ac:dyDescent="0.35">
      <c r="P14916" s="8"/>
    </row>
    <row r="14917" spans="16:16" x14ac:dyDescent="0.35">
      <c r="P14917" s="8"/>
    </row>
    <row r="14918" spans="16:16" x14ac:dyDescent="0.35">
      <c r="P14918" s="8"/>
    </row>
    <row r="14919" spans="16:16" x14ac:dyDescent="0.35">
      <c r="P14919" s="8"/>
    </row>
    <row r="14920" spans="16:16" x14ac:dyDescent="0.35">
      <c r="P14920" s="8"/>
    </row>
    <row r="14921" spans="16:16" x14ac:dyDescent="0.35">
      <c r="P14921" s="8"/>
    </row>
    <row r="14922" spans="16:16" x14ac:dyDescent="0.35">
      <c r="P14922" s="8"/>
    </row>
    <row r="14923" spans="16:16" x14ac:dyDescent="0.35">
      <c r="P14923" s="8"/>
    </row>
    <row r="14924" spans="16:16" x14ac:dyDescent="0.35">
      <c r="P14924" s="8"/>
    </row>
    <row r="14925" spans="16:16" x14ac:dyDescent="0.35">
      <c r="P14925" s="8"/>
    </row>
    <row r="14926" spans="16:16" x14ac:dyDescent="0.35">
      <c r="P14926" s="8"/>
    </row>
    <row r="14927" spans="16:16" x14ac:dyDescent="0.35">
      <c r="P14927" s="8"/>
    </row>
    <row r="14928" spans="16:16" x14ac:dyDescent="0.35">
      <c r="P14928" s="8"/>
    </row>
    <row r="14929" spans="16:16" x14ac:dyDescent="0.35">
      <c r="P14929" s="8"/>
    </row>
    <row r="14930" spans="16:16" x14ac:dyDescent="0.35">
      <c r="P14930" s="8"/>
    </row>
    <row r="14931" spans="16:16" x14ac:dyDescent="0.35">
      <c r="P14931" s="8"/>
    </row>
    <row r="14932" spans="16:16" x14ac:dyDescent="0.35">
      <c r="P14932" s="8"/>
    </row>
    <row r="14933" spans="16:16" x14ac:dyDescent="0.35">
      <c r="P14933" s="8"/>
    </row>
    <row r="14934" spans="16:16" x14ac:dyDescent="0.35">
      <c r="P14934" s="8"/>
    </row>
    <row r="14935" spans="16:16" x14ac:dyDescent="0.35">
      <c r="P14935" s="8"/>
    </row>
    <row r="14936" spans="16:16" x14ac:dyDescent="0.35">
      <c r="P14936" s="8"/>
    </row>
    <row r="14937" spans="16:16" x14ac:dyDescent="0.35">
      <c r="P14937" s="8"/>
    </row>
    <row r="14938" spans="16:16" x14ac:dyDescent="0.35">
      <c r="P14938" s="8"/>
    </row>
    <row r="14939" spans="16:16" x14ac:dyDescent="0.35">
      <c r="P14939" s="8"/>
    </row>
    <row r="14940" spans="16:16" x14ac:dyDescent="0.35">
      <c r="P14940" s="8"/>
    </row>
    <row r="14941" spans="16:16" x14ac:dyDescent="0.35">
      <c r="P14941" s="8"/>
    </row>
    <row r="14942" spans="16:16" x14ac:dyDescent="0.35">
      <c r="P14942" s="8"/>
    </row>
    <row r="14943" spans="16:16" x14ac:dyDescent="0.35">
      <c r="P14943" s="8"/>
    </row>
    <row r="14944" spans="16:16" x14ac:dyDescent="0.35">
      <c r="P14944" s="8"/>
    </row>
    <row r="14945" spans="16:16" x14ac:dyDescent="0.35">
      <c r="P14945" s="8"/>
    </row>
    <row r="14946" spans="16:16" x14ac:dyDescent="0.35">
      <c r="P14946" s="8"/>
    </row>
    <row r="14947" spans="16:16" x14ac:dyDescent="0.35">
      <c r="P14947" s="8"/>
    </row>
    <row r="14948" spans="16:16" x14ac:dyDescent="0.35">
      <c r="P14948" s="8"/>
    </row>
    <row r="14949" spans="16:16" x14ac:dyDescent="0.35">
      <c r="P14949" s="8"/>
    </row>
    <row r="14950" spans="16:16" x14ac:dyDescent="0.35">
      <c r="P14950" s="8"/>
    </row>
    <row r="14951" spans="16:16" x14ac:dyDescent="0.35">
      <c r="P14951" s="8"/>
    </row>
    <row r="14952" spans="16:16" x14ac:dyDescent="0.35">
      <c r="P14952" s="8"/>
    </row>
    <row r="14953" spans="16:16" x14ac:dyDescent="0.35">
      <c r="P14953" s="8"/>
    </row>
    <row r="14954" spans="16:16" x14ac:dyDescent="0.35">
      <c r="P14954" s="8"/>
    </row>
    <row r="14955" spans="16:16" x14ac:dyDescent="0.35">
      <c r="P14955" s="8"/>
    </row>
    <row r="14956" spans="16:16" x14ac:dyDescent="0.35">
      <c r="P14956" s="8"/>
    </row>
    <row r="14957" spans="16:16" x14ac:dyDescent="0.35">
      <c r="P14957" s="8"/>
    </row>
    <row r="14958" spans="16:16" x14ac:dyDescent="0.35">
      <c r="P14958" s="8"/>
    </row>
    <row r="14959" spans="16:16" x14ac:dyDescent="0.35">
      <c r="P14959" s="8"/>
    </row>
    <row r="14960" spans="16:16" x14ac:dyDescent="0.35">
      <c r="P14960" s="8"/>
    </row>
    <row r="14961" spans="16:16" x14ac:dyDescent="0.35">
      <c r="P14961" s="8"/>
    </row>
    <row r="14962" spans="16:16" x14ac:dyDescent="0.35">
      <c r="P14962" s="8"/>
    </row>
    <row r="14963" spans="16:16" x14ac:dyDescent="0.35">
      <c r="P14963" s="8"/>
    </row>
    <row r="14964" spans="16:16" x14ac:dyDescent="0.35">
      <c r="P14964" s="8"/>
    </row>
    <row r="14965" spans="16:16" x14ac:dyDescent="0.35">
      <c r="P14965" s="8"/>
    </row>
    <row r="14966" spans="16:16" x14ac:dyDescent="0.35">
      <c r="P14966" s="8"/>
    </row>
    <row r="14967" spans="16:16" x14ac:dyDescent="0.35">
      <c r="P14967" s="8"/>
    </row>
    <row r="14968" spans="16:16" x14ac:dyDescent="0.35">
      <c r="P14968" s="8"/>
    </row>
    <row r="14969" spans="16:16" x14ac:dyDescent="0.35">
      <c r="P14969" s="8"/>
    </row>
    <row r="14970" spans="16:16" x14ac:dyDescent="0.35">
      <c r="P14970" s="8"/>
    </row>
    <row r="14971" spans="16:16" x14ac:dyDescent="0.35">
      <c r="P14971" s="8"/>
    </row>
    <row r="14972" spans="16:16" x14ac:dyDescent="0.35">
      <c r="P14972" s="8"/>
    </row>
    <row r="14973" spans="16:16" x14ac:dyDescent="0.35">
      <c r="P14973" s="8"/>
    </row>
    <row r="14974" spans="16:16" x14ac:dyDescent="0.35">
      <c r="P14974" s="8"/>
    </row>
    <row r="14975" spans="16:16" x14ac:dyDescent="0.35">
      <c r="P14975" s="8"/>
    </row>
    <row r="14976" spans="16:16" x14ac:dyDescent="0.35">
      <c r="P14976" s="8"/>
    </row>
    <row r="14977" spans="16:16" x14ac:dyDescent="0.35">
      <c r="P14977" s="8"/>
    </row>
    <row r="14978" spans="16:16" x14ac:dyDescent="0.35">
      <c r="P14978" s="8"/>
    </row>
    <row r="14979" spans="16:16" x14ac:dyDescent="0.35">
      <c r="P14979" s="8"/>
    </row>
    <row r="14980" spans="16:16" x14ac:dyDescent="0.35">
      <c r="P14980" s="8"/>
    </row>
    <row r="14981" spans="16:16" x14ac:dyDescent="0.35">
      <c r="P14981" s="8"/>
    </row>
    <row r="14982" spans="16:16" x14ac:dyDescent="0.35">
      <c r="P14982" s="8"/>
    </row>
    <row r="14983" spans="16:16" x14ac:dyDescent="0.35">
      <c r="P14983" s="8"/>
    </row>
    <row r="14984" spans="16:16" x14ac:dyDescent="0.35">
      <c r="P14984" s="8"/>
    </row>
    <row r="14985" spans="16:16" x14ac:dyDescent="0.35">
      <c r="P14985" s="8"/>
    </row>
    <row r="14986" spans="16:16" x14ac:dyDescent="0.35">
      <c r="P14986" s="8"/>
    </row>
    <row r="14987" spans="16:16" x14ac:dyDescent="0.35">
      <c r="P14987" s="8"/>
    </row>
    <row r="14988" spans="16:16" x14ac:dyDescent="0.35">
      <c r="P14988" s="8"/>
    </row>
    <row r="14989" spans="16:16" x14ac:dyDescent="0.35">
      <c r="P14989" s="8"/>
    </row>
    <row r="14990" spans="16:16" x14ac:dyDescent="0.35">
      <c r="P14990" s="8"/>
    </row>
    <row r="14991" spans="16:16" x14ac:dyDescent="0.35">
      <c r="P14991" s="8"/>
    </row>
    <row r="14992" spans="16:16" x14ac:dyDescent="0.35">
      <c r="P14992" s="8"/>
    </row>
    <row r="14993" spans="16:16" x14ac:dyDescent="0.35">
      <c r="P14993" s="8"/>
    </row>
    <row r="14994" spans="16:16" x14ac:dyDescent="0.35">
      <c r="P14994" s="8"/>
    </row>
    <row r="14995" spans="16:16" x14ac:dyDescent="0.35">
      <c r="P14995" s="8"/>
    </row>
    <row r="14996" spans="16:16" x14ac:dyDescent="0.35">
      <c r="P14996" s="8"/>
    </row>
    <row r="14997" spans="16:16" x14ac:dyDescent="0.35">
      <c r="P14997" s="8"/>
    </row>
    <row r="14998" spans="16:16" x14ac:dyDescent="0.35">
      <c r="P14998" s="8"/>
    </row>
    <row r="14999" spans="16:16" x14ac:dyDescent="0.35">
      <c r="P14999" s="8"/>
    </row>
    <row r="15000" spans="16:16" x14ac:dyDescent="0.35">
      <c r="P15000" s="8"/>
    </row>
    <row r="15001" spans="16:16" x14ac:dyDescent="0.35">
      <c r="P15001" s="8"/>
    </row>
    <row r="15002" spans="16:16" x14ac:dyDescent="0.35">
      <c r="P15002" s="8"/>
    </row>
    <row r="15003" spans="16:16" x14ac:dyDescent="0.35">
      <c r="P15003" s="8"/>
    </row>
    <row r="15004" spans="16:16" x14ac:dyDescent="0.35">
      <c r="P15004" s="8"/>
    </row>
    <row r="15005" spans="16:16" x14ac:dyDescent="0.35">
      <c r="P15005" s="8"/>
    </row>
    <row r="15006" spans="16:16" x14ac:dyDescent="0.35">
      <c r="P15006" s="8"/>
    </row>
    <row r="15007" spans="16:16" x14ac:dyDescent="0.35">
      <c r="P15007" s="8"/>
    </row>
    <row r="15008" spans="16:16" x14ac:dyDescent="0.35">
      <c r="P15008" s="8"/>
    </row>
    <row r="15009" spans="16:16" x14ac:dyDescent="0.35">
      <c r="P15009" s="8"/>
    </row>
    <row r="15010" spans="16:16" x14ac:dyDescent="0.35">
      <c r="P15010" s="8"/>
    </row>
    <row r="15011" spans="16:16" x14ac:dyDescent="0.35">
      <c r="P15011" s="8"/>
    </row>
    <row r="15012" spans="16:16" x14ac:dyDescent="0.35">
      <c r="P15012" s="8"/>
    </row>
    <row r="15013" spans="16:16" x14ac:dyDescent="0.35">
      <c r="P15013" s="8"/>
    </row>
    <row r="15014" spans="16:16" x14ac:dyDescent="0.35">
      <c r="P15014" s="8"/>
    </row>
    <row r="15015" spans="16:16" x14ac:dyDescent="0.35">
      <c r="P15015" s="8"/>
    </row>
    <row r="15016" spans="16:16" x14ac:dyDescent="0.35">
      <c r="P15016" s="8"/>
    </row>
    <row r="15017" spans="16:16" x14ac:dyDescent="0.35">
      <c r="P15017" s="8"/>
    </row>
    <row r="15018" spans="16:16" x14ac:dyDescent="0.35">
      <c r="P15018" s="8"/>
    </row>
    <row r="15019" spans="16:16" x14ac:dyDescent="0.35">
      <c r="P15019" s="8"/>
    </row>
    <row r="15020" spans="16:16" x14ac:dyDescent="0.35">
      <c r="P15020" s="8"/>
    </row>
    <row r="15021" spans="16:16" x14ac:dyDescent="0.35">
      <c r="P15021" s="8"/>
    </row>
    <row r="15022" spans="16:16" x14ac:dyDescent="0.35">
      <c r="P15022" s="8"/>
    </row>
    <row r="15023" spans="16:16" x14ac:dyDescent="0.35">
      <c r="P15023" s="8"/>
    </row>
    <row r="15024" spans="16:16" x14ac:dyDescent="0.35">
      <c r="P15024" s="8"/>
    </row>
    <row r="15025" spans="16:16" x14ac:dyDescent="0.35">
      <c r="P15025" s="8"/>
    </row>
    <row r="15026" spans="16:16" x14ac:dyDescent="0.35">
      <c r="P15026" s="8"/>
    </row>
    <row r="15027" spans="16:16" x14ac:dyDescent="0.35">
      <c r="P15027" s="8"/>
    </row>
    <row r="15028" spans="16:16" x14ac:dyDescent="0.35">
      <c r="P15028" s="8"/>
    </row>
    <row r="15029" spans="16:16" x14ac:dyDescent="0.35">
      <c r="P15029" s="8"/>
    </row>
    <row r="15030" spans="16:16" x14ac:dyDescent="0.35">
      <c r="P15030" s="8"/>
    </row>
    <row r="15031" spans="16:16" x14ac:dyDescent="0.35">
      <c r="P15031" s="8"/>
    </row>
    <row r="15032" spans="16:16" x14ac:dyDescent="0.35">
      <c r="P15032" s="8"/>
    </row>
    <row r="15033" spans="16:16" x14ac:dyDescent="0.35">
      <c r="P15033" s="8"/>
    </row>
    <row r="15034" spans="16:16" x14ac:dyDescent="0.35">
      <c r="P15034" s="8"/>
    </row>
    <row r="15035" spans="16:16" x14ac:dyDescent="0.35">
      <c r="P15035" s="8"/>
    </row>
    <row r="15036" spans="16:16" x14ac:dyDescent="0.35">
      <c r="P15036" s="8"/>
    </row>
    <row r="15037" spans="16:16" x14ac:dyDescent="0.35">
      <c r="P15037" s="8"/>
    </row>
    <row r="15038" spans="16:16" x14ac:dyDescent="0.35">
      <c r="P15038" s="8"/>
    </row>
    <row r="15039" spans="16:16" x14ac:dyDescent="0.35">
      <c r="P15039" s="8"/>
    </row>
    <row r="15040" spans="16:16" x14ac:dyDescent="0.35">
      <c r="P15040" s="8"/>
    </row>
    <row r="15041" spans="16:16" x14ac:dyDescent="0.35">
      <c r="P15041" s="8"/>
    </row>
    <row r="15042" spans="16:16" x14ac:dyDescent="0.35">
      <c r="P15042" s="8"/>
    </row>
    <row r="15043" spans="16:16" x14ac:dyDescent="0.35">
      <c r="P15043" s="8"/>
    </row>
    <row r="15044" spans="16:16" x14ac:dyDescent="0.35">
      <c r="P15044" s="8"/>
    </row>
    <row r="15045" spans="16:16" x14ac:dyDescent="0.35">
      <c r="P15045" s="8"/>
    </row>
    <row r="15046" spans="16:16" x14ac:dyDescent="0.35">
      <c r="P15046" s="8"/>
    </row>
    <row r="15047" spans="16:16" x14ac:dyDescent="0.35">
      <c r="P15047" s="8"/>
    </row>
    <row r="15048" spans="16:16" x14ac:dyDescent="0.35">
      <c r="P15048" s="8"/>
    </row>
    <row r="15049" spans="16:16" x14ac:dyDescent="0.35">
      <c r="P15049" s="8"/>
    </row>
    <row r="15050" spans="16:16" x14ac:dyDescent="0.35">
      <c r="P15050" s="8"/>
    </row>
    <row r="15051" spans="16:16" x14ac:dyDescent="0.35">
      <c r="P15051" s="8"/>
    </row>
    <row r="15052" spans="16:16" x14ac:dyDescent="0.35">
      <c r="P15052" s="8"/>
    </row>
    <row r="15053" spans="16:16" x14ac:dyDescent="0.35">
      <c r="P15053" s="8"/>
    </row>
    <row r="15054" spans="16:16" x14ac:dyDescent="0.35">
      <c r="P15054" s="8"/>
    </row>
    <row r="15055" spans="16:16" x14ac:dyDescent="0.35">
      <c r="P15055" s="8"/>
    </row>
    <row r="15056" spans="16:16" x14ac:dyDescent="0.35">
      <c r="P15056" s="8"/>
    </row>
    <row r="15057" spans="16:16" x14ac:dyDescent="0.35">
      <c r="P15057" s="8"/>
    </row>
    <row r="15058" spans="16:16" x14ac:dyDescent="0.35">
      <c r="P15058" s="8"/>
    </row>
    <row r="15059" spans="16:16" x14ac:dyDescent="0.35">
      <c r="P15059" s="8"/>
    </row>
    <row r="15060" spans="16:16" x14ac:dyDescent="0.35">
      <c r="P15060" s="8"/>
    </row>
    <row r="15061" spans="16:16" x14ac:dyDescent="0.35">
      <c r="P15061" s="8"/>
    </row>
    <row r="15062" spans="16:16" x14ac:dyDescent="0.35">
      <c r="P15062" s="8"/>
    </row>
    <row r="15063" spans="16:16" x14ac:dyDescent="0.35">
      <c r="P15063" s="8"/>
    </row>
    <row r="15064" spans="16:16" x14ac:dyDescent="0.35">
      <c r="P15064" s="8"/>
    </row>
    <row r="15065" spans="16:16" x14ac:dyDescent="0.35">
      <c r="P15065" s="8"/>
    </row>
    <row r="15066" spans="16:16" x14ac:dyDescent="0.35">
      <c r="P15066" s="8"/>
    </row>
    <row r="15067" spans="16:16" x14ac:dyDescent="0.35">
      <c r="P15067" s="8"/>
    </row>
    <row r="15068" spans="16:16" x14ac:dyDescent="0.35">
      <c r="P15068" s="8"/>
    </row>
    <row r="15069" spans="16:16" x14ac:dyDescent="0.35">
      <c r="P15069" s="8"/>
    </row>
    <row r="15070" spans="16:16" x14ac:dyDescent="0.35">
      <c r="P15070" s="8"/>
    </row>
    <row r="15071" spans="16:16" x14ac:dyDescent="0.35">
      <c r="P15071" s="8"/>
    </row>
    <row r="15072" spans="16:16" x14ac:dyDescent="0.35">
      <c r="P15072" s="8"/>
    </row>
    <row r="15073" spans="16:16" x14ac:dyDescent="0.35">
      <c r="P15073" s="8"/>
    </row>
    <row r="15074" spans="16:16" x14ac:dyDescent="0.35">
      <c r="P15074" s="8"/>
    </row>
    <row r="15075" spans="16:16" x14ac:dyDescent="0.35">
      <c r="P15075" s="8"/>
    </row>
    <row r="15076" spans="16:16" x14ac:dyDescent="0.35">
      <c r="P15076" s="8"/>
    </row>
    <row r="15077" spans="16:16" x14ac:dyDescent="0.35">
      <c r="P15077" s="8"/>
    </row>
    <row r="15078" spans="16:16" x14ac:dyDescent="0.35">
      <c r="P15078" s="8"/>
    </row>
    <row r="15079" spans="16:16" x14ac:dyDescent="0.35">
      <c r="P15079" s="8"/>
    </row>
    <row r="15080" spans="16:16" x14ac:dyDescent="0.35">
      <c r="P15080" s="8"/>
    </row>
    <row r="15081" spans="16:16" x14ac:dyDescent="0.35">
      <c r="P15081" s="8"/>
    </row>
    <row r="15082" spans="16:16" x14ac:dyDescent="0.35">
      <c r="P15082" s="8"/>
    </row>
    <row r="15083" spans="16:16" x14ac:dyDescent="0.35">
      <c r="P15083" s="8"/>
    </row>
    <row r="15084" spans="16:16" x14ac:dyDescent="0.35">
      <c r="P15084" s="8"/>
    </row>
    <row r="15085" spans="16:16" x14ac:dyDescent="0.35">
      <c r="P15085" s="8"/>
    </row>
    <row r="15086" spans="16:16" x14ac:dyDescent="0.35">
      <c r="P15086" s="8"/>
    </row>
    <row r="15087" spans="16:16" x14ac:dyDescent="0.35">
      <c r="P15087" s="8"/>
    </row>
    <row r="15088" spans="16:16" x14ac:dyDescent="0.35">
      <c r="P15088" s="8"/>
    </row>
    <row r="15089" spans="16:16" x14ac:dyDescent="0.35">
      <c r="P15089" s="8"/>
    </row>
    <row r="15090" spans="16:16" x14ac:dyDescent="0.35">
      <c r="P15090" s="8"/>
    </row>
    <row r="15091" spans="16:16" x14ac:dyDescent="0.35">
      <c r="P15091" s="8"/>
    </row>
    <row r="15092" spans="16:16" x14ac:dyDescent="0.35">
      <c r="P15092" s="8"/>
    </row>
    <row r="15093" spans="16:16" x14ac:dyDescent="0.35">
      <c r="P15093" s="8"/>
    </row>
    <row r="15094" spans="16:16" x14ac:dyDescent="0.35">
      <c r="P15094" s="8"/>
    </row>
    <row r="15095" spans="16:16" x14ac:dyDescent="0.35">
      <c r="P15095" s="8"/>
    </row>
    <row r="15096" spans="16:16" x14ac:dyDescent="0.35">
      <c r="P15096" s="8"/>
    </row>
    <row r="15097" spans="16:16" x14ac:dyDescent="0.35">
      <c r="P15097" s="8"/>
    </row>
    <row r="15098" spans="16:16" x14ac:dyDescent="0.35">
      <c r="P15098" s="8"/>
    </row>
    <row r="15099" spans="16:16" x14ac:dyDescent="0.35">
      <c r="P15099" s="8"/>
    </row>
    <row r="15100" spans="16:16" x14ac:dyDescent="0.35">
      <c r="P15100" s="8"/>
    </row>
    <row r="15101" spans="16:16" x14ac:dyDescent="0.35">
      <c r="P15101" s="8"/>
    </row>
    <row r="15102" spans="16:16" x14ac:dyDescent="0.35">
      <c r="P15102" s="8"/>
    </row>
    <row r="15103" spans="16:16" x14ac:dyDescent="0.35">
      <c r="P15103" s="8"/>
    </row>
    <row r="15104" spans="16:16" x14ac:dyDescent="0.35">
      <c r="P15104" s="8"/>
    </row>
    <row r="15105" spans="16:16" x14ac:dyDescent="0.35">
      <c r="P15105" s="8"/>
    </row>
    <row r="15106" spans="16:16" x14ac:dyDescent="0.35">
      <c r="P15106" s="8"/>
    </row>
    <row r="15107" spans="16:16" x14ac:dyDescent="0.35">
      <c r="P15107" s="8"/>
    </row>
    <row r="15108" spans="16:16" x14ac:dyDescent="0.35">
      <c r="P15108" s="8"/>
    </row>
    <row r="15109" spans="16:16" x14ac:dyDescent="0.35">
      <c r="P15109" s="8"/>
    </row>
    <row r="15110" spans="16:16" x14ac:dyDescent="0.35">
      <c r="P15110" s="8"/>
    </row>
    <row r="15111" spans="16:16" x14ac:dyDescent="0.35">
      <c r="P15111" s="8"/>
    </row>
    <row r="15112" spans="16:16" x14ac:dyDescent="0.35">
      <c r="P15112" s="8"/>
    </row>
    <row r="15113" spans="16:16" x14ac:dyDescent="0.35">
      <c r="P15113" s="8"/>
    </row>
    <row r="15114" spans="16:16" x14ac:dyDescent="0.35">
      <c r="P15114" s="8"/>
    </row>
    <row r="15115" spans="16:16" x14ac:dyDescent="0.35">
      <c r="P15115" s="8"/>
    </row>
    <row r="15116" spans="16:16" x14ac:dyDescent="0.35">
      <c r="P15116" s="8"/>
    </row>
    <row r="15117" spans="16:16" x14ac:dyDescent="0.35">
      <c r="P15117" s="8"/>
    </row>
    <row r="15118" spans="16:16" x14ac:dyDescent="0.35">
      <c r="P15118" s="8"/>
    </row>
    <row r="15119" spans="16:16" x14ac:dyDescent="0.35">
      <c r="P15119" s="8"/>
    </row>
    <row r="15120" spans="16:16" x14ac:dyDescent="0.35">
      <c r="P15120" s="8"/>
    </row>
    <row r="15121" spans="16:16" x14ac:dyDescent="0.35">
      <c r="P15121" s="8"/>
    </row>
    <row r="15122" spans="16:16" x14ac:dyDescent="0.35">
      <c r="P15122" s="8"/>
    </row>
    <row r="15123" spans="16:16" x14ac:dyDescent="0.35">
      <c r="P15123" s="8"/>
    </row>
    <row r="15124" spans="16:16" x14ac:dyDescent="0.35">
      <c r="P15124" s="8"/>
    </row>
    <row r="15125" spans="16:16" x14ac:dyDescent="0.35">
      <c r="P15125" s="8"/>
    </row>
    <row r="15126" spans="16:16" x14ac:dyDescent="0.35">
      <c r="P15126" s="8"/>
    </row>
    <row r="15127" spans="16:16" x14ac:dyDescent="0.35">
      <c r="P15127" s="8"/>
    </row>
    <row r="15128" spans="16:16" x14ac:dyDescent="0.35">
      <c r="P15128" s="8"/>
    </row>
    <row r="15129" spans="16:16" x14ac:dyDescent="0.35">
      <c r="P15129" s="8"/>
    </row>
    <row r="15130" spans="16:16" x14ac:dyDescent="0.35">
      <c r="P15130" s="8"/>
    </row>
    <row r="15131" spans="16:16" x14ac:dyDescent="0.35">
      <c r="P15131" s="8"/>
    </row>
    <row r="15132" spans="16:16" x14ac:dyDescent="0.35">
      <c r="P15132" s="8"/>
    </row>
    <row r="15133" spans="16:16" x14ac:dyDescent="0.35">
      <c r="P15133" s="8"/>
    </row>
    <row r="15134" spans="16:16" x14ac:dyDescent="0.35">
      <c r="P15134" s="8"/>
    </row>
    <row r="15135" spans="16:16" x14ac:dyDescent="0.35">
      <c r="P15135" s="8"/>
    </row>
    <row r="15136" spans="16:16" x14ac:dyDescent="0.35">
      <c r="P15136" s="8"/>
    </row>
    <row r="15137" spans="16:16" x14ac:dyDescent="0.35">
      <c r="P15137" s="8"/>
    </row>
    <row r="15138" spans="16:16" x14ac:dyDescent="0.35">
      <c r="P15138" s="8"/>
    </row>
    <row r="15139" spans="16:16" x14ac:dyDescent="0.35">
      <c r="P15139" s="8"/>
    </row>
    <row r="15140" spans="16:16" x14ac:dyDescent="0.35">
      <c r="P15140" s="8"/>
    </row>
    <row r="15141" spans="16:16" x14ac:dyDescent="0.35">
      <c r="P15141" s="8"/>
    </row>
    <row r="15142" spans="16:16" x14ac:dyDescent="0.35">
      <c r="P15142" s="8"/>
    </row>
    <row r="15143" spans="16:16" x14ac:dyDescent="0.35">
      <c r="P15143" s="8"/>
    </row>
    <row r="15144" spans="16:16" x14ac:dyDescent="0.35">
      <c r="P15144" s="8"/>
    </row>
    <row r="15145" spans="16:16" x14ac:dyDescent="0.35">
      <c r="P15145" s="8"/>
    </row>
    <row r="15146" spans="16:16" x14ac:dyDescent="0.35">
      <c r="P15146" s="8"/>
    </row>
    <row r="15147" spans="16:16" x14ac:dyDescent="0.35">
      <c r="P15147" s="8"/>
    </row>
    <row r="15148" spans="16:16" x14ac:dyDescent="0.35">
      <c r="P15148" s="8"/>
    </row>
    <row r="15149" spans="16:16" x14ac:dyDescent="0.35">
      <c r="P15149" s="8"/>
    </row>
    <row r="15150" spans="16:16" x14ac:dyDescent="0.35">
      <c r="P15150" s="8"/>
    </row>
    <row r="15151" spans="16:16" x14ac:dyDescent="0.35">
      <c r="P15151" s="8"/>
    </row>
    <row r="15152" spans="16:16" x14ac:dyDescent="0.35">
      <c r="P15152" s="8"/>
    </row>
    <row r="15153" spans="16:16" x14ac:dyDescent="0.35">
      <c r="P15153" s="8"/>
    </row>
    <row r="15154" spans="16:16" x14ac:dyDescent="0.35">
      <c r="P15154" s="8"/>
    </row>
    <row r="15155" spans="16:16" x14ac:dyDescent="0.35">
      <c r="P15155" s="8"/>
    </row>
    <row r="15156" spans="16:16" x14ac:dyDescent="0.35">
      <c r="P15156" s="8"/>
    </row>
    <row r="15157" spans="16:16" x14ac:dyDescent="0.35">
      <c r="P15157" s="8"/>
    </row>
    <row r="15158" spans="16:16" x14ac:dyDescent="0.35">
      <c r="P15158" s="8"/>
    </row>
    <row r="15159" spans="16:16" x14ac:dyDescent="0.35">
      <c r="P15159" s="8"/>
    </row>
    <row r="15160" spans="16:16" x14ac:dyDescent="0.35">
      <c r="P15160" s="8"/>
    </row>
    <row r="15161" spans="16:16" x14ac:dyDescent="0.35">
      <c r="P15161" s="8"/>
    </row>
    <row r="15162" spans="16:16" x14ac:dyDescent="0.35">
      <c r="P15162" s="8"/>
    </row>
    <row r="15163" spans="16:16" x14ac:dyDescent="0.35">
      <c r="P15163" s="8"/>
    </row>
    <row r="15164" spans="16:16" x14ac:dyDescent="0.35">
      <c r="P15164" s="8"/>
    </row>
    <row r="15165" spans="16:16" x14ac:dyDescent="0.35">
      <c r="P15165" s="8"/>
    </row>
    <row r="15166" spans="16:16" x14ac:dyDescent="0.35">
      <c r="P15166" s="8"/>
    </row>
    <row r="15167" spans="16:16" x14ac:dyDescent="0.35">
      <c r="P15167" s="8"/>
    </row>
    <row r="15168" spans="16:16" x14ac:dyDescent="0.35">
      <c r="P15168" s="8"/>
    </row>
    <row r="15169" spans="16:16" x14ac:dyDescent="0.35">
      <c r="P15169" s="8"/>
    </row>
    <row r="15170" spans="16:16" x14ac:dyDescent="0.35">
      <c r="P15170" s="8"/>
    </row>
    <row r="15171" spans="16:16" x14ac:dyDescent="0.35">
      <c r="P15171" s="8"/>
    </row>
    <row r="15172" spans="16:16" x14ac:dyDescent="0.35">
      <c r="P15172" s="8"/>
    </row>
    <row r="15173" spans="16:16" x14ac:dyDescent="0.35">
      <c r="P15173" s="8"/>
    </row>
    <row r="15174" spans="16:16" x14ac:dyDescent="0.35">
      <c r="P15174" s="8"/>
    </row>
    <row r="15175" spans="16:16" x14ac:dyDescent="0.35">
      <c r="P15175" s="8"/>
    </row>
    <row r="15176" spans="16:16" x14ac:dyDescent="0.35">
      <c r="P15176" s="8"/>
    </row>
    <row r="15177" spans="16:16" x14ac:dyDescent="0.35">
      <c r="P15177" s="8"/>
    </row>
    <row r="15178" spans="16:16" x14ac:dyDescent="0.35">
      <c r="P15178" s="8"/>
    </row>
    <row r="15179" spans="16:16" x14ac:dyDescent="0.35">
      <c r="P15179" s="8"/>
    </row>
    <row r="15180" spans="16:16" x14ac:dyDescent="0.35">
      <c r="P15180" s="8"/>
    </row>
    <row r="15181" spans="16:16" x14ac:dyDescent="0.35">
      <c r="P15181" s="8"/>
    </row>
    <row r="15182" spans="16:16" x14ac:dyDescent="0.35">
      <c r="P15182" s="8"/>
    </row>
    <row r="15183" spans="16:16" x14ac:dyDescent="0.35">
      <c r="P15183" s="8"/>
    </row>
    <row r="15184" spans="16:16" x14ac:dyDescent="0.35">
      <c r="P15184" s="8"/>
    </row>
    <row r="15185" spans="16:16" x14ac:dyDescent="0.35">
      <c r="P15185" s="8"/>
    </row>
    <row r="15186" spans="16:16" x14ac:dyDescent="0.35">
      <c r="P15186" s="8"/>
    </row>
    <row r="15187" spans="16:16" x14ac:dyDescent="0.35">
      <c r="P15187" s="8"/>
    </row>
    <row r="15188" spans="16:16" x14ac:dyDescent="0.35">
      <c r="P15188" s="8"/>
    </row>
    <row r="15189" spans="16:16" x14ac:dyDescent="0.35">
      <c r="P15189" s="8"/>
    </row>
    <row r="15190" spans="16:16" x14ac:dyDescent="0.35">
      <c r="P15190" s="8"/>
    </row>
    <row r="15191" spans="16:16" x14ac:dyDescent="0.35">
      <c r="P15191" s="8"/>
    </row>
    <row r="15192" spans="16:16" x14ac:dyDescent="0.35">
      <c r="P15192" s="8"/>
    </row>
    <row r="15193" spans="16:16" x14ac:dyDescent="0.35">
      <c r="P15193" s="8"/>
    </row>
    <row r="15194" spans="16:16" x14ac:dyDescent="0.35">
      <c r="P15194" s="8"/>
    </row>
    <row r="15195" spans="16:16" x14ac:dyDescent="0.35">
      <c r="P15195" s="8"/>
    </row>
    <row r="15196" spans="16:16" x14ac:dyDescent="0.35">
      <c r="P15196" s="8"/>
    </row>
    <row r="15197" spans="16:16" x14ac:dyDescent="0.35">
      <c r="P15197" s="8"/>
    </row>
    <row r="15198" spans="16:16" x14ac:dyDescent="0.35">
      <c r="P15198" s="8"/>
    </row>
    <row r="15199" spans="16:16" x14ac:dyDescent="0.35">
      <c r="P15199" s="8"/>
    </row>
    <row r="15200" spans="16:16" x14ac:dyDescent="0.35">
      <c r="P15200" s="8"/>
    </row>
    <row r="15201" spans="16:16" x14ac:dyDescent="0.35">
      <c r="P15201" s="8"/>
    </row>
    <row r="15202" spans="16:16" x14ac:dyDescent="0.35">
      <c r="P15202" s="8"/>
    </row>
    <row r="15203" spans="16:16" x14ac:dyDescent="0.35">
      <c r="P15203" s="8"/>
    </row>
    <row r="15204" spans="16:16" x14ac:dyDescent="0.35">
      <c r="P15204" s="8"/>
    </row>
    <row r="15205" spans="16:16" x14ac:dyDescent="0.35">
      <c r="P15205" s="8"/>
    </row>
    <row r="15206" spans="16:16" x14ac:dyDescent="0.35">
      <c r="P15206" s="8"/>
    </row>
    <row r="15207" spans="16:16" x14ac:dyDescent="0.35">
      <c r="P15207" s="8"/>
    </row>
    <row r="15208" spans="16:16" x14ac:dyDescent="0.35">
      <c r="P15208" s="8"/>
    </row>
    <row r="15209" spans="16:16" x14ac:dyDescent="0.35">
      <c r="P15209" s="8"/>
    </row>
    <row r="15210" spans="16:16" x14ac:dyDescent="0.35">
      <c r="P15210" s="8"/>
    </row>
    <row r="15211" spans="16:16" x14ac:dyDescent="0.35">
      <c r="P15211" s="8"/>
    </row>
    <row r="15212" spans="16:16" x14ac:dyDescent="0.35">
      <c r="P15212" s="8"/>
    </row>
    <row r="15213" spans="16:16" x14ac:dyDescent="0.35">
      <c r="P15213" s="8"/>
    </row>
    <row r="15214" spans="16:16" x14ac:dyDescent="0.35">
      <c r="P15214" s="8"/>
    </row>
    <row r="15215" spans="16:16" x14ac:dyDescent="0.35">
      <c r="P15215" s="8"/>
    </row>
    <row r="15216" spans="16:16" x14ac:dyDescent="0.35">
      <c r="P15216" s="8"/>
    </row>
    <row r="15217" spans="16:16" x14ac:dyDescent="0.35">
      <c r="P15217" s="8"/>
    </row>
    <row r="15218" spans="16:16" x14ac:dyDescent="0.35">
      <c r="P15218" s="8"/>
    </row>
    <row r="15219" spans="16:16" x14ac:dyDescent="0.35">
      <c r="P15219" s="8"/>
    </row>
    <row r="15220" spans="16:16" x14ac:dyDescent="0.35">
      <c r="P15220" s="8"/>
    </row>
    <row r="15221" spans="16:16" x14ac:dyDescent="0.35">
      <c r="P15221" s="8"/>
    </row>
    <row r="15222" spans="16:16" x14ac:dyDescent="0.35">
      <c r="P15222" s="8"/>
    </row>
    <row r="15223" spans="16:16" x14ac:dyDescent="0.35">
      <c r="P15223" s="8"/>
    </row>
    <row r="15224" spans="16:16" x14ac:dyDescent="0.35">
      <c r="P15224" s="8"/>
    </row>
    <row r="15225" spans="16:16" x14ac:dyDescent="0.35">
      <c r="P15225" s="8"/>
    </row>
    <row r="15226" spans="16:16" x14ac:dyDescent="0.35">
      <c r="P15226" s="8"/>
    </row>
    <row r="15227" spans="16:16" x14ac:dyDescent="0.35">
      <c r="P15227" s="8"/>
    </row>
    <row r="15228" spans="16:16" x14ac:dyDescent="0.35">
      <c r="P15228" s="8"/>
    </row>
    <row r="15229" spans="16:16" x14ac:dyDescent="0.35">
      <c r="P15229" s="8"/>
    </row>
    <row r="15230" spans="16:16" x14ac:dyDescent="0.35">
      <c r="P15230" s="8"/>
    </row>
    <row r="15231" spans="16:16" x14ac:dyDescent="0.35">
      <c r="P15231" s="8"/>
    </row>
    <row r="15232" spans="16:16" x14ac:dyDescent="0.35">
      <c r="P15232" s="8"/>
    </row>
    <row r="15233" spans="16:16" x14ac:dyDescent="0.35">
      <c r="P15233" s="8"/>
    </row>
    <row r="15234" spans="16:16" x14ac:dyDescent="0.35">
      <c r="P15234" s="8"/>
    </row>
    <row r="15235" spans="16:16" x14ac:dyDescent="0.35">
      <c r="P15235" s="8"/>
    </row>
    <row r="15236" spans="16:16" x14ac:dyDescent="0.35">
      <c r="P15236" s="8"/>
    </row>
    <row r="15237" spans="16:16" x14ac:dyDescent="0.35">
      <c r="P15237" s="8"/>
    </row>
    <row r="15238" spans="16:16" x14ac:dyDescent="0.35">
      <c r="P15238" s="8"/>
    </row>
    <row r="15239" spans="16:16" x14ac:dyDescent="0.35">
      <c r="P15239" s="8"/>
    </row>
    <row r="15240" spans="16:16" x14ac:dyDescent="0.35">
      <c r="P15240" s="8"/>
    </row>
    <row r="15241" spans="16:16" x14ac:dyDescent="0.35">
      <c r="P15241" s="8"/>
    </row>
    <row r="15242" spans="16:16" x14ac:dyDescent="0.35">
      <c r="P15242" s="8"/>
    </row>
    <row r="15243" spans="16:16" x14ac:dyDescent="0.35">
      <c r="P15243" s="8"/>
    </row>
    <row r="15244" spans="16:16" x14ac:dyDescent="0.35">
      <c r="P15244" s="8"/>
    </row>
    <row r="15245" spans="16:16" x14ac:dyDescent="0.35">
      <c r="P15245" s="8"/>
    </row>
    <row r="15246" spans="16:16" x14ac:dyDescent="0.35">
      <c r="P15246" s="8"/>
    </row>
    <row r="15247" spans="16:16" x14ac:dyDescent="0.35">
      <c r="P15247" s="8"/>
    </row>
    <row r="15248" spans="16:16" x14ac:dyDescent="0.35">
      <c r="P15248" s="8"/>
    </row>
    <row r="15249" spans="16:16" x14ac:dyDescent="0.35">
      <c r="P15249" s="8"/>
    </row>
    <row r="15250" spans="16:16" x14ac:dyDescent="0.35">
      <c r="P15250" s="8"/>
    </row>
    <row r="15251" spans="16:16" x14ac:dyDescent="0.35">
      <c r="P15251" s="8"/>
    </row>
    <row r="15252" spans="16:16" x14ac:dyDescent="0.35">
      <c r="P15252" s="8"/>
    </row>
    <row r="15253" spans="16:16" x14ac:dyDescent="0.35">
      <c r="P15253" s="8"/>
    </row>
    <row r="15254" spans="16:16" x14ac:dyDescent="0.35">
      <c r="P15254" s="8"/>
    </row>
    <row r="15255" spans="16:16" x14ac:dyDescent="0.35">
      <c r="P15255" s="8"/>
    </row>
    <row r="15256" spans="16:16" x14ac:dyDescent="0.35">
      <c r="P15256" s="8"/>
    </row>
    <row r="15257" spans="16:16" x14ac:dyDescent="0.35">
      <c r="P15257" s="8"/>
    </row>
    <row r="15258" spans="16:16" x14ac:dyDescent="0.35">
      <c r="P15258" s="8"/>
    </row>
    <row r="15259" spans="16:16" x14ac:dyDescent="0.35">
      <c r="P15259" s="8"/>
    </row>
    <row r="15260" spans="16:16" x14ac:dyDescent="0.35">
      <c r="P15260" s="8"/>
    </row>
    <row r="15261" spans="16:16" x14ac:dyDescent="0.35">
      <c r="P15261" s="8"/>
    </row>
    <row r="15262" spans="16:16" x14ac:dyDescent="0.35">
      <c r="P15262" s="8"/>
    </row>
    <row r="15263" spans="16:16" x14ac:dyDescent="0.35">
      <c r="P15263" s="8"/>
    </row>
    <row r="15264" spans="16:16" x14ac:dyDescent="0.35">
      <c r="P15264" s="8"/>
    </row>
    <row r="15265" spans="16:16" x14ac:dyDescent="0.35">
      <c r="P15265" s="8"/>
    </row>
    <row r="15266" spans="16:16" x14ac:dyDescent="0.35">
      <c r="P15266" s="8"/>
    </row>
    <row r="15267" spans="16:16" x14ac:dyDescent="0.35">
      <c r="P15267" s="8"/>
    </row>
    <row r="15268" spans="16:16" x14ac:dyDescent="0.35">
      <c r="P15268" s="8"/>
    </row>
    <row r="15269" spans="16:16" x14ac:dyDescent="0.35">
      <c r="P15269" s="8"/>
    </row>
    <row r="15270" spans="16:16" x14ac:dyDescent="0.35">
      <c r="P15270" s="8"/>
    </row>
    <row r="15271" spans="16:16" x14ac:dyDescent="0.35">
      <c r="P15271" s="8"/>
    </row>
    <row r="15272" spans="16:16" x14ac:dyDescent="0.35">
      <c r="P15272" s="8"/>
    </row>
    <row r="15273" spans="16:16" x14ac:dyDescent="0.35">
      <c r="P15273" s="8"/>
    </row>
    <row r="15274" spans="16:16" x14ac:dyDescent="0.35">
      <c r="P15274" s="8"/>
    </row>
    <row r="15275" spans="16:16" x14ac:dyDescent="0.35">
      <c r="P15275" s="8"/>
    </row>
    <row r="15276" spans="16:16" x14ac:dyDescent="0.35">
      <c r="P15276" s="8"/>
    </row>
    <row r="15277" spans="16:16" x14ac:dyDescent="0.35">
      <c r="P15277" s="8"/>
    </row>
    <row r="15278" spans="16:16" x14ac:dyDescent="0.35">
      <c r="P15278" s="8"/>
    </row>
    <row r="15279" spans="16:16" x14ac:dyDescent="0.35">
      <c r="P15279" s="8"/>
    </row>
    <row r="15280" spans="16:16" x14ac:dyDescent="0.35">
      <c r="P15280" s="8"/>
    </row>
    <row r="15281" spans="16:16" x14ac:dyDescent="0.35">
      <c r="P15281" s="8"/>
    </row>
    <row r="15282" spans="16:16" x14ac:dyDescent="0.35">
      <c r="P15282" s="8"/>
    </row>
    <row r="15283" spans="16:16" x14ac:dyDescent="0.35">
      <c r="P15283" s="8"/>
    </row>
    <row r="15284" spans="16:16" x14ac:dyDescent="0.35">
      <c r="P15284" s="8"/>
    </row>
    <row r="15285" spans="16:16" x14ac:dyDescent="0.35">
      <c r="P15285" s="8"/>
    </row>
    <row r="15286" spans="16:16" x14ac:dyDescent="0.35">
      <c r="P15286" s="8"/>
    </row>
    <row r="15287" spans="16:16" x14ac:dyDescent="0.35">
      <c r="P15287" s="8"/>
    </row>
    <row r="15288" spans="16:16" x14ac:dyDescent="0.35">
      <c r="P15288" s="8"/>
    </row>
    <row r="15289" spans="16:16" x14ac:dyDescent="0.35">
      <c r="P15289" s="8"/>
    </row>
    <row r="15290" spans="16:16" x14ac:dyDescent="0.35">
      <c r="P15290" s="8"/>
    </row>
    <row r="15291" spans="16:16" x14ac:dyDescent="0.35">
      <c r="P15291" s="8"/>
    </row>
    <row r="15292" spans="16:16" x14ac:dyDescent="0.35">
      <c r="P15292" s="8"/>
    </row>
    <row r="15293" spans="16:16" x14ac:dyDescent="0.35">
      <c r="P15293" s="8"/>
    </row>
    <row r="15294" spans="16:16" x14ac:dyDescent="0.35">
      <c r="P15294" s="8"/>
    </row>
    <row r="15295" spans="16:16" x14ac:dyDescent="0.35">
      <c r="P15295" s="8"/>
    </row>
    <row r="15296" spans="16:16" x14ac:dyDescent="0.35">
      <c r="P15296" s="8"/>
    </row>
    <row r="15297" spans="16:16" x14ac:dyDescent="0.35">
      <c r="P15297" s="8"/>
    </row>
    <row r="15298" spans="16:16" x14ac:dyDescent="0.35">
      <c r="P15298" s="8"/>
    </row>
    <row r="15299" spans="16:16" x14ac:dyDescent="0.35">
      <c r="P15299" s="8"/>
    </row>
    <row r="15300" spans="16:16" x14ac:dyDescent="0.35">
      <c r="P15300" s="8"/>
    </row>
    <row r="15301" spans="16:16" x14ac:dyDescent="0.35">
      <c r="P15301" s="8"/>
    </row>
    <row r="15302" spans="16:16" x14ac:dyDescent="0.35">
      <c r="P15302" s="8"/>
    </row>
    <row r="15303" spans="16:16" x14ac:dyDescent="0.35">
      <c r="P15303" s="8"/>
    </row>
    <row r="15304" spans="16:16" x14ac:dyDescent="0.35">
      <c r="P15304" s="8"/>
    </row>
    <row r="15305" spans="16:16" x14ac:dyDescent="0.35">
      <c r="P15305" s="8"/>
    </row>
    <row r="15306" spans="16:16" x14ac:dyDescent="0.35">
      <c r="P15306" s="8"/>
    </row>
    <row r="15307" spans="16:16" x14ac:dyDescent="0.35">
      <c r="P15307" s="8"/>
    </row>
    <row r="15308" spans="16:16" x14ac:dyDescent="0.35">
      <c r="P15308" s="8"/>
    </row>
    <row r="15309" spans="16:16" x14ac:dyDescent="0.35">
      <c r="P15309" s="8"/>
    </row>
    <row r="15310" spans="16:16" x14ac:dyDescent="0.35">
      <c r="P15310" s="8"/>
    </row>
    <row r="15311" spans="16:16" x14ac:dyDescent="0.35">
      <c r="P15311" s="8"/>
    </row>
    <row r="15312" spans="16:16" x14ac:dyDescent="0.35">
      <c r="P15312" s="8"/>
    </row>
    <row r="15313" spans="16:16" x14ac:dyDescent="0.35">
      <c r="P15313" s="8"/>
    </row>
    <row r="15314" spans="16:16" x14ac:dyDescent="0.35">
      <c r="P15314" s="8"/>
    </row>
    <row r="15315" spans="16:16" x14ac:dyDescent="0.35">
      <c r="P15315" s="8"/>
    </row>
    <row r="15316" spans="16:16" x14ac:dyDescent="0.35">
      <c r="P15316" s="8"/>
    </row>
    <row r="15317" spans="16:16" x14ac:dyDescent="0.35">
      <c r="P15317" s="8"/>
    </row>
    <row r="15318" spans="16:16" x14ac:dyDescent="0.35">
      <c r="P15318" s="8"/>
    </row>
    <row r="15319" spans="16:16" x14ac:dyDescent="0.35">
      <c r="P15319" s="8"/>
    </row>
    <row r="15320" spans="16:16" x14ac:dyDescent="0.35">
      <c r="P15320" s="8"/>
    </row>
    <row r="15321" spans="16:16" x14ac:dyDescent="0.35">
      <c r="P15321" s="8"/>
    </row>
    <row r="15322" spans="16:16" x14ac:dyDescent="0.35">
      <c r="P15322" s="8"/>
    </row>
    <row r="15323" spans="16:16" x14ac:dyDescent="0.35">
      <c r="P15323" s="8"/>
    </row>
    <row r="15324" spans="16:16" x14ac:dyDescent="0.35">
      <c r="P15324" s="8"/>
    </row>
    <row r="15325" spans="16:16" x14ac:dyDescent="0.35">
      <c r="P15325" s="8"/>
    </row>
    <row r="15326" spans="16:16" x14ac:dyDescent="0.35">
      <c r="P15326" s="8"/>
    </row>
    <row r="15327" spans="16:16" x14ac:dyDescent="0.35">
      <c r="P15327" s="8"/>
    </row>
    <row r="15328" spans="16:16" x14ac:dyDescent="0.35">
      <c r="P15328" s="8"/>
    </row>
    <row r="15329" spans="16:16" x14ac:dyDescent="0.35">
      <c r="P15329" s="8"/>
    </row>
    <row r="15330" spans="16:16" x14ac:dyDescent="0.35">
      <c r="P15330" s="8"/>
    </row>
    <row r="15331" spans="16:16" x14ac:dyDescent="0.35">
      <c r="P15331" s="8"/>
    </row>
    <row r="15332" spans="16:16" x14ac:dyDescent="0.35">
      <c r="P15332" s="8"/>
    </row>
    <row r="15333" spans="16:16" x14ac:dyDescent="0.35">
      <c r="P15333" s="8"/>
    </row>
    <row r="15334" spans="16:16" x14ac:dyDescent="0.35">
      <c r="P15334" s="8"/>
    </row>
    <row r="15335" spans="16:16" x14ac:dyDescent="0.35">
      <c r="P15335" s="8"/>
    </row>
    <row r="15336" spans="16:16" x14ac:dyDescent="0.35">
      <c r="P15336" s="8"/>
    </row>
    <row r="15337" spans="16:16" x14ac:dyDescent="0.35">
      <c r="P15337" s="8"/>
    </row>
    <row r="15338" spans="16:16" x14ac:dyDescent="0.35">
      <c r="P15338" s="8"/>
    </row>
    <row r="15339" spans="16:16" x14ac:dyDescent="0.35">
      <c r="P15339" s="8"/>
    </row>
    <row r="15340" spans="16:16" x14ac:dyDescent="0.35">
      <c r="P15340" s="8"/>
    </row>
    <row r="15341" spans="16:16" x14ac:dyDescent="0.35">
      <c r="P15341" s="8"/>
    </row>
    <row r="15342" spans="16:16" x14ac:dyDescent="0.35">
      <c r="P15342" s="8"/>
    </row>
    <row r="15343" spans="16:16" x14ac:dyDescent="0.35">
      <c r="P15343" s="8"/>
    </row>
    <row r="15344" spans="16:16" x14ac:dyDescent="0.35">
      <c r="P15344" s="8"/>
    </row>
    <row r="15345" spans="16:16" x14ac:dyDescent="0.35">
      <c r="P15345" s="8"/>
    </row>
    <row r="15346" spans="16:16" x14ac:dyDescent="0.35">
      <c r="P15346" s="8"/>
    </row>
    <row r="15347" spans="16:16" x14ac:dyDescent="0.35">
      <c r="P15347" s="8"/>
    </row>
    <row r="15348" spans="16:16" x14ac:dyDescent="0.35">
      <c r="P15348" s="8"/>
    </row>
    <row r="15349" spans="16:16" x14ac:dyDescent="0.35">
      <c r="P15349" s="8"/>
    </row>
    <row r="15350" spans="16:16" x14ac:dyDescent="0.35">
      <c r="P15350" s="8"/>
    </row>
    <row r="15351" spans="16:16" x14ac:dyDescent="0.35">
      <c r="P15351" s="8"/>
    </row>
    <row r="15352" spans="16:16" x14ac:dyDescent="0.35">
      <c r="P15352" s="8"/>
    </row>
    <row r="15353" spans="16:16" x14ac:dyDescent="0.35">
      <c r="P15353" s="8"/>
    </row>
    <row r="15354" spans="16:16" x14ac:dyDescent="0.35">
      <c r="P15354" s="8"/>
    </row>
    <row r="15355" spans="16:16" x14ac:dyDescent="0.35">
      <c r="P15355" s="8"/>
    </row>
    <row r="15356" spans="16:16" x14ac:dyDescent="0.35">
      <c r="P15356" s="8"/>
    </row>
    <row r="15357" spans="16:16" x14ac:dyDescent="0.35">
      <c r="P15357" s="8"/>
    </row>
    <row r="15358" spans="16:16" x14ac:dyDescent="0.35">
      <c r="P15358" s="8"/>
    </row>
    <row r="15359" spans="16:16" x14ac:dyDescent="0.35">
      <c r="P15359" s="8"/>
    </row>
    <row r="15360" spans="16:16" x14ac:dyDescent="0.35">
      <c r="P15360" s="8"/>
    </row>
    <row r="15361" spans="16:16" x14ac:dyDescent="0.35">
      <c r="P15361" s="8"/>
    </row>
    <row r="15362" spans="16:16" x14ac:dyDescent="0.35">
      <c r="P15362" s="8"/>
    </row>
    <row r="15363" spans="16:16" x14ac:dyDescent="0.35">
      <c r="P15363" s="8"/>
    </row>
    <row r="15364" spans="16:16" x14ac:dyDescent="0.35">
      <c r="P15364" s="8"/>
    </row>
    <row r="15365" spans="16:16" x14ac:dyDescent="0.35">
      <c r="P15365" s="8"/>
    </row>
    <row r="15366" spans="16:16" x14ac:dyDescent="0.35">
      <c r="P15366" s="8"/>
    </row>
    <row r="15367" spans="16:16" x14ac:dyDescent="0.35">
      <c r="P15367" s="8"/>
    </row>
    <row r="15368" spans="16:16" x14ac:dyDescent="0.35">
      <c r="P15368" s="8"/>
    </row>
    <row r="15369" spans="16:16" x14ac:dyDescent="0.35">
      <c r="P15369" s="8"/>
    </row>
    <row r="15370" spans="16:16" x14ac:dyDescent="0.35">
      <c r="P15370" s="8"/>
    </row>
    <row r="15371" spans="16:16" x14ac:dyDescent="0.35">
      <c r="P15371" s="8"/>
    </row>
    <row r="15372" spans="16:16" x14ac:dyDescent="0.35">
      <c r="P15372" s="8"/>
    </row>
    <row r="15373" spans="16:16" x14ac:dyDescent="0.35">
      <c r="P15373" s="8"/>
    </row>
    <row r="15374" spans="16:16" x14ac:dyDescent="0.35">
      <c r="P15374" s="8"/>
    </row>
    <row r="15375" spans="16:16" x14ac:dyDescent="0.35">
      <c r="P15375" s="8"/>
    </row>
    <row r="15376" spans="16:16" x14ac:dyDescent="0.35">
      <c r="P15376" s="8"/>
    </row>
    <row r="15377" spans="16:16" x14ac:dyDescent="0.35">
      <c r="P15377" s="8"/>
    </row>
    <row r="15378" spans="16:16" x14ac:dyDescent="0.35">
      <c r="P15378" s="8"/>
    </row>
    <row r="15379" spans="16:16" x14ac:dyDescent="0.35">
      <c r="P15379" s="8"/>
    </row>
    <row r="15380" spans="16:16" x14ac:dyDescent="0.35">
      <c r="P15380" s="8"/>
    </row>
    <row r="15381" spans="16:16" x14ac:dyDescent="0.35">
      <c r="P15381" s="8"/>
    </row>
    <row r="15382" spans="16:16" x14ac:dyDescent="0.35">
      <c r="P15382" s="8"/>
    </row>
    <row r="15383" spans="16:16" x14ac:dyDescent="0.35">
      <c r="P15383" s="8"/>
    </row>
    <row r="15384" spans="16:16" x14ac:dyDescent="0.35">
      <c r="P15384" s="8"/>
    </row>
    <row r="15385" spans="16:16" x14ac:dyDescent="0.35">
      <c r="P15385" s="8"/>
    </row>
    <row r="15386" spans="16:16" x14ac:dyDescent="0.35">
      <c r="P15386" s="8"/>
    </row>
    <row r="15387" spans="16:16" x14ac:dyDescent="0.35">
      <c r="P15387" s="8"/>
    </row>
    <row r="15388" spans="16:16" x14ac:dyDescent="0.35">
      <c r="P15388" s="8"/>
    </row>
    <row r="15389" spans="16:16" x14ac:dyDescent="0.35">
      <c r="P15389" s="8"/>
    </row>
    <row r="15390" spans="16:16" x14ac:dyDescent="0.35">
      <c r="P15390" s="8"/>
    </row>
    <row r="15391" spans="16:16" x14ac:dyDescent="0.35">
      <c r="P15391" s="8"/>
    </row>
    <row r="15392" spans="16:16" x14ac:dyDescent="0.35">
      <c r="P15392" s="8"/>
    </row>
    <row r="15393" spans="16:16" x14ac:dyDescent="0.35">
      <c r="P15393" s="8"/>
    </row>
    <row r="15394" spans="16:16" x14ac:dyDescent="0.35">
      <c r="P15394" s="8"/>
    </row>
    <row r="15395" spans="16:16" x14ac:dyDescent="0.35">
      <c r="P15395" s="8"/>
    </row>
    <row r="15396" spans="16:16" x14ac:dyDescent="0.35">
      <c r="P15396" s="8"/>
    </row>
    <row r="15397" spans="16:16" x14ac:dyDescent="0.35">
      <c r="P15397" s="8"/>
    </row>
    <row r="15398" spans="16:16" x14ac:dyDescent="0.35">
      <c r="P15398" s="8"/>
    </row>
    <row r="15399" spans="16:16" x14ac:dyDescent="0.35">
      <c r="P15399" s="8"/>
    </row>
    <row r="15400" spans="16:16" x14ac:dyDescent="0.35">
      <c r="P15400" s="8"/>
    </row>
    <row r="15401" spans="16:16" x14ac:dyDescent="0.35">
      <c r="P15401" s="8"/>
    </row>
    <row r="15402" spans="16:16" x14ac:dyDescent="0.35">
      <c r="P15402" s="8"/>
    </row>
    <row r="15403" spans="16:16" x14ac:dyDescent="0.35">
      <c r="P15403" s="8"/>
    </row>
    <row r="15404" spans="16:16" x14ac:dyDescent="0.35">
      <c r="P15404" s="8"/>
    </row>
    <row r="15405" spans="16:16" x14ac:dyDescent="0.35">
      <c r="P15405" s="8"/>
    </row>
    <row r="15406" spans="16:16" x14ac:dyDescent="0.35">
      <c r="P15406" s="8"/>
    </row>
    <row r="15407" spans="16:16" x14ac:dyDescent="0.35">
      <c r="P15407" s="8"/>
    </row>
    <row r="15408" spans="16:16" x14ac:dyDescent="0.35">
      <c r="P15408" s="8"/>
    </row>
    <row r="15409" spans="16:16" x14ac:dyDescent="0.35">
      <c r="P15409" s="8"/>
    </row>
    <row r="15410" spans="16:16" x14ac:dyDescent="0.35">
      <c r="P15410" s="8"/>
    </row>
    <row r="15411" spans="16:16" x14ac:dyDescent="0.35">
      <c r="P15411" s="8"/>
    </row>
    <row r="15412" spans="16:16" x14ac:dyDescent="0.35">
      <c r="P15412" s="8"/>
    </row>
    <row r="15413" spans="16:16" x14ac:dyDescent="0.35">
      <c r="P15413" s="8"/>
    </row>
    <row r="15414" spans="16:16" x14ac:dyDescent="0.35">
      <c r="P15414" s="8"/>
    </row>
    <row r="15415" spans="16:16" x14ac:dyDescent="0.35">
      <c r="P15415" s="8"/>
    </row>
    <row r="15416" spans="16:16" x14ac:dyDescent="0.35">
      <c r="P15416" s="8"/>
    </row>
    <row r="15417" spans="16:16" x14ac:dyDescent="0.35">
      <c r="P15417" s="8"/>
    </row>
    <row r="15418" spans="16:16" x14ac:dyDescent="0.35">
      <c r="P15418" s="8"/>
    </row>
    <row r="15419" spans="16:16" x14ac:dyDescent="0.35">
      <c r="P15419" s="8"/>
    </row>
    <row r="15420" spans="16:16" x14ac:dyDescent="0.35">
      <c r="P15420" s="8"/>
    </row>
    <row r="15421" spans="16:16" x14ac:dyDescent="0.35">
      <c r="P15421" s="8"/>
    </row>
    <row r="15422" spans="16:16" x14ac:dyDescent="0.35">
      <c r="P15422" s="8"/>
    </row>
    <row r="15423" spans="16:16" x14ac:dyDescent="0.35">
      <c r="P15423" s="8"/>
    </row>
    <row r="15424" spans="16:16" x14ac:dyDescent="0.35">
      <c r="P15424" s="8"/>
    </row>
    <row r="15425" spans="16:16" x14ac:dyDescent="0.35">
      <c r="P15425" s="8"/>
    </row>
    <row r="15426" spans="16:16" x14ac:dyDescent="0.35">
      <c r="P15426" s="8"/>
    </row>
    <row r="15427" spans="16:16" x14ac:dyDescent="0.35">
      <c r="P15427" s="8"/>
    </row>
    <row r="15428" spans="16:16" x14ac:dyDescent="0.35">
      <c r="P15428" s="8"/>
    </row>
    <row r="15429" spans="16:16" x14ac:dyDescent="0.35">
      <c r="P15429" s="8"/>
    </row>
    <row r="15430" spans="16:16" x14ac:dyDescent="0.35">
      <c r="P15430" s="8"/>
    </row>
    <row r="15431" spans="16:16" x14ac:dyDescent="0.35">
      <c r="P15431" s="8"/>
    </row>
    <row r="15432" spans="16:16" x14ac:dyDescent="0.35">
      <c r="P15432" s="8"/>
    </row>
    <row r="15433" spans="16:16" x14ac:dyDescent="0.35">
      <c r="P15433" s="8"/>
    </row>
    <row r="15434" spans="16:16" x14ac:dyDescent="0.35">
      <c r="P15434" s="8"/>
    </row>
    <row r="15435" spans="16:16" x14ac:dyDescent="0.35">
      <c r="P15435" s="8"/>
    </row>
    <row r="15436" spans="16:16" x14ac:dyDescent="0.35">
      <c r="P15436" s="8"/>
    </row>
    <row r="15437" spans="16:16" x14ac:dyDescent="0.35">
      <c r="P15437" s="8"/>
    </row>
    <row r="15438" spans="16:16" x14ac:dyDescent="0.35">
      <c r="P15438" s="8"/>
    </row>
    <row r="15439" spans="16:16" x14ac:dyDescent="0.35">
      <c r="P15439" s="8"/>
    </row>
    <row r="15440" spans="16:16" x14ac:dyDescent="0.35">
      <c r="P15440" s="8"/>
    </row>
    <row r="15441" spans="16:16" x14ac:dyDescent="0.35">
      <c r="P15441" s="8"/>
    </row>
    <row r="15442" spans="16:16" x14ac:dyDescent="0.35">
      <c r="P15442" s="8"/>
    </row>
    <row r="15443" spans="16:16" x14ac:dyDescent="0.35">
      <c r="P15443" s="8"/>
    </row>
    <row r="15444" spans="16:16" x14ac:dyDescent="0.35">
      <c r="P15444" s="8"/>
    </row>
    <row r="15445" spans="16:16" x14ac:dyDescent="0.35">
      <c r="P15445" s="8"/>
    </row>
    <row r="15446" spans="16:16" x14ac:dyDescent="0.35">
      <c r="P15446" s="8"/>
    </row>
    <row r="15447" spans="16:16" x14ac:dyDescent="0.35">
      <c r="P15447" s="8"/>
    </row>
    <row r="15448" spans="16:16" x14ac:dyDescent="0.35">
      <c r="P15448" s="8"/>
    </row>
    <row r="15449" spans="16:16" x14ac:dyDescent="0.35">
      <c r="P15449" s="8"/>
    </row>
    <row r="15450" spans="16:16" x14ac:dyDescent="0.35">
      <c r="P15450" s="8"/>
    </row>
    <row r="15451" spans="16:16" x14ac:dyDescent="0.35">
      <c r="P15451" s="8"/>
    </row>
    <row r="15452" spans="16:16" x14ac:dyDescent="0.35">
      <c r="P15452" s="8"/>
    </row>
    <row r="15453" spans="16:16" x14ac:dyDescent="0.35">
      <c r="P15453" s="8"/>
    </row>
    <row r="15454" spans="16:16" x14ac:dyDescent="0.35">
      <c r="P15454" s="8"/>
    </row>
    <row r="15455" spans="16:16" x14ac:dyDescent="0.35">
      <c r="P15455" s="8"/>
    </row>
    <row r="15456" spans="16:16" x14ac:dyDescent="0.35">
      <c r="P15456" s="8"/>
    </row>
    <row r="15457" spans="16:16" x14ac:dyDescent="0.35">
      <c r="P15457" s="8"/>
    </row>
    <row r="15458" spans="16:16" x14ac:dyDescent="0.35">
      <c r="P15458" s="8"/>
    </row>
    <row r="15459" spans="16:16" x14ac:dyDescent="0.35">
      <c r="P15459" s="8"/>
    </row>
    <row r="15460" spans="16:16" x14ac:dyDescent="0.35">
      <c r="P15460" s="8"/>
    </row>
    <row r="15461" spans="16:16" x14ac:dyDescent="0.35">
      <c r="P15461" s="8"/>
    </row>
    <row r="15462" spans="16:16" x14ac:dyDescent="0.35">
      <c r="P15462" s="8"/>
    </row>
    <row r="15463" spans="16:16" x14ac:dyDescent="0.35">
      <c r="P15463" s="8"/>
    </row>
    <row r="15464" spans="16:16" x14ac:dyDescent="0.35">
      <c r="P15464" s="8"/>
    </row>
    <row r="15465" spans="16:16" x14ac:dyDescent="0.35">
      <c r="P15465" s="8"/>
    </row>
    <row r="15466" spans="16:16" x14ac:dyDescent="0.35">
      <c r="P15466" s="8"/>
    </row>
    <row r="15467" spans="16:16" x14ac:dyDescent="0.35">
      <c r="P15467" s="8"/>
    </row>
    <row r="15468" spans="16:16" x14ac:dyDescent="0.35">
      <c r="P15468" s="8"/>
    </row>
    <row r="15469" spans="16:16" x14ac:dyDescent="0.35">
      <c r="P15469" s="8"/>
    </row>
    <row r="15470" spans="16:16" x14ac:dyDescent="0.35">
      <c r="P15470" s="8"/>
    </row>
    <row r="15471" spans="16:16" x14ac:dyDescent="0.35">
      <c r="P15471" s="8"/>
    </row>
    <row r="15472" spans="16:16" x14ac:dyDescent="0.35">
      <c r="P15472" s="8"/>
    </row>
    <row r="15473" spans="16:16" x14ac:dyDescent="0.35">
      <c r="P15473" s="8"/>
    </row>
    <row r="15474" spans="16:16" x14ac:dyDescent="0.35">
      <c r="P15474" s="8"/>
    </row>
    <row r="15475" spans="16:16" x14ac:dyDescent="0.35">
      <c r="P15475" s="8"/>
    </row>
    <row r="15476" spans="16:16" x14ac:dyDescent="0.35">
      <c r="P15476" s="8"/>
    </row>
    <row r="15477" spans="16:16" x14ac:dyDescent="0.35">
      <c r="P15477" s="8"/>
    </row>
    <row r="15478" spans="16:16" x14ac:dyDescent="0.35">
      <c r="P15478" s="8"/>
    </row>
    <row r="15479" spans="16:16" x14ac:dyDescent="0.35">
      <c r="P15479" s="8"/>
    </row>
    <row r="15480" spans="16:16" x14ac:dyDescent="0.35">
      <c r="P15480" s="8"/>
    </row>
    <row r="15481" spans="16:16" x14ac:dyDescent="0.35">
      <c r="P15481" s="8"/>
    </row>
    <row r="15482" spans="16:16" x14ac:dyDescent="0.35">
      <c r="P15482" s="8"/>
    </row>
    <row r="15483" spans="16:16" x14ac:dyDescent="0.35">
      <c r="P15483" s="8"/>
    </row>
    <row r="15484" spans="16:16" x14ac:dyDescent="0.35">
      <c r="P15484" s="8"/>
    </row>
    <row r="15485" spans="16:16" x14ac:dyDescent="0.35">
      <c r="P15485" s="8"/>
    </row>
    <row r="15486" spans="16:16" x14ac:dyDescent="0.35">
      <c r="P15486" s="8"/>
    </row>
    <row r="15487" spans="16:16" x14ac:dyDescent="0.35">
      <c r="P15487" s="8"/>
    </row>
    <row r="15488" spans="16:16" x14ac:dyDescent="0.35">
      <c r="P15488" s="8"/>
    </row>
    <row r="15489" spans="16:16" x14ac:dyDescent="0.35">
      <c r="P15489" s="8"/>
    </row>
    <row r="15490" spans="16:16" x14ac:dyDescent="0.35">
      <c r="P15490" s="8"/>
    </row>
    <row r="15491" spans="16:16" x14ac:dyDescent="0.35">
      <c r="P15491" s="8"/>
    </row>
    <row r="15492" spans="16:16" x14ac:dyDescent="0.35">
      <c r="P15492" s="8"/>
    </row>
    <row r="15493" spans="16:16" x14ac:dyDescent="0.35">
      <c r="P15493" s="8"/>
    </row>
    <row r="15494" spans="16:16" x14ac:dyDescent="0.35">
      <c r="P15494" s="8"/>
    </row>
    <row r="15495" spans="16:16" x14ac:dyDescent="0.35">
      <c r="P15495" s="8"/>
    </row>
    <row r="15496" spans="16:16" x14ac:dyDescent="0.35">
      <c r="P15496" s="8"/>
    </row>
    <row r="15497" spans="16:16" x14ac:dyDescent="0.35">
      <c r="P15497" s="8"/>
    </row>
    <row r="15498" spans="16:16" x14ac:dyDescent="0.35">
      <c r="P15498" s="8"/>
    </row>
    <row r="15499" spans="16:16" x14ac:dyDescent="0.35">
      <c r="P15499" s="8"/>
    </row>
    <row r="15500" spans="16:16" x14ac:dyDescent="0.35">
      <c r="P15500" s="8"/>
    </row>
    <row r="15501" spans="16:16" x14ac:dyDescent="0.35">
      <c r="P15501" s="8"/>
    </row>
    <row r="15502" spans="16:16" x14ac:dyDescent="0.35">
      <c r="P15502" s="8"/>
    </row>
    <row r="15503" spans="16:16" x14ac:dyDescent="0.35">
      <c r="P15503" s="8"/>
    </row>
    <row r="15504" spans="16:16" x14ac:dyDescent="0.35">
      <c r="P15504" s="8"/>
    </row>
    <row r="15505" spans="16:16" x14ac:dyDescent="0.35">
      <c r="P15505" s="8"/>
    </row>
    <row r="15506" spans="16:16" x14ac:dyDescent="0.35">
      <c r="P15506" s="8"/>
    </row>
    <row r="15507" spans="16:16" x14ac:dyDescent="0.35">
      <c r="P15507" s="8"/>
    </row>
    <row r="15508" spans="16:16" x14ac:dyDescent="0.35">
      <c r="P15508" s="8"/>
    </row>
    <row r="15509" spans="16:16" x14ac:dyDescent="0.35">
      <c r="P15509" s="8"/>
    </row>
    <row r="15510" spans="16:16" x14ac:dyDescent="0.35">
      <c r="P15510" s="8"/>
    </row>
    <row r="15511" spans="16:16" x14ac:dyDescent="0.35">
      <c r="P15511" s="8"/>
    </row>
    <row r="15512" spans="16:16" x14ac:dyDescent="0.35">
      <c r="P15512" s="8"/>
    </row>
    <row r="15513" spans="16:16" x14ac:dyDescent="0.35">
      <c r="P15513" s="8"/>
    </row>
    <row r="15514" spans="16:16" x14ac:dyDescent="0.35">
      <c r="P15514" s="8"/>
    </row>
    <row r="15515" spans="16:16" x14ac:dyDescent="0.35">
      <c r="P15515" s="8"/>
    </row>
    <row r="15516" spans="16:16" x14ac:dyDescent="0.35">
      <c r="P15516" s="8"/>
    </row>
    <row r="15517" spans="16:16" x14ac:dyDescent="0.35">
      <c r="P15517" s="8"/>
    </row>
    <row r="15518" spans="16:16" x14ac:dyDescent="0.35">
      <c r="P15518" s="8"/>
    </row>
    <row r="15519" spans="16:16" x14ac:dyDescent="0.35">
      <c r="P15519" s="8"/>
    </row>
    <row r="15520" spans="16:16" x14ac:dyDescent="0.35">
      <c r="P15520" s="8"/>
    </row>
    <row r="15521" spans="16:16" x14ac:dyDescent="0.35">
      <c r="P15521" s="8"/>
    </row>
    <row r="15522" spans="16:16" x14ac:dyDescent="0.35">
      <c r="P15522" s="8"/>
    </row>
    <row r="15523" spans="16:16" x14ac:dyDescent="0.35">
      <c r="P15523" s="8"/>
    </row>
    <row r="15524" spans="16:16" x14ac:dyDescent="0.35">
      <c r="P15524" s="8"/>
    </row>
    <row r="15525" spans="16:16" x14ac:dyDescent="0.35">
      <c r="P15525" s="8"/>
    </row>
    <row r="15526" spans="16:16" x14ac:dyDescent="0.35">
      <c r="P15526" s="8"/>
    </row>
    <row r="15527" spans="16:16" x14ac:dyDescent="0.35">
      <c r="P15527" s="8"/>
    </row>
    <row r="15528" spans="16:16" x14ac:dyDescent="0.35">
      <c r="P15528" s="8"/>
    </row>
    <row r="15529" spans="16:16" x14ac:dyDescent="0.35">
      <c r="P15529" s="8"/>
    </row>
    <row r="15530" spans="16:16" x14ac:dyDescent="0.35">
      <c r="P15530" s="8"/>
    </row>
    <row r="15531" spans="16:16" x14ac:dyDescent="0.35">
      <c r="P15531" s="8"/>
    </row>
    <row r="15532" spans="16:16" x14ac:dyDescent="0.35">
      <c r="P15532" s="8"/>
    </row>
    <row r="15533" spans="16:16" x14ac:dyDescent="0.35">
      <c r="P15533" s="8"/>
    </row>
    <row r="15534" spans="16:16" x14ac:dyDescent="0.35">
      <c r="P15534" s="8"/>
    </row>
    <row r="15535" spans="16:16" x14ac:dyDescent="0.35">
      <c r="P15535" s="8"/>
    </row>
    <row r="15536" spans="16:16" x14ac:dyDescent="0.35">
      <c r="P15536" s="8"/>
    </row>
    <row r="15537" spans="16:16" x14ac:dyDescent="0.35">
      <c r="P15537" s="8"/>
    </row>
    <row r="15538" spans="16:16" x14ac:dyDescent="0.35">
      <c r="P15538" s="8"/>
    </row>
    <row r="15539" spans="16:16" x14ac:dyDescent="0.35">
      <c r="P15539" s="8"/>
    </row>
    <row r="15540" spans="16:16" x14ac:dyDescent="0.35">
      <c r="P15540" s="8"/>
    </row>
    <row r="15541" spans="16:16" x14ac:dyDescent="0.35">
      <c r="P15541" s="8"/>
    </row>
    <row r="15542" spans="16:16" x14ac:dyDescent="0.35">
      <c r="P15542" s="8"/>
    </row>
    <row r="15543" spans="16:16" x14ac:dyDescent="0.35">
      <c r="P15543" s="8"/>
    </row>
    <row r="15544" spans="16:16" x14ac:dyDescent="0.35">
      <c r="P15544" s="8"/>
    </row>
    <row r="15545" spans="16:16" x14ac:dyDescent="0.35">
      <c r="P15545" s="8"/>
    </row>
    <row r="15546" spans="16:16" x14ac:dyDescent="0.35">
      <c r="P15546" s="8"/>
    </row>
    <row r="15547" spans="16:16" x14ac:dyDescent="0.35">
      <c r="P15547" s="8"/>
    </row>
    <row r="15548" spans="16:16" x14ac:dyDescent="0.35">
      <c r="P15548" s="8"/>
    </row>
    <row r="15549" spans="16:16" x14ac:dyDescent="0.35">
      <c r="P15549" s="8"/>
    </row>
    <row r="15550" spans="16:16" x14ac:dyDescent="0.35">
      <c r="P15550" s="8"/>
    </row>
    <row r="15551" spans="16:16" x14ac:dyDescent="0.35">
      <c r="P15551" s="8"/>
    </row>
    <row r="15552" spans="16:16" x14ac:dyDescent="0.35">
      <c r="P15552" s="8"/>
    </row>
    <row r="15553" spans="16:16" x14ac:dyDescent="0.35">
      <c r="P15553" s="8"/>
    </row>
    <row r="15554" spans="16:16" x14ac:dyDescent="0.35">
      <c r="P15554" s="8"/>
    </row>
    <row r="15555" spans="16:16" x14ac:dyDescent="0.35">
      <c r="P15555" s="8"/>
    </row>
    <row r="15556" spans="16:16" x14ac:dyDescent="0.35">
      <c r="P15556" s="8"/>
    </row>
    <row r="15557" spans="16:16" x14ac:dyDescent="0.35">
      <c r="P15557" s="8"/>
    </row>
    <row r="15558" spans="16:16" x14ac:dyDescent="0.35">
      <c r="P15558" s="8"/>
    </row>
    <row r="15559" spans="16:16" x14ac:dyDescent="0.35">
      <c r="P15559" s="8"/>
    </row>
    <row r="15560" spans="16:16" x14ac:dyDescent="0.35">
      <c r="P15560" s="8"/>
    </row>
    <row r="15561" spans="16:16" x14ac:dyDescent="0.35">
      <c r="P15561" s="8"/>
    </row>
    <row r="15562" spans="16:16" x14ac:dyDescent="0.35">
      <c r="P15562" s="8"/>
    </row>
    <row r="15563" spans="16:16" x14ac:dyDescent="0.35">
      <c r="P15563" s="8"/>
    </row>
    <row r="15564" spans="16:16" x14ac:dyDescent="0.35">
      <c r="P15564" s="8"/>
    </row>
    <row r="15565" spans="16:16" x14ac:dyDescent="0.35">
      <c r="P15565" s="8"/>
    </row>
    <row r="15566" spans="16:16" x14ac:dyDescent="0.35">
      <c r="P15566" s="8"/>
    </row>
    <row r="15567" spans="16:16" x14ac:dyDescent="0.35">
      <c r="P15567" s="8"/>
    </row>
    <row r="15568" spans="16:16" x14ac:dyDescent="0.35">
      <c r="P15568" s="8"/>
    </row>
    <row r="15569" spans="16:16" x14ac:dyDescent="0.35">
      <c r="P15569" s="8"/>
    </row>
    <row r="15570" spans="16:16" x14ac:dyDescent="0.35">
      <c r="P15570" s="8"/>
    </row>
    <row r="15571" spans="16:16" x14ac:dyDescent="0.35">
      <c r="P15571" s="8"/>
    </row>
    <row r="15572" spans="16:16" x14ac:dyDescent="0.35">
      <c r="P15572" s="8"/>
    </row>
    <row r="15573" spans="16:16" x14ac:dyDescent="0.35">
      <c r="P15573" s="8"/>
    </row>
    <row r="15574" spans="16:16" x14ac:dyDescent="0.35">
      <c r="P15574" s="8"/>
    </row>
    <row r="15575" spans="16:16" x14ac:dyDescent="0.35">
      <c r="P15575" s="8"/>
    </row>
    <row r="15576" spans="16:16" x14ac:dyDescent="0.35">
      <c r="P15576" s="8"/>
    </row>
    <row r="15577" spans="16:16" x14ac:dyDescent="0.35">
      <c r="P15577" s="8"/>
    </row>
    <row r="15578" spans="16:16" x14ac:dyDescent="0.35">
      <c r="P15578" s="8"/>
    </row>
    <row r="15579" spans="16:16" x14ac:dyDescent="0.35">
      <c r="P15579" s="8"/>
    </row>
    <row r="15580" spans="16:16" x14ac:dyDescent="0.35">
      <c r="P15580" s="8"/>
    </row>
    <row r="15581" spans="16:16" x14ac:dyDescent="0.35">
      <c r="P15581" s="8"/>
    </row>
    <row r="15582" spans="16:16" x14ac:dyDescent="0.35">
      <c r="P15582" s="8"/>
    </row>
    <row r="15583" spans="16:16" x14ac:dyDescent="0.35">
      <c r="P15583" s="8"/>
    </row>
    <row r="15584" spans="16:16" x14ac:dyDescent="0.35">
      <c r="P15584" s="8"/>
    </row>
    <row r="15585" spans="16:16" x14ac:dyDescent="0.35">
      <c r="P15585" s="8"/>
    </row>
    <row r="15586" spans="16:16" x14ac:dyDescent="0.35">
      <c r="P15586" s="8"/>
    </row>
    <row r="15587" spans="16:16" x14ac:dyDescent="0.35">
      <c r="P15587" s="8"/>
    </row>
    <row r="15588" spans="16:16" x14ac:dyDescent="0.35">
      <c r="P15588" s="8"/>
    </row>
    <row r="15589" spans="16:16" x14ac:dyDescent="0.35">
      <c r="P15589" s="8"/>
    </row>
    <row r="15590" spans="16:16" x14ac:dyDescent="0.35">
      <c r="P15590" s="8"/>
    </row>
    <row r="15591" spans="16:16" x14ac:dyDescent="0.35">
      <c r="P15591" s="8"/>
    </row>
    <row r="15592" spans="16:16" x14ac:dyDescent="0.35">
      <c r="P15592" s="8"/>
    </row>
    <row r="15593" spans="16:16" x14ac:dyDescent="0.35">
      <c r="P15593" s="8"/>
    </row>
    <row r="15594" spans="16:16" x14ac:dyDescent="0.35">
      <c r="P15594" s="8"/>
    </row>
    <row r="15595" spans="16:16" x14ac:dyDescent="0.35">
      <c r="P15595" s="8"/>
    </row>
    <row r="15596" spans="16:16" x14ac:dyDescent="0.35">
      <c r="P15596" s="8"/>
    </row>
    <row r="15597" spans="16:16" x14ac:dyDescent="0.35">
      <c r="P15597" s="8"/>
    </row>
    <row r="15598" spans="16:16" x14ac:dyDescent="0.35">
      <c r="P15598" s="8"/>
    </row>
    <row r="15599" spans="16:16" x14ac:dyDescent="0.35">
      <c r="P15599" s="8"/>
    </row>
    <row r="15600" spans="16:16" x14ac:dyDescent="0.35">
      <c r="P15600" s="8"/>
    </row>
    <row r="15601" spans="16:16" x14ac:dyDescent="0.35">
      <c r="P15601" s="8"/>
    </row>
    <row r="15602" spans="16:16" x14ac:dyDescent="0.35">
      <c r="P15602" s="8"/>
    </row>
    <row r="15603" spans="16:16" x14ac:dyDescent="0.35">
      <c r="P15603" s="8"/>
    </row>
    <row r="15604" spans="16:16" x14ac:dyDescent="0.35">
      <c r="P15604" s="8"/>
    </row>
    <row r="15605" spans="16:16" x14ac:dyDescent="0.35">
      <c r="P15605" s="8"/>
    </row>
    <row r="15606" spans="16:16" x14ac:dyDescent="0.35">
      <c r="P15606" s="8"/>
    </row>
    <row r="15607" spans="16:16" x14ac:dyDescent="0.35">
      <c r="P15607" s="8"/>
    </row>
    <row r="15608" spans="16:16" x14ac:dyDescent="0.35">
      <c r="P15608" s="8"/>
    </row>
    <row r="15609" spans="16:16" x14ac:dyDescent="0.35">
      <c r="P15609" s="8"/>
    </row>
    <row r="15610" spans="16:16" x14ac:dyDescent="0.35">
      <c r="P15610" s="8"/>
    </row>
    <row r="15611" spans="16:16" x14ac:dyDescent="0.35">
      <c r="P15611" s="8"/>
    </row>
    <row r="15612" spans="16:16" x14ac:dyDescent="0.35">
      <c r="P15612" s="8"/>
    </row>
    <row r="15613" spans="16:16" x14ac:dyDescent="0.35">
      <c r="P15613" s="8"/>
    </row>
    <row r="15614" spans="16:16" x14ac:dyDescent="0.35">
      <c r="P15614" s="8"/>
    </row>
    <row r="15615" spans="16:16" x14ac:dyDescent="0.35">
      <c r="P15615" s="8"/>
    </row>
    <row r="15616" spans="16:16" x14ac:dyDescent="0.35">
      <c r="P15616" s="8"/>
    </row>
    <row r="15617" spans="16:16" x14ac:dyDescent="0.35">
      <c r="P15617" s="8"/>
    </row>
    <row r="15618" spans="16:16" x14ac:dyDescent="0.35">
      <c r="P15618" s="8"/>
    </row>
    <row r="15619" spans="16:16" x14ac:dyDescent="0.35">
      <c r="P15619" s="8"/>
    </row>
    <row r="15620" spans="16:16" x14ac:dyDescent="0.35">
      <c r="P15620" s="8"/>
    </row>
    <row r="15621" spans="16:16" x14ac:dyDescent="0.35">
      <c r="P15621" s="8"/>
    </row>
    <row r="15622" spans="16:16" x14ac:dyDescent="0.35">
      <c r="P15622" s="8"/>
    </row>
    <row r="15623" spans="16:16" x14ac:dyDescent="0.35">
      <c r="P15623" s="8"/>
    </row>
    <row r="15624" spans="16:16" x14ac:dyDescent="0.35">
      <c r="P15624" s="8"/>
    </row>
    <row r="15625" spans="16:16" x14ac:dyDescent="0.35">
      <c r="P15625" s="8"/>
    </row>
    <row r="15626" spans="16:16" x14ac:dyDescent="0.35">
      <c r="P15626" s="8"/>
    </row>
    <row r="15627" spans="16:16" x14ac:dyDescent="0.35">
      <c r="P15627" s="8"/>
    </row>
    <row r="15628" spans="16:16" x14ac:dyDescent="0.35">
      <c r="P15628" s="8"/>
    </row>
    <row r="15629" spans="16:16" x14ac:dyDescent="0.35">
      <c r="P15629" s="8"/>
    </row>
    <row r="15630" spans="16:16" x14ac:dyDescent="0.35">
      <c r="P15630" s="8"/>
    </row>
    <row r="15631" spans="16:16" x14ac:dyDescent="0.35">
      <c r="P15631" s="8"/>
    </row>
    <row r="15632" spans="16:16" x14ac:dyDescent="0.35">
      <c r="P15632" s="8"/>
    </row>
    <row r="15633" spans="16:16" x14ac:dyDescent="0.35">
      <c r="P15633" s="8"/>
    </row>
    <row r="15634" spans="16:16" x14ac:dyDescent="0.35">
      <c r="P15634" s="8"/>
    </row>
    <row r="15635" spans="16:16" x14ac:dyDescent="0.35">
      <c r="P15635" s="8"/>
    </row>
    <row r="15636" spans="16:16" x14ac:dyDescent="0.35">
      <c r="P15636" s="8"/>
    </row>
    <row r="15637" spans="16:16" x14ac:dyDescent="0.35">
      <c r="P15637" s="8"/>
    </row>
    <row r="15638" spans="16:16" x14ac:dyDescent="0.35">
      <c r="P15638" s="8"/>
    </row>
    <row r="15639" spans="16:16" x14ac:dyDescent="0.35">
      <c r="P15639" s="8"/>
    </row>
    <row r="15640" spans="16:16" x14ac:dyDescent="0.35">
      <c r="P15640" s="8"/>
    </row>
    <row r="15641" spans="16:16" x14ac:dyDescent="0.35">
      <c r="P15641" s="8"/>
    </row>
    <row r="15642" spans="16:16" x14ac:dyDescent="0.35">
      <c r="P15642" s="8"/>
    </row>
    <row r="15643" spans="16:16" x14ac:dyDescent="0.35">
      <c r="P15643" s="8"/>
    </row>
    <row r="15644" spans="16:16" x14ac:dyDescent="0.35">
      <c r="P15644" s="8"/>
    </row>
    <row r="15645" spans="16:16" x14ac:dyDescent="0.35">
      <c r="P15645" s="8"/>
    </row>
    <row r="15646" spans="16:16" x14ac:dyDescent="0.35">
      <c r="P15646" s="8"/>
    </row>
    <row r="15647" spans="16:16" x14ac:dyDescent="0.35">
      <c r="P15647" s="8"/>
    </row>
    <row r="15648" spans="16:16" x14ac:dyDescent="0.35">
      <c r="P15648" s="8"/>
    </row>
    <row r="15649" spans="16:16" x14ac:dyDescent="0.35">
      <c r="P15649" s="8"/>
    </row>
    <row r="15650" spans="16:16" x14ac:dyDescent="0.35">
      <c r="P15650" s="8"/>
    </row>
    <row r="15651" spans="16:16" x14ac:dyDescent="0.35">
      <c r="P15651" s="8"/>
    </row>
    <row r="15652" spans="16:16" x14ac:dyDescent="0.35">
      <c r="P15652" s="8"/>
    </row>
    <row r="15653" spans="16:16" x14ac:dyDescent="0.35">
      <c r="P15653" s="8"/>
    </row>
    <row r="15654" spans="16:16" x14ac:dyDescent="0.35">
      <c r="P15654" s="8"/>
    </row>
    <row r="15655" spans="16:16" x14ac:dyDescent="0.35">
      <c r="P15655" s="8"/>
    </row>
    <row r="15656" spans="16:16" x14ac:dyDescent="0.35">
      <c r="P15656" s="8"/>
    </row>
    <row r="15657" spans="16:16" x14ac:dyDescent="0.35">
      <c r="P15657" s="8"/>
    </row>
    <row r="15658" spans="16:16" x14ac:dyDescent="0.35">
      <c r="P15658" s="8"/>
    </row>
    <row r="15659" spans="16:16" x14ac:dyDescent="0.35">
      <c r="P15659" s="8"/>
    </row>
    <row r="15660" spans="16:16" x14ac:dyDescent="0.35">
      <c r="P15660" s="8"/>
    </row>
    <row r="15661" spans="16:16" x14ac:dyDescent="0.35">
      <c r="P15661" s="8"/>
    </row>
    <row r="15662" spans="16:16" x14ac:dyDescent="0.35">
      <c r="P15662" s="8"/>
    </row>
    <row r="15663" spans="16:16" x14ac:dyDescent="0.35">
      <c r="P15663" s="8"/>
    </row>
    <row r="15664" spans="16:16" x14ac:dyDescent="0.35">
      <c r="P15664" s="8"/>
    </row>
    <row r="15665" spans="16:16" x14ac:dyDescent="0.35">
      <c r="P15665" s="8"/>
    </row>
    <row r="15666" spans="16:16" x14ac:dyDescent="0.35">
      <c r="P15666" s="8"/>
    </row>
    <row r="15667" spans="16:16" x14ac:dyDescent="0.35">
      <c r="P15667" s="8"/>
    </row>
    <row r="15668" spans="16:16" x14ac:dyDescent="0.35">
      <c r="P15668" s="8"/>
    </row>
    <row r="15669" spans="16:16" x14ac:dyDescent="0.35">
      <c r="P15669" s="8"/>
    </row>
    <row r="15670" spans="16:16" x14ac:dyDescent="0.35">
      <c r="P15670" s="8"/>
    </row>
    <row r="15671" spans="16:16" x14ac:dyDescent="0.35">
      <c r="P15671" s="8"/>
    </row>
    <row r="15672" spans="16:16" x14ac:dyDescent="0.35">
      <c r="P15672" s="8"/>
    </row>
    <row r="15673" spans="16:16" x14ac:dyDescent="0.35">
      <c r="P15673" s="8"/>
    </row>
    <row r="15674" spans="16:16" x14ac:dyDescent="0.35">
      <c r="P15674" s="8"/>
    </row>
    <row r="15675" spans="16:16" x14ac:dyDescent="0.35">
      <c r="P15675" s="8"/>
    </row>
    <row r="15676" spans="16:16" x14ac:dyDescent="0.35">
      <c r="P15676" s="8"/>
    </row>
    <row r="15677" spans="16:16" x14ac:dyDescent="0.35">
      <c r="P15677" s="8"/>
    </row>
    <row r="15678" spans="16:16" x14ac:dyDescent="0.35">
      <c r="P15678" s="8"/>
    </row>
    <row r="15679" spans="16:16" x14ac:dyDescent="0.35">
      <c r="P15679" s="8"/>
    </row>
    <row r="15680" spans="16:16" x14ac:dyDescent="0.35">
      <c r="P15680" s="8"/>
    </row>
    <row r="15681" spans="16:16" x14ac:dyDescent="0.35">
      <c r="P15681" s="8"/>
    </row>
    <row r="15682" spans="16:16" x14ac:dyDescent="0.35">
      <c r="P15682" s="8"/>
    </row>
    <row r="15683" spans="16:16" x14ac:dyDescent="0.35">
      <c r="P15683" s="8"/>
    </row>
    <row r="15684" spans="16:16" x14ac:dyDescent="0.35">
      <c r="P15684" s="8"/>
    </row>
    <row r="15685" spans="16:16" x14ac:dyDescent="0.35">
      <c r="P15685" s="8"/>
    </row>
    <row r="15686" spans="16:16" x14ac:dyDescent="0.35">
      <c r="P15686" s="8"/>
    </row>
    <row r="15687" spans="16:16" x14ac:dyDescent="0.35">
      <c r="P15687" s="8"/>
    </row>
    <row r="15688" spans="16:16" x14ac:dyDescent="0.35">
      <c r="P15688" s="8"/>
    </row>
    <row r="15689" spans="16:16" x14ac:dyDescent="0.35">
      <c r="P15689" s="8"/>
    </row>
    <row r="15690" spans="16:16" x14ac:dyDescent="0.35">
      <c r="P15690" s="8"/>
    </row>
    <row r="15691" spans="16:16" x14ac:dyDescent="0.35">
      <c r="P15691" s="8"/>
    </row>
    <row r="15692" spans="16:16" x14ac:dyDescent="0.35">
      <c r="P15692" s="8"/>
    </row>
    <row r="15693" spans="16:16" x14ac:dyDescent="0.35">
      <c r="P15693" s="8"/>
    </row>
    <row r="15694" spans="16:16" x14ac:dyDescent="0.35">
      <c r="P15694" s="8"/>
    </row>
    <row r="15695" spans="16:16" x14ac:dyDescent="0.35">
      <c r="P15695" s="8"/>
    </row>
    <row r="15696" spans="16:16" x14ac:dyDescent="0.35">
      <c r="P15696" s="8"/>
    </row>
    <row r="15697" spans="16:16" x14ac:dyDescent="0.35">
      <c r="P15697" s="8"/>
    </row>
    <row r="15698" spans="16:16" x14ac:dyDescent="0.35">
      <c r="P15698" s="8"/>
    </row>
    <row r="15699" spans="16:16" x14ac:dyDescent="0.35">
      <c r="P15699" s="8"/>
    </row>
    <row r="15700" spans="16:16" x14ac:dyDescent="0.35">
      <c r="P15700" s="8"/>
    </row>
    <row r="15701" spans="16:16" x14ac:dyDescent="0.35">
      <c r="P15701" s="8"/>
    </row>
    <row r="15702" spans="16:16" x14ac:dyDescent="0.35">
      <c r="P15702" s="8"/>
    </row>
    <row r="15703" spans="16:16" x14ac:dyDescent="0.35">
      <c r="P15703" s="8"/>
    </row>
    <row r="15704" spans="16:16" x14ac:dyDescent="0.35">
      <c r="P15704" s="8"/>
    </row>
    <row r="15705" spans="16:16" x14ac:dyDescent="0.35">
      <c r="P15705" s="8"/>
    </row>
    <row r="15706" spans="16:16" x14ac:dyDescent="0.35">
      <c r="P15706" s="8"/>
    </row>
    <row r="15707" spans="16:16" x14ac:dyDescent="0.35">
      <c r="P15707" s="8"/>
    </row>
    <row r="15708" spans="16:16" x14ac:dyDescent="0.35">
      <c r="P15708" s="8"/>
    </row>
    <row r="15709" spans="16:16" x14ac:dyDescent="0.35">
      <c r="P15709" s="8"/>
    </row>
    <row r="15710" spans="16:16" x14ac:dyDescent="0.35">
      <c r="P15710" s="8"/>
    </row>
    <row r="15711" spans="16:16" x14ac:dyDescent="0.35">
      <c r="P15711" s="8"/>
    </row>
    <row r="15712" spans="16:16" x14ac:dyDescent="0.35">
      <c r="P15712" s="8"/>
    </row>
    <row r="15713" spans="16:16" x14ac:dyDescent="0.35">
      <c r="P15713" s="8"/>
    </row>
    <row r="15714" spans="16:16" x14ac:dyDescent="0.35">
      <c r="P15714" s="8"/>
    </row>
    <row r="15715" spans="16:16" x14ac:dyDescent="0.35">
      <c r="P15715" s="8"/>
    </row>
    <row r="15716" spans="16:16" x14ac:dyDescent="0.35">
      <c r="P15716" s="8"/>
    </row>
    <row r="15717" spans="16:16" x14ac:dyDescent="0.35">
      <c r="P15717" s="8"/>
    </row>
    <row r="15718" spans="16:16" x14ac:dyDescent="0.35">
      <c r="P15718" s="8"/>
    </row>
    <row r="15719" spans="16:16" x14ac:dyDescent="0.35">
      <c r="P15719" s="8"/>
    </row>
    <row r="15720" spans="16:16" x14ac:dyDescent="0.35">
      <c r="P15720" s="8"/>
    </row>
    <row r="15721" spans="16:16" x14ac:dyDescent="0.35">
      <c r="P15721" s="8"/>
    </row>
    <row r="15722" spans="16:16" x14ac:dyDescent="0.35">
      <c r="P15722" s="8"/>
    </row>
    <row r="15723" spans="16:16" x14ac:dyDescent="0.35">
      <c r="P15723" s="8"/>
    </row>
    <row r="15724" spans="16:16" x14ac:dyDescent="0.35">
      <c r="P15724" s="8"/>
    </row>
    <row r="15725" spans="16:16" x14ac:dyDescent="0.35">
      <c r="P15725" s="8"/>
    </row>
    <row r="15726" spans="16:16" x14ac:dyDescent="0.35">
      <c r="P15726" s="8"/>
    </row>
    <row r="15727" spans="16:16" x14ac:dyDescent="0.35">
      <c r="P15727" s="8"/>
    </row>
    <row r="15728" spans="16:16" x14ac:dyDescent="0.35">
      <c r="P15728" s="8"/>
    </row>
    <row r="15729" spans="16:16" x14ac:dyDescent="0.35">
      <c r="P15729" s="8"/>
    </row>
    <row r="15730" spans="16:16" x14ac:dyDescent="0.35">
      <c r="P15730" s="8"/>
    </row>
    <row r="15731" spans="16:16" x14ac:dyDescent="0.35">
      <c r="P15731" s="8"/>
    </row>
    <row r="15732" spans="16:16" x14ac:dyDescent="0.35">
      <c r="P15732" s="8"/>
    </row>
    <row r="15733" spans="16:16" x14ac:dyDescent="0.35">
      <c r="P15733" s="8"/>
    </row>
    <row r="15734" spans="16:16" x14ac:dyDescent="0.35">
      <c r="P15734" s="8"/>
    </row>
    <row r="15735" spans="16:16" x14ac:dyDescent="0.35">
      <c r="P15735" s="8"/>
    </row>
    <row r="15736" spans="16:16" x14ac:dyDescent="0.35">
      <c r="P15736" s="8"/>
    </row>
    <row r="15737" spans="16:16" x14ac:dyDescent="0.35">
      <c r="P15737" s="8"/>
    </row>
    <row r="15738" spans="16:16" x14ac:dyDescent="0.35">
      <c r="P15738" s="8"/>
    </row>
    <row r="15739" spans="16:16" x14ac:dyDescent="0.35">
      <c r="P15739" s="8"/>
    </row>
    <row r="15740" spans="16:16" x14ac:dyDescent="0.35">
      <c r="P15740" s="8"/>
    </row>
    <row r="15741" spans="16:16" x14ac:dyDescent="0.35">
      <c r="P15741" s="8"/>
    </row>
    <row r="15742" spans="16:16" x14ac:dyDescent="0.35">
      <c r="P15742" s="8"/>
    </row>
    <row r="15743" spans="16:16" x14ac:dyDescent="0.35">
      <c r="P15743" s="8"/>
    </row>
    <row r="15744" spans="16:16" x14ac:dyDescent="0.35">
      <c r="P15744" s="8"/>
    </row>
    <row r="15745" spans="16:16" x14ac:dyDescent="0.35">
      <c r="P15745" s="8"/>
    </row>
    <row r="15746" spans="16:16" x14ac:dyDescent="0.35">
      <c r="P15746" s="8"/>
    </row>
    <row r="15747" spans="16:16" x14ac:dyDescent="0.35">
      <c r="P15747" s="8"/>
    </row>
    <row r="15748" spans="16:16" x14ac:dyDescent="0.35">
      <c r="P15748" s="8"/>
    </row>
    <row r="15749" spans="16:16" x14ac:dyDescent="0.35">
      <c r="P15749" s="8"/>
    </row>
    <row r="15750" spans="16:16" x14ac:dyDescent="0.35">
      <c r="P15750" s="8"/>
    </row>
    <row r="15751" spans="16:16" x14ac:dyDescent="0.35">
      <c r="P15751" s="8"/>
    </row>
    <row r="15752" spans="16:16" x14ac:dyDescent="0.35">
      <c r="P15752" s="8"/>
    </row>
    <row r="15753" spans="16:16" x14ac:dyDescent="0.35">
      <c r="P15753" s="8"/>
    </row>
    <row r="15754" spans="16:16" x14ac:dyDescent="0.35">
      <c r="P15754" s="8"/>
    </row>
    <row r="15755" spans="16:16" x14ac:dyDescent="0.35">
      <c r="P15755" s="8"/>
    </row>
    <row r="15756" spans="16:16" x14ac:dyDescent="0.35">
      <c r="P15756" s="8"/>
    </row>
    <row r="15757" spans="16:16" x14ac:dyDescent="0.35">
      <c r="P15757" s="8"/>
    </row>
    <row r="15758" spans="16:16" x14ac:dyDescent="0.35">
      <c r="P15758" s="8"/>
    </row>
    <row r="15759" spans="16:16" x14ac:dyDescent="0.35">
      <c r="P15759" s="8"/>
    </row>
    <row r="15760" spans="16:16" x14ac:dyDescent="0.35">
      <c r="P15760" s="8"/>
    </row>
    <row r="15761" spans="16:16" x14ac:dyDescent="0.35">
      <c r="P15761" s="8"/>
    </row>
    <row r="15762" spans="16:16" x14ac:dyDescent="0.35">
      <c r="P15762" s="8"/>
    </row>
    <row r="15763" spans="16:16" x14ac:dyDescent="0.35">
      <c r="P15763" s="8"/>
    </row>
    <row r="15764" spans="16:16" x14ac:dyDescent="0.35">
      <c r="P15764" s="8"/>
    </row>
    <row r="15765" spans="16:16" x14ac:dyDescent="0.35">
      <c r="P15765" s="8"/>
    </row>
    <row r="15766" spans="16:16" x14ac:dyDescent="0.35">
      <c r="P15766" s="8"/>
    </row>
    <row r="15767" spans="16:16" x14ac:dyDescent="0.35">
      <c r="P15767" s="8"/>
    </row>
    <row r="15768" spans="16:16" x14ac:dyDescent="0.35">
      <c r="P15768" s="8"/>
    </row>
    <row r="15769" spans="16:16" x14ac:dyDescent="0.35">
      <c r="P15769" s="8"/>
    </row>
    <row r="15770" spans="16:16" x14ac:dyDescent="0.35">
      <c r="P15770" s="8"/>
    </row>
    <row r="15771" spans="16:16" x14ac:dyDescent="0.35">
      <c r="P15771" s="8"/>
    </row>
    <row r="15772" spans="16:16" x14ac:dyDescent="0.35">
      <c r="P15772" s="8"/>
    </row>
    <row r="15773" spans="16:16" x14ac:dyDescent="0.35">
      <c r="P15773" s="8"/>
    </row>
    <row r="15774" spans="16:16" x14ac:dyDescent="0.35">
      <c r="P15774" s="8"/>
    </row>
    <row r="15775" spans="16:16" x14ac:dyDescent="0.35">
      <c r="P15775" s="8"/>
    </row>
    <row r="15776" spans="16:16" x14ac:dyDescent="0.35">
      <c r="P15776" s="8"/>
    </row>
    <row r="15777" spans="16:16" x14ac:dyDescent="0.35">
      <c r="P15777" s="8"/>
    </row>
    <row r="15778" spans="16:16" x14ac:dyDescent="0.35">
      <c r="P15778" s="8"/>
    </row>
    <row r="15779" spans="16:16" x14ac:dyDescent="0.35">
      <c r="P15779" s="8"/>
    </row>
    <row r="15780" spans="16:16" x14ac:dyDescent="0.35">
      <c r="P15780" s="8"/>
    </row>
    <row r="15781" spans="16:16" x14ac:dyDescent="0.35">
      <c r="P15781" s="8"/>
    </row>
    <row r="15782" spans="16:16" x14ac:dyDescent="0.35">
      <c r="P15782" s="8"/>
    </row>
    <row r="15783" spans="16:16" x14ac:dyDescent="0.35">
      <c r="P15783" s="8"/>
    </row>
    <row r="15784" spans="16:16" x14ac:dyDescent="0.35">
      <c r="P15784" s="8"/>
    </row>
    <row r="15785" spans="16:16" x14ac:dyDescent="0.35">
      <c r="P15785" s="8"/>
    </row>
    <row r="15786" spans="16:16" x14ac:dyDescent="0.35">
      <c r="P15786" s="8"/>
    </row>
    <row r="15787" spans="16:16" x14ac:dyDescent="0.35">
      <c r="P15787" s="8"/>
    </row>
    <row r="15788" spans="16:16" x14ac:dyDescent="0.35">
      <c r="P15788" s="8"/>
    </row>
    <row r="15789" spans="16:16" x14ac:dyDescent="0.35">
      <c r="P15789" s="8"/>
    </row>
    <row r="15790" spans="16:16" x14ac:dyDescent="0.35">
      <c r="P15790" s="8"/>
    </row>
    <row r="15791" spans="16:16" x14ac:dyDescent="0.35">
      <c r="P15791" s="8"/>
    </row>
    <row r="15792" spans="16:16" x14ac:dyDescent="0.35">
      <c r="P15792" s="8"/>
    </row>
    <row r="15793" spans="16:16" x14ac:dyDescent="0.35">
      <c r="P15793" s="8"/>
    </row>
    <row r="15794" spans="16:16" x14ac:dyDescent="0.35">
      <c r="P15794" s="8"/>
    </row>
    <row r="15795" spans="16:16" x14ac:dyDescent="0.35">
      <c r="P15795" s="8"/>
    </row>
    <row r="15796" spans="16:16" x14ac:dyDescent="0.35">
      <c r="P15796" s="8"/>
    </row>
    <row r="15797" spans="16:16" x14ac:dyDescent="0.35">
      <c r="P15797" s="8"/>
    </row>
    <row r="15798" spans="16:16" x14ac:dyDescent="0.35">
      <c r="P15798" s="8"/>
    </row>
    <row r="15799" spans="16:16" x14ac:dyDescent="0.35">
      <c r="P15799" s="8"/>
    </row>
    <row r="15800" spans="16:16" x14ac:dyDescent="0.35">
      <c r="P15800" s="8"/>
    </row>
    <row r="15801" spans="16:16" x14ac:dyDescent="0.35">
      <c r="P15801" s="8"/>
    </row>
    <row r="15802" spans="16:16" x14ac:dyDescent="0.35">
      <c r="P15802" s="8"/>
    </row>
    <row r="15803" spans="16:16" x14ac:dyDescent="0.35">
      <c r="P15803" s="8"/>
    </row>
    <row r="15804" spans="16:16" x14ac:dyDescent="0.35">
      <c r="P15804" s="8"/>
    </row>
    <row r="15805" spans="16:16" x14ac:dyDescent="0.35">
      <c r="P15805" s="8"/>
    </row>
    <row r="15806" spans="16:16" x14ac:dyDescent="0.35">
      <c r="P15806" s="8"/>
    </row>
    <row r="15807" spans="16:16" x14ac:dyDescent="0.35">
      <c r="P15807" s="8"/>
    </row>
    <row r="15808" spans="16:16" x14ac:dyDescent="0.35">
      <c r="P15808" s="8"/>
    </row>
    <row r="15809" spans="16:16" x14ac:dyDescent="0.35">
      <c r="P15809" s="8"/>
    </row>
    <row r="15810" spans="16:16" x14ac:dyDescent="0.35">
      <c r="P15810" s="8"/>
    </row>
    <row r="15811" spans="16:16" x14ac:dyDescent="0.35">
      <c r="P15811" s="8"/>
    </row>
    <row r="15812" spans="16:16" x14ac:dyDescent="0.35">
      <c r="P15812" s="8"/>
    </row>
    <row r="15813" spans="16:16" x14ac:dyDescent="0.35">
      <c r="P15813" s="8"/>
    </row>
    <row r="15814" spans="16:16" x14ac:dyDescent="0.35">
      <c r="P15814" s="8"/>
    </row>
    <row r="15815" spans="16:16" x14ac:dyDescent="0.35">
      <c r="P15815" s="8"/>
    </row>
    <row r="15816" spans="16:16" x14ac:dyDescent="0.35">
      <c r="P15816" s="8"/>
    </row>
    <row r="15817" spans="16:16" x14ac:dyDescent="0.35">
      <c r="P15817" s="8"/>
    </row>
    <row r="15818" spans="16:16" x14ac:dyDescent="0.35">
      <c r="P15818" s="8"/>
    </row>
    <row r="15819" spans="16:16" x14ac:dyDescent="0.35">
      <c r="P15819" s="8"/>
    </row>
    <row r="15820" spans="16:16" x14ac:dyDescent="0.35">
      <c r="P15820" s="8"/>
    </row>
    <row r="15821" spans="16:16" x14ac:dyDescent="0.35">
      <c r="P15821" s="8"/>
    </row>
    <row r="15822" spans="16:16" x14ac:dyDescent="0.35">
      <c r="P15822" s="8"/>
    </row>
    <row r="15823" spans="16:16" x14ac:dyDescent="0.35">
      <c r="P15823" s="8"/>
    </row>
    <row r="15824" spans="16:16" x14ac:dyDescent="0.35">
      <c r="P15824" s="8"/>
    </row>
    <row r="15825" spans="16:16" x14ac:dyDescent="0.35">
      <c r="P15825" s="8"/>
    </row>
    <row r="15826" spans="16:16" x14ac:dyDescent="0.35">
      <c r="P15826" s="8"/>
    </row>
    <row r="15827" spans="16:16" x14ac:dyDescent="0.35">
      <c r="P15827" s="8"/>
    </row>
    <row r="15828" spans="16:16" x14ac:dyDescent="0.35">
      <c r="P15828" s="8"/>
    </row>
    <row r="15829" spans="16:16" x14ac:dyDescent="0.35">
      <c r="P15829" s="8"/>
    </row>
    <row r="15830" spans="16:16" x14ac:dyDescent="0.35">
      <c r="P15830" s="8"/>
    </row>
    <row r="15831" spans="16:16" x14ac:dyDescent="0.35">
      <c r="P15831" s="8"/>
    </row>
    <row r="15832" spans="16:16" x14ac:dyDescent="0.35">
      <c r="P15832" s="8"/>
    </row>
    <row r="15833" spans="16:16" x14ac:dyDescent="0.35">
      <c r="P15833" s="8"/>
    </row>
    <row r="15834" spans="16:16" x14ac:dyDescent="0.35">
      <c r="P15834" s="8"/>
    </row>
    <row r="15835" spans="16:16" x14ac:dyDescent="0.35">
      <c r="P15835" s="8"/>
    </row>
    <row r="15836" spans="16:16" x14ac:dyDescent="0.35">
      <c r="P15836" s="8"/>
    </row>
    <row r="15837" spans="16:16" x14ac:dyDescent="0.35">
      <c r="P15837" s="8"/>
    </row>
    <row r="15838" spans="16:16" x14ac:dyDescent="0.35">
      <c r="P15838" s="8"/>
    </row>
    <row r="15839" spans="16:16" x14ac:dyDescent="0.35">
      <c r="P15839" s="8"/>
    </row>
    <row r="15840" spans="16:16" x14ac:dyDescent="0.35">
      <c r="P15840" s="8"/>
    </row>
    <row r="15841" spans="16:16" x14ac:dyDescent="0.35">
      <c r="P15841" s="8"/>
    </row>
    <row r="15842" spans="16:16" x14ac:dyDescent="0.35">
      <c r="P15842" s="8"/>
    </row>
    <row r="15843" spans="16:16" x14ac:dyDescent="0.35">
      <c r="P15843" s="8"/>
    </row>
    <row r="15844" spans="16:16" x14ac:dyDescent="0.35">
      <c r="P15844" s="8"/>
    </row>
    <row r="15845" spans="16:16" x14ac:dyDescent="0.35">
      <c r="P15845" s="8"/>
    </row>
    <row r="15846" spans="16:16" x14ac:dyDescent="0.35">
      <c r="P15846" s="8"/>
    </row>
    <row r="15847" spans="16:16" x14ac:dyDescent="0.35">
      <c r="P15847" s="8"/>
    </row>
    <row r="15848" spans="16:16" x14ac:dyDescent="0.35">
      <c r="P15848" s="8"/>
    </row>
    <row r="15849" spans="16:16" x14ac:dyDescent="0.35">
      <c r="P15849" s="8"/>
    </row>
    <row r="15850" spans="16:16" x14ac:dyDescent="0.35">
      <c r="P15850" s="8"/>
    </row>
    <row r="15851" spans="16:16" x14ac:dyDescent="0.35">
      <c r="P15851" s="8"/>
    </row>
    <row r="15852" spans="16:16" x14ac:dyDescent="0.35">
      <c r="P15852" s="8"/>
    </row>
    <row r="15853" spans="16:16" x14ac:dyDescent="0.35">
      <c r="P15853" s="8"/>
    </row>
    <row r="15854" spans="16:16" x14ac:dyDescent="0.35">
      <c r="P15854" s="8"/>
    </row>
    <row r="15855" spans="16:16" x14ac:dyDescent="0.35">
      <c r="P15855" s="8"/>
    </row>
    <row r="15856" spans="16:16" x14ac:dyDescent="0.35">
      <c r="P15856" s="8"/>
    </row>
    <row r="15857" spans="16:16" x14ac:dyDescent="0.35">
      <c r="P15857" s="8"/>
    </row>
    <row r="15858" spans="16:16" x14ac:dyDescent="0.35">
      <c r="P15858" s="8"/>
    </row>
    <row r="15859" spans="16:16" x14ac:dyDescent="0.35">
      <c r="P15859" s="8"/>
    </row>
    <row r="15860" spans="16:16" x14ac:dyDescent="0.35">
      <c r="P15860" s="8"/>
    </row>
    <row r="15861" spans="16:16" x14ac:dyDescent="0.35">
      <c r="P15861" s="8"/>
    </row>
    <row r="15862" spans="16:16" x14ac:dyDescent="0.35">
      <c r="P15862" s="8"/>
    </row>
    <row r="15863" spans="16:16" x14ac:dyDescent="0.35">
      <c r="P15863" s="8"/>
    </row>
    <row r="15864" spans="16:16" x14ac:dyDescent="0.35">
      <c r="P15864" s="8"/>
    </row>
    <row r="15865" spans="16:16" x14ac:dyDescent="0.35">
      <c r="P15865" s="8"/>
    </row>
    <row r="15866" spans="16:16" x14ac:dyDescent="0.35">
      <c r="P15866" s="8"/>
    </row>
    <row r="15867" spans="16:16" x14ac:dyDescent="0.35">
      <c r="P15867" s="8"/>
    </row>
    <row r="15868" spans="16:16" x14ac:dyDescent="0.35">
      <c r="P15868" s="8"/>
    </row>
    <row r="15869" spans="16:16" x14ac:dyDescent="0.35">
      <c r="P15869" s="8"/>
    </row>
    <row r="15870" spans="16:16" x14ac:dyDescent="0.35">
      <c r="P15870" s="8"/>
    </row>
    <row r="15871" spans="16:16" x14ac:dyDescent="0.35">
      <c r="P15871" s="8"/>
    </row>
    <row r="15872" spans="16:16" x14ac:dyDescent="0.35">
      <c r="P15872" s="8"/>
    </row>
    <row r="15873" spans="16:16" x14ac:dyDescent="0.35">
      <c r="P15873" s="8"/>
    </row>
    <row r="15874" spans="16:16" x14ac:dyDescent="0.35">
      <c r="P15874" s="8"/>
    </row>
    <row r="15875" spans="16:16" x14ac:dyDescent="0.35">
      <c r="P15875" s="8"/>
    </row>
    <row r="15876" spans="16:16" x14ac:dyDescent="0.35">
      <c r="P15876" s="8"/>
    </row>
    <row r="15877" spans="16:16" x14ac:dyDescent="0.35">
      <c r="P15877" s="8"/>
    </row>
    <row r="15878" spans="16:16" x14ac:dyDescent="0.35">
      <c r="P15878" s="8"/>
    </row>
    <row r="15879" spans="16:16" x14ac:dyDescent="0.35">
      <c r="P15879" s="8"/>
    </row>
    <row r="15880" spans="16:16" x14ac:dyDescent="0.35">
      <c r="P15880" s="8"/>
    </row>
    <row r="15881" spans="16:16" x14ac:dyDescent="0.35">
      <c r="P15881" s="8"/>
    </row>
    <row r="15882" spans="16:16" x14ac:dyDescent="0.35">
      <c r="P15882" s="8"/>
    </row>
    <row r="15883" spans="16:16" x14ac:dyDescent="0.35">
      <c r="P15883" s="8"/>
    </row>
    <row r="15884" spans="16:16" x14ac:dyDescent="0.35">
      <c r="P15884" s="8"/>
    </row>
    <row r="15885" spans="16:16" x14ac:dyDescent="0.35">
      <c r="P15885" s="8"/>
    </row>
    <row r="15886" spans="16:16" x14ac:dyDescent="0.35">
      <c r="P15886" s="8"/>
    </row>
    <row r="15887" spans="16:16" x14ac:dyDescent="0.35">
      <c r="P15887" s="8"/>
    </row>
    <row r="15888" spans="16:16" x14ac:dyDescent="0.35">
      <c r="P15888" s="8"/>
    </row>
    <row r="15889" spans="16:16" x14ac:dyDescent="0.35">
      <c r="P15889" s="8"/>
    </row>
    <row r="15890" spans="16:16" x14ac:dyDescent="0.35">
      <c r="P15890" s="8"/>
    </row>
    <row r="15891" spans="16:16" x14ac:dyDescent="0.35">
      <c r="P15891" s="8"/>
    </row>
    <row r="15892" spans="16:16" x14ac:dyDescent="0.35">
      <c r="P15892" s="8"/>
    </row>
    <row r="15893" spans="16:16" x14ac:dyDescent="0.35">
      <c r="P15893" s="8"/>
    </row>
    <row r="15894" spans="16:16" x14ac:dyDescent="0.35">
      <c r="P15894" s="8"/>
    </row>
    <row r="15895" spans="16:16" x14ac:dyDescent="0.35">
      <c r="P15895" s="8"/>
    </row>
    <row r="15896" spans="16:16" x14ac:dyDescent="0.35">
      <c r="P15896" s="8"/>
    </row>
    <row r="15897" spans="16:16" x14ac:dyDescent="0.35">
      <c r="P15897" s="8"/>
    </row>
    <row r="15898" spans="16:16" x14ac:dyDescent="0.35">
      <c r="P15898" s="8"/>
    </row>
    <row r="15899" spans="16:16" x14ac:dyDescent="0.35">
      <c r="P15899" s="8"/>
    </row>
    <row r="15900" spans="16:16" x14ac:dyDescent="0.35">
      <c r="P15900" s="8"/>
    </row>
    <row r="15901" spans="16:16" x14ac:dyDescent="0.35">
      <c r="P15901" s="8"/>
    </row>
    <row r="15902" spans="16:16" x14ac:dyDescent="0.35">
      <c r="P15902" s="8"/>
    </row>
    <row r="15903" spans="16:16" x14ac:dyDescent="0.35">
      <c r="P15903" s="8"/>
    </row>
    <row r="15904" spans="16:16" x14ac:dyDescent="0.35">
      <c r="P15904" s="8"/>
    </row>
    <row r="15905" spans="16:16" x14ac:dyDescent="0.35">
      <c r="P15905" s="8"/>
    </row>
    <row r="15906" spans="16:16" x14ac:dyDescent="0.35">
      <c r="P15906" s="8"/>
    </row>
    <row r="15907" spans="16:16" x14ac:dyDescent="0.35">
      <c r="P15907" s="8"/>
    </row>
    <row r="15908" spans="16:16" x14ac:dyDescent="0.35">
      <c r="P15908" s="8"/>
    </row>
    <row r="15909" spans="16:16" x14ac:dyDescent="0.35">
      <c r="P15909" s="8"/>
    </row>
    <row r="15910" spans="16:16" x14ac:dyDescent="0.35">
      <c r="P15910" s="8"/>
    </row>
    <row r="15911" spans="16:16" x14ac:dyDescent="0.35">
      <c r="P15911" s="8"/>
    </row>
    <row r="15912" spans="16:16" x14ac:dyDescent="0.35">
      <c r="P15912" s="8"/>
    </row>
    <row r="15913" spans="16:16" x14ac:dyDescent="0.35">
      <c r="P15913" s="8"/>
    </row>
    <row r="15914" spans="16:16" x14ac:dyDescent="0.35">
      <c r="P15914" s="8"/>
    </row>
    <row r="15915" spans="16:16" x14ac:dyDescent="0.35">
      <c r="P15915" s="8"/>
    </row>
    <row r="15916" spans="16:16" x14ac:dyDescent="0.35">
      <c r="P15916" s="8"/>
    </row>
    <row r="15917" spans="16:16" x14ac:dyDescent="0.35">
      <c r="P15917" s="8"/>
    </row>
    <row r="15918" spans="16:16" x14ac:dyDescent="0.35">
      <c r="P15918" s="8"/>
    </row>
    <row r="15919" spans="16:16" x14ac:dyDescent="0.35">
      <c r="P15919" s="8"/>
    </row>
    <row r="15920" spans="16:16" x14ac:dyDescent="0.35">
      <c r="P15920" s="8"/>
    </row>
    <row r="15921" spans="16:16" x14ac:dyDescent="0.35">
      <c r="P15921" s="8"/>
    </row>
    <row r="15922" spans="16:16" x14ac:dyDescent="0.35">
      <c r="P15922" s="8"/>
    </row>
    <row r="15923" spans="16:16" x14ac:dyDescent="0.35">
      <c r="P15923" s="8"/>
    </row>
    <row r="15924" spans="16:16" x14ac:dyDescent="0.35">
      <c r="P15924" s="8"/>
    </row>
    <row r="15925" spans="16:16" x14ac:dyDescent="0.35">
      <c r="P15925" s="8"/>
    </row>
    <row r="15926" spans="16:16" x14ac:dyDescent="0.35">
      <c r="P15926" s="8"/>
    </row>
    <row r="15927" spans="16:16" x14ac:dyDescent="0.35">
      <c r="P15927" s="8"/>
    </row>
    <row r="15928" spans="16:16" x14ac:dyDescent="0.35">
      <c r="P15928" s="8"/>
    </row>
    <row r="15929" spans="16:16" x14ac:dyDescent="0.35">
      <c r="P15929" s="8"/>
    </row>
    <row r="15930" spans="16:16" x14ac:dyDescent="0.35">
      <c r="P15930" s="8"/>
    </row>
    <row r="15931" spans="16:16" x14ac:dyDescent="0.35">
      <c r="P15931" s="8"/>
    </row>
    <row r="15932" spans="16:16" x14ac:dyDescent="0.35">
      <c r="P15932" s="8"/>
    </row>
    <row r="15933" spans="16:16" x14ac:dyDescent="0.35">
      <c r="P15933" s="8"/>
    </row>
    <row r="15934" spans="16:16" x14ac:dyDescent="0.35">
      <c r="P15934" s="8"/>
    </row>
    <row r="15935" spans="16:16" x14ac:dyDescent="0.35">
      <c r="P15935" s="8"/>
    </row>
    <row r="15936" spans="16:16" x14ac:dyDescent="0.35">
      <c r="P15936" s="8"/>
    </row>
    <row r="15937" spans="16:16" x14ac:dyDescent="0.35">
      <c r="P15937" s="8"/>
    </row>
    <row r="15938" spans="16:16" x14ac:dyDescent="0.35">
      <c r="P15938" s="8"/>
    </row>
    <row r="15939" spans="16:16" x14ac:dyDescent="0.35">
      <c r="P15939" s="8"/>
    </row>
    <row r="15940" spans="16:16" x14ac:dyDescent="0.35">
      <c r="P15940" s="8"/>
    </row>
    <row r="15941" spans="16:16" x14ac:dyDescent="0.35">
      <c r="P15941" s="8"/>
    </row>
    <row r="15942" spans="16:16" x14ac:dyDescent="0.35">
      <c r="P15942" s="8"/>
    </row>
    <row r="15943" spans="16:16" x14ac:dyDescent="0.35">
      <c r="P15943" s="8"/>
    </row>
    <row r="15944" spans="16:16" x14ac:dyDescent="0.35">
      <c r="P15944" s="8"/>
    </row>
    <row r="15945" spans="16:16" x14ac:dyDescent="0.35">
      <c r="P15945" s="8"/>
    </row>
    <row r="15946" spans="16:16" x14ac:dyDescent="0.35">
      <c r="P15946" s="8"/>
    </row>
    <row r="15947" spans="16:16" x14ac:dyDescent="0.35">
      <c r="P15947" s="8"/>
    </row>
    <row r="15948" spans="16:16" x14ac:dyDescent="0.35">
      <c r="P15948" s="8"/>
    </row>
    <row r="15949" spans="16:16" x14ac:dyDescent="0.35">
      <c r="P15949" s="8"/>
    </row>
    <row r="15950" spans="16:16" x14ac:dyDescent="0.35">
      <c r="P15950" s="8"/>
    </row>
    <row r="15951" spans="16:16" x14ac:dyDescent="0.35">
      <c r="P15951" s="8"/>
    </row>
    <row r="15952" spans="16:16" x14ac:dyDescent="0.35">
      <c r="P15952" s="8"/>
    </row>
    <row r="15953" spans="16:16" x14ac:dyDescent="0.35">
      <c r="P15953" s="8"/>
    </row>
    <row r="15954" spans="16:16" x14ac:dyDescent="0.35">
      <c r="P15954" s="8"/>
    </row>
    <row r="15955" spans="16:16" x14ac:dyDescent="0.35">
      <c r="P15955" s="8"/>
    </row>
    <row r="15956" spans="16:16" x14ac:dyDescent="0.35">
      <c r="P15956" s="8"/>
    </row>
    <row r="15957" spans="16:16" x14ac:dyDescent="0.35">
      <c r="P15957" s="8"/>
    </row>
    <row r="15958" spans="16:16" x14ac:dyDescent="0.35">
      <c r="P15958" s="8"/>
    </row>
    <row r="15959" spans="16:16" x14ac:dyDescent="0.35">
      <c r="P15959" s="8"/>
    </row>
    <row r="15960" spans="16:16" x14ac:dyDescent="0.35">
      <c r="P15960" s="8"/>
    </row>
    <row r="15961" spans="16:16" x14ac:dyDescent="0.35">
      <c r="P15961" s="8"/>
    </row>
    <row r="15962" spans="16:16" x14ac:dyDescent="0.35">
      <c r="P15962" s="8"/>
    </row>
    <row r="15963" spans="16:16" x14ac:dyDescent="0.35">
      <c r="P15963" s="8"/>
    </row>
    <row r="15964" spans="16:16" x14ac:dyDescent="0.35">
      <c r="P15964" s="8"/>
    </row>
    <row r="15965" spans="16:16" x14ac:dyDescent="0.35">
      <c r="P15965" s="8"/>
    </row>
    <row r="15966" spans="16:16" x14ac:dyDescent="0.35">
      <c r="P15966" s="8"/>
    </row>
    <row r="15967" spans="16:16" x14ac:dyDescent="0.35">
      <c r="P15967" s="8"/>
    </row>
    <row r="15968" spans="16:16" x14ac:dyDescent="0.35">
      <c r="P15968" s="8"/>
    </row>
    <row r="15969" spans="16:16" x14ac:dyDescent="0.35">
      <c r="P15969" s="8"/>
    </row>
    <row r="15970" spans="16:16" x14ac:dyDescent="0.35">
      <c r="P15970" s="8"/>
    </row>
    <row r="15971" spans="16:16" x14ac:dyDescent="0.35">
      <c r="P15971" s="8"/>
    </row>
    <row r="15972" spans="16:16" x14ac:dyDescent="0.35">
      <c r="P15972" s="8"/>
    </row>
    <row r="15973" spans="16:16" x14ac:dyDescent="0.35">
      <c r="P15973" s="8"/>
    </row>
    <row r="15974" spans="16:16" x14ac:dyDescent="0.35">
      <c r="P15974" s="8"/>
    </row>
    <row r="15975" spans="16:16" x14ac:dyDescent="0.35">
      <c r="P15975" s="8"/>
    </row>
    <row r="15976" spans="16:16" x14ac:dyDescent="0.35">
      <c r="P15976" s="8"/>
    </row>
    <row r="15977" spans="16:16" x14ac:dyDescent="0.35">
      <c r="P15977" s="8"/>
    </row>
    <row r="15978" spans="16:16" x14ac:dyDescent="0.35">
      <c r="P15978" s="8"/>
    </row>
    <row r="15979" spans="16:16" x14ac:dyDescent="0.35">
      <c r="P15979" s="8"/>
    </row>
    <row r="15980" spans="16:16" x14ac:dyDescent="0.35">
      <c r="P15980" s="8"/>
    </row>
    <row r="15981" spans="16:16" x14ac:dyDescent="0.35">
      <c r="P15981" s="8"/>
    </row>
    <row r="15982" spans="16:16" x14ac:dyDescent="0.35">
      <c r="P15982" s="8"/>
    </row>
    <row r="15983" spans="16:16" x14ac:dyDescent="0.35">
      <c r="P15983" s="8"/>
    </row>
    <row r="15984" spans="16:16" x14ac:dyDescent="0.35">
      <c r="P15984" s="8"/>
    </row>
    <row r="15985" spans="16:16" x14ac:dyDescent="0.35">
      <c r="P15985" s="8"/>
    </row>
    <row r="15986" spans="16:16" x14ac:dyDescent="0.35">
      <c r="P15986" s="8"/>
    </row>
    <row r="15987" spans="16:16" x14ac:dyDescent="0.35">
      <c r="P15987" s="8"/>
    </row>
    <row r="15988" spans="16:16" x14ac:dyDescent="0.35">
      <c r="P15988" s="8"/>
    </row>
    <row r="15989" spans="16:16" x14ac:dyDescent="0.35">
      <c r="P15989" s="8"/>
    </row>
    <row r="15990" spans="16:16" x14ac:dyDescent="0.35">
      <c r="P15990" s="8"/>
    </row>
    <row r="15991" spans="16:16" x14ac:dyDescent="0.35">
      <c r="P15991" s="8"/>
    </row>
    <row r="15992" spans="16:16" x14ac:dyDescent="0.35">
      <c r="P15992" s="8"/>
    </row>
    <row r="15993" spans="16:16" x14ac:dyDescent="0.35">
      <c r="P15993" s="8"/>
    </row>
    <row r="15994" spans="16:16" x14ac:dyDescent="0.35">
      <c r="P15994" s="8"/>
    </row>
    <row r="15995" spans="16:16" x14ac:dyDescent="0.35">
      <c r="P15995" s="8"/>
    </row>
    <row r="15996" spans="16:16" x14ac:dyDescent="0.35">
      <c r="P15996" s="8"/>
    </row>
    <row r="15997" spans="16:16" x14ac:dyDescent="0.35">
      <c r="P15997" s="8"/>
    </row>
    <row r="15998" spans="16:16" x14ac:dyDescent="0.35">
      <c r="P15998" s="8"/>
    </row>
    <row r="15999" spans="16:16" x14ac:dyDescent="0.35">
      <c r="P15999" s="8"/>
    </row>
    <row r="16000" spans="16:16" x14ac:dyDescent="0.35">
      <c r="P16000" s="8"/>
    </row>
    <row r="16001" spans="16:16" x14ac:dyDescent="0.35">
      <c r="P16001" s="8"/>
    </row>
    <row r="16002" spans="16:16" x14ac:dyDescent="0.35">
      <c r="P16002" s="8"/>
    </row>
    <row r="16003" spans="16:16" x14ac:dyDescent="0.35">
      <c r="P16003" s="8"/>
    </row>
    <row r="16004" spans="16:16" x14ac:dyDescent="0.35">
      <c r="P16004" s="8"/>
    </row>
    <row r="16005" spans="16:16" x14ac:dyDescent="0.35">
      <c r="P16005" s="8"/>
    </row>
    <row r="16006" spans="16:16" x14ac:dyDescent="0.35">
      <c r="P16006" s="8"/>
    </row>
    <row r="16007" spans="16:16" x14ac:dyDescent="0.35">
      <c r="P16007" s="8"/>
    </row>
    <row r="16008" spans="16:16" x14ac:dyDescent="0.35">
      <c r="P16008" s="8"/>
    </row>
    <row r="16009" spans="16:16" x14ac:dyDescent="0.35">
      <c r="P16009" s="8"/>
    </row>
    <row r="16010" spans="16:16" x14ac:dyDescent="0.35">
      <c r="P16010" s="8"/>
    </row>
    <row r="16011" spans="16:16" x14ac:dyDescent="0.35">
      <c r="P16011" s="8"/>
    </row>
    <row r="16012" spans="16:16" x14ac:dyDescent="0.35">
      <c r="P16012" s="8"/>
    </row>
    <row r="16013" spans="16:16" x14ac:dyDescent="0.35">
      <c r="P16013" s="8"/>
    </row>
    <row r="16014" spans="16:16" x14ac:dyDescent="0.35">
      <c r="P16014" s="8"/>
    </row>
    <row r="16015" spans="16:16" x14ac:dyDescent="0.35">
      <c r="P16015" s="8"/>
    </row>
    <row r="16016" spans="16:16" x14ac:dyDescent="0.35">
      <c r="P16016" s="8"/>
    </row>
    <row r="16017" spans="16:16" x14ac:dyDescent="0.35">
      <c r="P16017" s="8"/>
    </row>
    <row r="16018" spans="16:16" x14ac:dyDescent="0.35">
      <c r="P16018" s="8"/>
    </row>
    <row r="16019" spans="16:16" x14ac:dyDescent="0.35">
      <c r="P16019" s="8"/>
    </row>
    <row r="16020" spans="16:16" x14ac:dyDescent="0.35">
      <c r="P16020" s="8"/>
    </row>
    <row r="16021" spans="16:16" x14ac:dyDescent="0.35">
      <c r="P16021" s="8"/>
    </row>
    <row r="16022" spans="16:16" x14ac:dyDescent="0.35">
      <c r="P16022" s="8"/>
    </row>
    <row r="16023" spans="16:16" x14ac:dyDescent="0.35">
      <c r="P16023" s="8"/>
    </row>
    <row r="16024" spans="16:16" x14ac:dyDescent="0.35">
      <c r="P16024" s="8"/>
    </row>
    <row r="16025" spans="16:16" x14ac:dyDescent="0.35">
      <c r="P16025" s="8"/>
    </row>
    <row r="16026" spans="16:16" x14ac:dyDescent="0.35">
      <c r="P16026" s="8"/>
    </row>
    <row r="16027" spans="16:16" x14ac:dyDescent="0.35">
      <c r="P16027" s="8"/>
    </row>
    <row r="16028" spans="16:16" x14ac:dyDescent="0.35">
      <c r="P16028" s="8"/>
    </row>
    <row r="16029" spans="16:16" x14ac:dyDescent="0.35">
      <c r="P16029" s="8"/>
    </row>
    <row r="16030" spans="16:16" x14ac:dyDescent="0.35">
      <c r="P16030" s="8"/>
    </row>
    <row r="16031" spans="16:16" x14ac:dyDescent="0.35">
      <c r="P16031" s="8"/>
    </row>
    <row r="16032" spans="16:16" x14ac:dyDescent="0.35">
      <c r="P16032" s="8"/>
    </row>
    <row r="16033" spans="16:16" x14ac:dyDescent="0.35">
      <c r="P16033" s="8"/>
    </row>
    <row r="16034" spans="16:16" x14ac:dyDescent="0.35">
      <c r="P16034" s="8"/>
    </row>
    <row r="16035" spans="16:16" x14ac:dyDescent="0.35">
      <c r="P16035" s="8"/>
    </row>
    <row r="16036" spans="16:16" x14ac:dyDescent="0.35">
      <c r="P16036" s="8"/>
    </row>
    <row r="16037" spans="16:16" x14ac:dyDescent="0.35">
      <c r="P16037" s="8"/>
    </row>
    <row r="16038" spans="16:16" x14ac:dyDescent="0.35">
      <c r="P16038" s="8"/>
    </row>
    <row r="16039" spans="16:16" x14ac:dyDescent="0.35">
      <c r="P16039" s="8"/>
    </row>
    <row r="16040" spans="16:16" x14ac:dyDescent="0.35">
      <c r="P16040" s="8"/>
    </row>
    <row r="16041" spans="16:16" x14ac:dyDescent="0.35">
      <c r="P16041" s="8"/>
    </row>
    <row r="16042" spans="16:16" x14ac:dyDescent="0.35">
      <c r="P16042" s="8"/>
    </row>
    <row r="16043" spans="16:16" x14ac:dyDescent="0.35">
      <c r="P16043" s="8"/>
    </row>
    <row r="16044" spans="16:16" x14ac:dyDescent="0.35">
      <c r="P16044" s="8"/>
    </row>
    <row r="16045" spans="16:16" x14ac:dyDescent="0.35">
      <c r="P16045" s="8"/>
    </row>
    <row r="16046" spans="16:16" x14ac:dyDescent="0.35">
      <c r="P16046" s="8"/>
    </row>
    <row r="16047" spans="16:16" x14ac:dyDescent="0.35">
      <c r="P16047" s="8"/>
    </row>
    <row r="16048" spans="16:16" x14ac:dyDescent="0.35">
      <c r="P16048" s="8"/>
    </row>
    <row r="16049" spans="16:16" x14ac:dyDescent="0.35">
      <c r="P16049" s="8"/>
    </row>
    <row r="16050" spans="16:16" x14ac:dyDescent="0.35">
      <c r="P16050" s="8"/>
    </row>
    <row r="16051" spans="16:16" x14ac:dyDescent="0.35">
      <c r="P16051" s="8"/>
    </row>
    <row r="16052" spans="16:16" x14ac:dyDescent="0.35">
      <c r="P16052" s="8"/>
    </row>
    <row r="16053" spans="16:16" x14ac:dyDescent="0.35">
      <c r="P16053" s="8"/>
    </row>
    <row r="16054" spans="16:16" x14ac:dyDescent="0.35">
      <c r="P16054" s="8"/>
    </row>
    <row r="16055" spans="16:16" x14ac:dyDescent="0.35">
      <c r="P16055" s="8"/>
    </row>
    <row r="16056" spans="16:16" x14ac:dyDescent="0.35">
      <c r="P16056" s="8"/>
    </row>
    <row r="16057" spans="16:16" x14ac:dyDescent="0.35">
      <c r="P16057" s="8"/>
    </row>
    <row r="16058" spans="16:16" x14ac:dyDescent="0.35">
      <c r="P16058" s="8"/>
    </row>
    <row r="16059" spans="16:16" x14ac:dyDescent="0.35">
      <c r="P16059" s="8"/>
    </row>
    <row r="16060" spans="16:16" x14ac:dyDescent="0.35">
      <c r="P16060" s="8"/>
    </row>
    <row r="16061" spans="16:16" x14ac:dyDescent="0.35">
      <c r="P16061" s="8"/>
    </row>
    <row r="16062" spans="16:16" x14ac:dyDescent="0.35">
      <c r="P16062" s="8"/>
    </row>
    <row r="16063" spans="16:16" x14ac:dyDescent="0.35">
      <c r="P16063" s="8"/>
    </row>
    <row r="16064" spans="16:16" x14ac:dyDescent="0.35">
      <c r="P16064" s="8"/>
    </row>
    <row r="16065" spans="16:16" x14ac:dyDescent="0.35">
      <c r="P16065" s="8"/>
    </row>
    <row r="16066" spans="16:16" x14ac:dyDescent="0.35">
      <c r="P16066" s="8"/>
    </row>
    <row r="16067" spans="16:16" x14ac:dyDescent="0.35">
      <c r="P16067" s="8"/>
    </row>
    <row r="16068" spans="16:16" x14ac:dyDescent="0.35">
      <c r="P16068" s="8"/>
    </row>
    <row r="16069" spans="16:16" x14ac:dyDescent="0.35">
      <c r="P16069" s="8"/>
    </row>
    <row r="16070" spans="16:16" x14ac:dyDescent="0.35">
      <c r="P16070" s="8"/>
    </row>
    <row r="16071" spans="16:16" x14ac:dyDescent="0.35">
      <c r="P16071" s="8"/>
    </row>
    <row r="16072" spans="16:16" x14ac:dyDescent="0.35">
      <c r="P16072" s="8"/>
    </row>
    <row r="16073" spans="16:16" x14ac:dyDescent="0.35">
      <c r="P16073" s="8"/>
    </row>
    <row r="16074" spans="16:16" x14ac:dyDescent="0.35">
      <c r="P16074" s="8"/>
    </row>
    <row r="16075" spans="16:16" x14ac:dyDescent="0.35">
      <c r="P16075" s="8"/>
    </row>
    <row r="16076" spans="16:16" x14ac:dyDescent="0.35">
      <c r="P16076" s="8"/>
    </row>
    <row r="16077" spans="16:16" x14ac:dyDescent="0.35">
      <c r="P16077" s="8"/>
    </row>
    <row r="16078" spans="16:16" x14ac:dyDescent="0.35">
      <c r="P16078" s="8"/>
    </row>
    <row r="16079" spans="16:16" x14ac:dyDescent="0.35">
      <c r="P16079" s="8"/>
    </row>
    <row r="16080" spans="16:16" x14ac:dyDescent="0.35">
      <c r="P16080" s="8"/>
    </row>
    <row r="16081" spans="16:16" x14ac:dyDescent="0.35">
      <c r="P16081" s="8"/>
    </row>
    <row r="16082" spans="16:16" x14ac:dyDescent="0.35">
      <c r="P16082" s="8"/>
    </row>
    <row r="16083" spans="16:16" x14ac:dyDescent="0.35">
      <c r="P16083" s="8"/>
    </row>
    <row r="16084" spans="16:16" x14ac:dyDescent="0.35">
      <c r="P16084" s="8"/>
    </row>
    <row r="16085" spans="16:16" x14ac:dyDescent="0.35">
      <c r="P16085" s="8"/>
    </row>
    <row r="16086" spans="16:16" x14ac:dyDescent="0.35">
      <c r="P16086" s="8"/>
    </row>
    <row r="16087" spans="16:16" x14ac:dyDescent="0.35">
      <c r="P16087" s="8"/>
    </row>
    <row r="16088" spans="16:16" x14ac:dyDescent="0.35">
      <c r="P16088" s="8"/>
    </row>
    <row r="16089" spans="16:16" x14ac:dyDescent="0.35">
      <c r="P16089" s="8"/>
    </row>
    <row r="16090" spans="16:16" x14ac:dyDescent="0.35">
      <c r="P16090" s="8"/>
    </row>
    <row r="16091" spans="16:16" x14ac:dyDescent="0.35">
      <c r="P16091" s="8"/>
    </row>
    <row r="16092" spans="16:16" x14ac:dyDescent="0.35">
      <c r="P16092" s="8"/>
    </row>
    <row r="16093" spans="16:16" x14ac:dyDescent="0.35">
      <c r="P16093" s="8"/>
    </row>
    <row r="16094" spans="16:16" x14ac:dyDescent="0.35">
      <c r="P16094" s="8"/>
    </row>
    <row r="16095" spans="16:16" x14ac:dyDescent="0.35">
      <c r="P16095" s="8"/>
    </row>
    <row r="16096" spans="16:16" x14ac:dyDescent="0.35">
      <c r="P16096" s="8"/>
    </row>
    <row r="16097" spans="16:16" x14ac:dyDescent="0.35">
      <c r="P16097" s="8"/>
    </row>
    <row r="16098" spans="16:16" x14ac:dyDescent="0.35">
      <c r="P16098" s="8"/>
    </row>
    <row r="16099" spans="16:16" x14ac:dyDescent="0.35">
      <c r="P16099" s="8"/>
    </row>
    <row r="16100" spans="16:16" x14ac:dyDescent="0.35">
      <c r="P16100" s="8"/>
    </row>
    <row r="16101" spans="16:16" x14ac:dyDescent="0.35">
      <c r="P16101" s="8"/>
    </row>
    <row r="16102" spans="16:16" x14ac:dyDescent="0.35">
      <c r="P16102" s="8"/>
    </row>
    <row r="16103" spans="16:16" x14ac:dyDescent="0.35">
      <c r="P16103" s="8"/>
    </row>
    <row r="16104" spans="16:16" x14ac:dyDescent="0.35">
      <c r="P16104" s="8"/>
    </row>
    <row r="16105" spans="16:16" x14ac:dyDescent="0.35">
      <c r="P16105" s="8"/>
    </row>
    <row r="16106" spans="16:16" x14ac:dyDescent="0.35">
      <c r="P16106" s="8"/>
    </row>
    <row r="16107" spans="16:16" x14ac:dyDescent="0.35">
      <c r="P16107" s="8"/>
    </row>
    <row r="16108" spans="16:16" x14ac:dyDescent="0.35">
      <c r="P16108" s="8"/>
    </row>
    <row r="16109" spans="16:16" x14ac:dyDescent="0.35">
      <c r="P16109" s="8"/>
    </row>
    <row r="16110" spans="16:16" x14ac:dyDescent="0.35">
      <c r="P16110" s="8"/>
    </row>
    <row r="16111" spans="16:16" x14ac:dyDescent="0.35">
      <c r="P16111" s="8"/>
    </row>
    <row r="16112" spans="16:16" x14ac:dyDescent="0.35">
      <c r="P16112" s="8"/>
    </row>
    <row r="16113" spans="16:16" x14ac:dyDescent="0.35">
      <c r="P16113" s="8"/>
    </row>
    <row r="16114" spans="16:16" x14ac:dyDescent="0.35">
      <c r="P16114" s="8"/>
    </row>
    <row r="16115" spans="16:16" x14ac:dyDescent="0.35">
      <c r="P16115" s="8"/>
    </row>
    <row r="16116" spans="16:16" x14ac:dyDescent="0.35">
      <c r="P16116" s="8"/>
    </row>
    <row r="16117" spans="16:16" x14ac:dyDescent="0.35">
      <c r="P16117" s="8"/>
    </row>
    <row r="16118" spans="16:16" x14ac:dyDescent="0.35">
      <c r="P16118" s="8"/>
    </row>
    <row r="16119" spans="16:16" x14ac:dyDescent="0.35">
      <c r="P16119" s="8"/>
    </row>
    <row r="16120" spans="16:16" x14ac:dyDescent="0.35">
      <c r="P16120" s="8"/>
    </row>
    <row r="16121" spans="16:16" x14ac:dyDescent="0.35">
      <c r="P16121" s="8"/>
    </row>
    <row r="16122" spans="16:16" x14ac:dyDescent="0.35">
      <c r="P16122" s="8"/>
    </row>
    <row r="16123" spans="16:16" x14ac:dyDescent="0.35">
      <c r="P16123" s="8"/>
    </row>
    <row r="16124" spans="16:16" x14ac:dyDescent="0.35">
      <c r="P16124" s="8"/>
    </row>
    <row r="16125" spans="16:16" x14ac:dyDescent="0.35">
      <c r="P16125" s="8"/>
    </row>
    <row r="16126" spans="16:16" x14ac:dyDescent="0.35">
      <c r="P16126" s="8"/>
    </row>
    <row r="16127" spans="16:16" x14ac:dyDescent="0.35">
      <c r="P16127" s="8"/>
    </row>
    <row r="16128" spans="16:16" x14ac:dyDescent="0.35">
      <c r="P16128" s="8"/>
    </row>
    <row r="16129" spans="16:16" x14ac:dyDescent="0.35">
      <c r="P16129" s="8"/>
    </row>
    <row r="16130" spans="16:16" x14ac:dyDescent="0.35">
      <c r="P16130" s="8"/>
    </row>
    <row r="16131" spans="16:16" x14ac:dyDescent="0.35">
      <c r="P16131" s="8"/>
    </row>
    <row r="16132" spans="16:16" x14ac:dyDescent="0.35">
      <c r="P16132" s="8"/>
    </row>
    <row r="16133" spans="16:16" x14ac:dyDescent="0.35">
      <c r="P16133" s="8"/>
    </row>
    <row r="16134" spans="16:16" x14ac:dyDescent="0.35">
      <c r="P16134" s="8"/>
    </row>
    <row r="16135" spans="16:16" x14ac:dyDescent="0.35">
      <c r="P16135" s="8"/>
    </row>
    <row r="16136" spans="16:16" x14ac:dyDescent="0.35">
      <c r="P16136" s="8"/>
    </row>
    <row r="16137" spans="16:16" x14ac:dyDescent="0.35">
      <c r="P16137" s="8"/>
    </row>
    <row r="16138" spans="16:16" x14ac:dyDescent="0.35">
      <c r="P16138" s="8"/>
    </row>
    <row r="16139" spans="16:16" x14ac:dyDescent="0.35">
      <c r="P16139" s="8"/>
    </row>
    <row r="16140" spans="16:16" x14ac:dyDescent="0.35">
      <c r="P16140" s="8"/>
    </row>
    <row r="16141" spans="16:16" x14ac:dyDescent="0.35">
      <c r="P16141" s="8"/>
    </row>
    <row r="16142" spans="16:16" x14ac:dyDescent="0.35">
      <c r="P16142" s="8"/>
    </row>
    <row r="16143" spans="16:16" x14ac:dyDescent="0.35">
      <c r="P16143" s="8"/>
    </row>
    <row r="16144" spans="16:16" x14ac:dyDescent="0.35">
      <c r="P16144" s="8"/>
    </row>
    <row r="16145" spans="16:16" x14ac:dyDescent="0.35">
      <c r="P16145" s="8"/>
    </row>
    <row r="16146" spans="16:16" x14ac:dyDescent="0.35">
      <c r="P16146" s="8"/>
    </row>
    <row r="16147" spans="16:16" x14ac:dyDescent="0.35">
      <c r="P16147" s="8"/>
    </row>
    <row r="16148" spans="16:16" x14ac:dyDescent="0.35">
      <c r="P16148" s="8"/>
    </row>
    <row r="16149" spans="16:16" x14ac:dyDescent="0.35">
      <c r="P16149" s="8"/>
    </row>
    <row r="16150" spans="16:16" x14ac:dyDescent="0.35">
      <c r="P16150" s="8"/>
    </row>
    <row r="16151" spans="16:16" x14ac:dyDescent="0.35">
      <c r="P16151" s="8"/>
    </row>
    <row r="16152" spans="16:16" x14ac:dyDescent="0.35">
      <c r="P16152" s="8"/>
    </row>
    <row r="16153" spans="16:16" x14ac:dyDescent="0.35">
      <c r="P16153" s="8"/>
    </row>
    <row r="16154" spans="16:16" x14ac:dyDescent="0.35">
      <c r="P16154" s="8"/>
    </row>
    <row r="16155" spans="16:16" x14ac:dyDescent="0.35">
      <c r="P16155" s="8"/>
    </row>
    <row r="16156" spans="16:16" x14ac:dyDescent="0.35">
      <c r="P16156" s="8"/>
    </row>
    <row r="16157" spans="16:16" x14ac:dyDescent="0.35">
      <c r="P16157" s="8"/>
    </row>
    <row r="16158" spans="16:16" x14ac:dyDescent="0.35">
      <c r="P16158" s="8"/>
    </row>
    <row r="16159" spans="16:16" x14ac:dyDescent="0.35">
      <c r="P16159" s="8"/>
    </row>
    <row r="16160" spans="16:16" x14ac:dyDescent="0.35">
      <c r="P16160" s="8"/>
    </row>
    <row r="16161" spans="16:16" x14ac:dyDescent="0.35">
      <c r="P16161" s="8"/>
    </row>
    <row r="16162" spans="16:16" x14ac:dyDescent="0.35">
      <c r="P16162" s="8"/>
    </row>
    <row r="16163" spans="16:16" x14ac:dyDescent="0.35">
      <c r="P16163" s="8"/>
    </row>
    <row r="16164" spans="16:16" x14ac:dyDescent="0.35">
      <c r="P16164" s="8"/>
    </row>
    <row r="16165" spans="16:16" x14ac:dyDescent="0.35">
      <c r="P16165" s="8"/>
    </row>
    <row r="16166" spans="16:16" x14ac:dyDescent="0.35">
      <c r="P16166" s="8"/>
    </row>
    <row r="16167" spans="16:16" x14ac:dyDescent="0.35">
      <c r="P16167" s="8"/>
    </row>
    <row r="16168" spans="16:16" x14ac:dyDescent="0.35">
      <c r="P16168" s="8"/>
    </row>
    <row r="16169" spans="16:16" x14ac:dyDescent="0.35">
      <c r="P16169" s="8"/>
    </row>
    <row r="16170" spans="16:16" x14ac:dyDescent="0.35">
      <c r="P16170" s="8"/>
    </row>
    <row r="16171" spans="16:16" x14ac:dyDescent="0.35">
      <c r="P16171" s="8"/>
    </row>
    <row r="16172" spans="16:16" x14ac:dyDescent="0.35">
      <c r="P16172" s="8"/>
    </row>
    <row r="16173" spans="16:16" x14ac:dyDescent="0.35">
      <c r="P16173" s="8"/>
    </row>
    <row r="16174" spans="16:16" x14ac:dyDescent="0.35">
      <c r="P16174" s="8"/>
    </row>
    <row r="16175" spans="16:16" x14ac:dyDescent="0.35">
      <c r="P16175" s="8"/>
    </row>
    <row r="16176" spans="16:16" x14ac:dyDescent="0.35">
      <c r="P16176" s="8"/>
    </row>
    <row r="16177" spans="16:16" x14ac:dyDescent="0.35">
      <c r="P16177" s="8"/>
    </row>
    <row r="16178" spans="16:16" x14ac:dyDescent="0.35">
      <c r="P16178" s="8"/>
    </row>
    <row r="16179" spans="16:16" x14ac:dyDescent="0.35">
      <c r="P16179" s="8"/>
    </row>
    <row r="16180" spans="16:16" x14ac:dyDescent="0.35">
      <c r="P16180" s="8"/>
    </row>
    <row r="16181" spans="16:16" x14ac:dyDescent="0.35">
      <c r="P16181" s="8"/>
    </row>
    <row r="16182" spans="16:16" x14ac:dyDescent="0.35">
      <c r="P16182" s="8"/>
    </row>
    <row r="16183" spans="16:16" x14ac:dyDescent="0.35">
      <c r="P16183" s="8"/>
    </row>
    <row r="16184" spans="16:16" x14ac:dyDescent="0.35">
      <c r="P16184" s="8"/>
    </row>
    <row r="16185" spans="16:16" x14ac:dyDescent="0.35">
      <c r="P16185" s="8"/>
    </row>
    <row r="16186" spans="16:16" x14ac:dyDescent="0.35">
      <c r="P16186" s="8"/>
    </row>
    <row r="16187" spans="16:16" x14ac:dyDescent="0.35">
      <c r="P16187" s="8"/>
    </row>
    <row r="16188" spans="16:16" x14ac:dyDescent="0.35">
      <c r="P16188" s="8"/>
    </row>
    <row r="16189" spans="16:16" x14ac:dyDescent="0.35">
      <c r="P16189" s="8"/>
    </row>
    <row r="16190" spans="16:16" x14ac:dyDescent="0.35">
      <c r="P16190" s="8"/>
    </row>
    <row r="16191" spans="16:16" x14ac:dyDescent="0.35">
      <c r="P16191" s="8"/>
    </row>
    <row r="16192" spans="16:16" x14ac:dyDescent="0.35">
      <c r="P16192" s="8"/>
    </row>
    <row r="16193" spans="16:16" x14ac:dyDescent="0.35">
      <c r="P16193" s="8"/>
    </row>
    <row r="16194" spans="16:16" x14ac:dyDescent="0.35">
      <c r="P16194" s="8"/>
    </row>
    <row r="16195" spans="16:16" x14ac:dyDescent="0.35">
      <c r="P16195" s="8"/>
    </row>
    <row r="16196" spans="16:16" x14ac:dyDescent="0.35">
      <c r="P16196" s="8"/>
    </row>
    <row r="16197" spans="16:16" x14ac:dyDescent="0.35">
      <c r="P16197" s="8"/>
    </row>
    <row r="16198" spans="16:16" x14ac:dyDescent="0.35">
      <c r="P16198" s="8"/>
    </row>
    <row r="16199" spans="16:16" x14ac:dyDescent="0.35">
      <c r="P16199" s="8"/>
    </row>
    <row r="16200" spans="16:16" x14ac:dyDescent="0.35">
      <c r="P16200" s="8"/>
    </row>
    <row r="16201" spans="16:16" x14ac:dyDescent="0.35">
      <c r="P16201" s="8"/>
    </row>
    <row r="16202" spans="16:16" x14ac:dyDescent="0.35">
      <c r="P16202" s="8"/>
    </row>
    <row r="16203" spans="16:16" x14ac:dyDescent="0.35">
      <c r="P16203" s="8"/>
    </row>
    <row r="16204" spans="16:16" x14ac:dyDescent="0.35">
      <c r="P16204" s="8"/>
    </row>
    <row r="16205" spans="16:16" x14ac:dyDescent="0.35">
      <c r="P16205" s="8"/>
    </row>
    <row r="16206" spans="16:16" x14ac:dyDescent="0.35">
      <c r="P16206" s="8"/>
    </row>
    <row r="16207" spans="16:16" x14ac:dyDescent="0.35">
      <c r="P16207" s="8"/>
    </row>
    <row r="16208" spans="16:16" x14ac:dyDescent="0.35">
      <c r="P16208" s="8"/>
    </row>
    <row r="16209" spans="16:16" x14ac:dyDescent="0.35">
      <c r="P16209" s="8"/>
    </row>
    <row r="16210" spans="16:16" x14ac:dyDescent="0.35">
      <c r="P16210" s="8"/>
    </row>
    <row r="16211" spans="16:16" x14ac:dyDescent="0.35">
      <c r="P16211" s="8"/>
    </row>
    <row r="16212" spans="16:16" x14ac:dyDescent="0.35">
      <c r="P16212" s="8"/>
    </row>
    <row r="16213" spans="16:16" x14ac:dyDescent="0.35">
      <c r="P16213" s="8"/>
    </row>
    <row r="16214" spans="16:16" x14ac:dyDescent="0.35">
      <c r="P16214" s="8"/>
    </row>
    <row r="16215" spans="16:16" x14ac:dyDescent="0.35">
      <c r="P16215" s="8"/>
    </row>
    <row r="16216" spans="16:16" x14ac:dyDescent="0.35">
      <c r="P16216" s="8"/>
    </row>
    <row r="16217" spans="16:16" x14ac:dyDescent="0.35">
      <c r="P16217" s="8"/>
    </row>
    <row r="16218" spans="16:16" x14ac:dyDescent="0.35">
      <c r="P16218" s="8"/>
    </row>
    <row r="16219" spans="16:16" x14ac:dyDescent="0.35">
      <c r="P16219" s="8"/>
    </row>
    <row r="16220" spans="16:16" x14ac:dyDescent="0.35">
      <c r="P16220" s="8"/>
    </row>
    <row r="16221" spans="16:16" x14ac:dyDescent="0.35">
      <c r="P16221" s="8"/>
    </row>
    <row r="16222" spans="16:16" x14ac:dyDescent="0.35">
      <c r="P16222" s="8"/>
    </row>
    <row r="16223" spans="16:16" x14ac:dyDescent="0.35">
      <c r="P16223" s="8"/>
    </row>
    <row r="16224" spans="16:16" x14ac:dyDescent="0.35">
      <c r="P16224" s="8"/>
    </row>
    <row r="16225" spans="16:16" x14ac:dyDescent="0.35">
      <c r="P16225" s="8"/>
    </row>
    <row r="16226" spans="16:16" x14ac:dyDescent="0.35">
      <c r="P16226" s="8"/>
    </row>
    <row r="16227" spans="16:16" x14ac:dyDescent="0.35">
      <c r="P16227" s="8"/>
    </row>
    <row r="16228" spans="16:16" x14ac:dyDescent="0.35">
      <c r="P16228" s="8"/>
    </row>
    <row r="16229" spans="16:16" x14ac:dyDescent="0.35">
      <c r="P16229" s="8"/>
    </row>
    <row r="16230" spans="16:16" x14ac:dyDescent="0.35">
      <c r="P16230" s="8"/>
    </row>
    <row r="16231" spans="16:16" x14ac:dyDescent="0.35">
      <c r="P16231" s="8"/>
    </row>
    <row r="16232" spans="16:16" x14ac:dyDescent="0.35">
      <c r="P16232" s="8"/>
    </row>
    <row r="16233" spans="16:16" x14ac:dyDescent="0.35">
      <c r="P16233" s="8"/>
    </row>
    <row r="16234" spans="16:16" x14ac:dyDescent="0.35">
      <c r="P16234" s="8"/>
    </row>
    <row r="16235" spans="16:16" x14ac:dyDescent="0.35">
      <c r="P16235" s="8"/>
    </row>
    <row r="16236" spans="16:16" x14ac:dyDescent="0.35">
      <c r="P16236" s="8"/>
    </row>
    <row r="16237" spans="16:16" x14ac:dyDescent="0.35">
      <c r="P16237" s="8"/>
    </row>
    <row r="16238" spans="16:16" x14ac:dyDescent="0.35">
      <c r="P16238" s="8"/>
    </row>
    <row r="16239" spans="16:16" x14ac:dyDescent="0.35">
      <c r="P16239" s="8"/>
    </row>
    <row r="16240" spans="16:16" x14ac:dyDescent="0.35">
      <c r="P16240" s="8"/>
    </row>
    <row r="16241" spans="16:16" x14ac:dyDescent="0.35">
      <c r="P16241" s="8"/>
    </row>
    <row r="16242" spans="16:16" x14ac:dyDescent="0.35">
      <c r="P16242" s="8"/>
    </row>
    <row r="16243" spans="16:16" x14ac:dyDescent="0.35">
      <c r="P16243" s="8"/>
    </row>
    <row r="16244" spans="16:16" x14ac:dyDescent="0.35">
      <c r="P16244" s="8"/>
    </row>
    <row r="16245" spans="16:16" x14ac:dyDescent="0.35">
      <c r="P16245" s="8"/>
    </row>
    <row r="16246" spans="16:16" x14ac:dyDescent="0.35">
      <c r="P16246" s="8"/>
    </row>
    <row r="16247" spans="16:16" x14ac:dyDescent="0.35">
      <c r="P16247" s="8"/>
    </row>
    <row r="16248" spans="16:16" x14ac:dyDescent="0.35">
      <c r="P16248" s="8"/>
    </row>
    <row r="16249" spans="16:16" x14ac:dyDescent="0.35">
      <c r="P16249" s="8"/>
    </row>
    <row r="16250" spans="16:16" x14ac:dyDescent="0.35">
      <c r="P16250" s="8"/>
    </row>
    <row r="16251" spans="16:16" x14ac:dyDescent="0.35">
      <c r="P16251" s="8"/>
    </row>
    <row r="16252" spans="16:16" x14ac:dyDescent="0.35">
      <c r="P16252" s="8"/>
    </row>
    <row r="16253" spans="16:16" x14ac:dyDescent="0.35">
      <c r="P16253" s="8"/>
    </row>
    <row r="16254" spans="16:16" x14ac:dyDescent="0.35">
      <c r="P16254" s="8"/>
    </row>
    <row r="16255" spans="16:16" x14ac:dyDescent="0.35">
      <c r="P16255" s="8"/>
    </row>
    <row r="16256" spans="16:16" x14ac:dyDescent="0.35">
      <c r="P16256" s="8"/>
    </row>
    <row r="16257" spans="16:16" x14ac:dyDescent="0.35">
      <c r="P16257" s="8"/>
    </row>
    <row r="16258" spans="16:16" x14ac:dyDescent="0.35">
      <c r="P16258" s="8"/>
    </row>
    <row r="16259" spans="16:16" x14ac:dyDescent="0.35">
      <c r="P16259" s="8"/>
    </row>
    <row r="16260" spans="16:16" x14ac:dyDescent="0.35">
      <c r="P16260" s="8"/>
    </row>
    <row r="16261" spans="16:16" x14ac:dyDescent="0.35">
      <c r="P16261" s="8"/>
    </row>
    <row r="16262" spans="16:16" x14ac:dyDescent="0.35">
      <c r="P16262" s="8"/>
    </row>
    <row r="16263" spans="16:16" x14ac:dyDescent="0.35">
      <c r="P16263" s="8"/>
    </row>
    <row r="16264" spans="16:16" x14ac:dyDescent="0.35">
      <c r="P16264" s="8"/>
    </row>
    <row r="16265" spans="16:16" x14ac:dyDescent="0.35">
      <c r="P16265" s="8"/>
    </row>
    <row r="16266" spans="16:16" x14ac:dyDescent="0.35">
      <c r="P16266" s="8"/>
    </row>
    <row r="16267" spans="16:16" x14ac:dyDescent="0.35">
      <c r="P16267" s="8"/>
    </row>
    <row r="16268" spans="16:16" x14ac:dyDescent="0.35">
      <c r="P16268" s="8"/>
    </row>
    <row r="16269" spans="16:16" x14ac:dyDescent="0.35">
      <c r="P16269" s="8"/>
    </row>
    <row r="16270" spans="16:16" x14ac:dyDescent="0.35">
      <c r="P16270" s="8"/>
    </row>
    <row r="16271" spans="16:16" x14ac:dyDescent="0.35">
      <c r="P16271" s="8"/>
    </row>
    <row r="16272" spans="16:16" x14ac:dyDescent="0.35">
      <c r="P16272" s="8"/>
    </row>
    <row r="16273" spans="16:16" x14ac:dyDescent="0.35">
      <c r="P16273" s="8"/>
    </row>
    <row r="16274" spans="16:16" x14ac:dyDescent="0.35">
      <c r="P16274" s="8"/>
    </row>
    <row r="16275" spans="16:16" x14ac:dyDescent="0.35">
      <c r="P16275" s="8"/>
    </row>
    <row r="16276" spans="16:16" x14ac:dyDescent="0.35">
      <c r="P16276" s="8"/>
    </row>
    <row r="16277" spans="16:16" x14ac:dyDescent="0.35">
      <c r="P16277" s="8"/>
    </row>
    <row r="16278" spans="16:16" x14ac:dyDescent="0.35">
      <c r="P16278" s="8"/>
    </row>
    <row r="16279" spans="16:16" x14ac:dyDescent="0.35">
      <c r="P16279" s="8"/>
    </row>
    <row r="16280" spans="16:16" x14ac:dyDescent="0.35">
      <c r="P16280" s="8"/>
    </row>
    <row r="16281" spans="16:16" x14ac:dyDescent="0.35">
      <c r="P16281" s="8"/>
    </row>
    <row r="16282" spans="16:16" x14ac:dyDescent="0.35">
      <c r="P16282" s="8"/>
    </row>
    <row r="16283" spans="16:16" x14ac:dyDescent="0.35">
      <c r="P16283" s="8"/>
    </row>
    <row r="16284" spans="16:16" x14ac:dyDescent="0.35">
      <c r="P16284" s="8"/>
    </row>
    <row r="16285" spans="16:16" x14ac:dyDescent="0.35">
      <c r="P16285" s="8"/>
    </row>
    <row r="16286" spans="16:16" x14ac:dyDescent="0.35">
      <c r="P16286" s="8"/>
    </row>
    <row r="16287" spans="16:16" x14ac:dyDescent="0.35">
      <c r="P16287" s="8"/>
    </row>
    <row r="16288" spans="16:16" x14ac:dyDescent="0.35">
      <c r="P16288" s="8"/>
    </row>
    <row r="16289" spans="16:16" x14ac:dyDescent="0.35">
      <c r="P16289" s="8"/>
    </row>
    <row r="16290" spans="16:16" x14ac:dyDescent="0.35">
      <c r="P16290" s="8"/>
    </row>
    <row r="16291" spans="16:16" x14ac:dyDescent="0.35">
      <c r="P16291" s="8"/>
    </row>
    <row r="16292" spans="16:16" x14ac:dyDescent="0.35">
      <c r="P16292" s="8"/>
    </row>
    <row r="16293" spans="16:16" x14ac:dyDescent="0.35">
      <c r="P16293" s="8"/>
    </row>
    <row r="16294" spans="16:16" x14ac:dyDescent="0.35">
      <c r="P16294" s="8"/>
    </row>
    <row r="16295" spans="16:16" x14ac:dyDescent="0.35">
      <c r="P16295" s="8"/>
    </row>
    <row r="16296" spans="16:16" x14ac:dyDescent="0.35">
      <c r="P16296" s="8"/>
    </row>
    <row r="16297" spans="16:16" x14ac:dyDescent="0.35">
      <c r="P16297" s="8"/>
    </row>
    <row r="16298" spans="16:16" x14ac:dyDescent="0.35">
      <c r="P16298" s="8"/>
    </row>
    <row r="16299" spans="16:16" x14ac:dyDescent="0.35">
      <c r="P16299" s="8"/>
    </row>
    <row r="16300" spans="16:16" x14ac:dyDescent="0.35">
      <c r="P16300" s="8"/>
    </row>
    <row r="16301" spans="16:16" x14ac:dyDescent="0.35">
      <c r="P16301" s="8"/>
    </row>
    <row r="16302" spans="16:16" x14ac:dyDescent="0.35">
      <c r="P16302" s="8"/>
    </row>
    <row r="16303" spans="16:16" x14ac:dyDescent="0.35">
      <c r="P16303" s="8"/>
    </row>
    <row r="16304" spans="16:16" x14ac:dyDescent="0.35">
      <c r="P16304" s="8"/>
    </row>
    <row r="16305" spans="16:16" x14ac:dyDescent="0.35">
      <c r="P16305" s="8"/>
    </row>
    <row r="16306" spans="16:16" x14ac:dyDescent="0.35">
      <c r="P16306" s="8"/>
    </row>
    <row r="16307" spans="16:16" x14ac:dyDescent="0.35">
      <c r="P16307" s="8"/>
    </row>
    <row r="16308" spans="16:16" x14ac:dyDescent="0.35">
      <c r="P16308" s="8"/>
    </row>
    <row r="16309" spans="16:16" x14ac:dyDescent="0.35">
      <c r="P16309" s="8"/>
    </row>
    <row r="16310" spans="16:16" x14ac:dyDescent="0.35">
      <c r="P16310" s="8"/>
    </row>
    <row r="16311" spans="16:16" x14ac:dyDescent="0.35">
      <c r="P16311" s="8"/>
    </row>
    <row r="16312" spans="16:16" x14ac:dyDescent="0.35">
      <c r="P16312" s="8"/>
    </row>
    <row r="16313" spans="16:16" x14ac:dyDescent="0.35">
      <c r="P16313" s="8"/>
    </row>
    <row r="16314" spans="16:16" x14ac:dyDescent="0.35">
      <c r="P16314" s="8"/>
    </row>
    <row r="16315" spans="16:16" x14ac:dyDescent="0.35">
      <c r="P16315" s="8"/>
    </row>
    <row r="16316" spans="16:16" x14ac:dyDescent="0.35">
      <c r="P16316" s="8"/>
    </row>
    <row r="16317" spans="16:16" x14ac:dyDescent="0.35">
      <c r="P16317" s="8"/>
    </row>
    <row r="16318" spans="16:16" x14ac:dyDescent="0.35">
      <c r="P16318" s="8"/>
    </row>
    <row r="16319" spans="16:16" x14ac:dyDescent="0.35">
      <c r="P16319" s="8"/>
    </row>
    <row r="16320" spans="16:16" x14ac:dyDescent="0.35">
      <c r="P16320" s="8"/>
    </row>
    <row r="16321" spans="16:16" x14ac:dyDescent="0.35">
      <c r="P16321" s="8"/>
    </row>
    <row r="16322" spans="16:16" x14ac:dyDescent="0.35">
      <c r="P16322" s="8"/>
    </row>
    <row r="16323" spans="16:16" x14ac:dyDescent="0.35">
      <c r="P16323" s="8"/>
    </row>
    <row r="16324" spans="16:16" x14ac:dyDescent="0.35">
      <c r="P16324" s="8"/>
    </row>
    <row r="16325" spans="16:16" x14ac:dyDescent="0.35">
      <c r="P16325" s="8"/>
    </row>
    <row r="16326" spans="16:16" x14ac:dyDescent="0.35">
      <c r="P16326" s="8"/>
    </row>
    <row r="16327" spans="16:16" x14ac:dyDescent="0.35">
      <c r="P16327" s="8"/>
    </row>
    <row r="16328" spans="16:16" x14ac:dyDescent="0.35">
      <c r="P16328" s="8"/>
    </row>
    <row r="16329" spans="16:16" x14ac:dyDescent="0.35">
      <c r="P16329" s="8"/>
    </row>
    <row r="16330" spans="16:16" x14ac:dyDescent="0.35">
      <c r="P16330" s="8"/>
    </row>
    <row r="16331" spans="16:16" x14ac:dyDescent="0.35">
      <c r="P16331" s="8"/>
    </row>
    <row r="16332" spans="16:16" x14ac:dyDescent="0.35">
      <c r="P16332" s="8"/>
    </row>
    <row r="16333" spans="16:16" x14ac:dyDescent="0.35">
      <c r="P16333" s="8"/>
    </row>
    <row r="16334" spans="16:16" x14ac:dyDescent="0.35">
      <c r="P16334" s="8"/>
    </row>
    <row r="16335" spans="16:16" x14ac:dyDescent="0.35">
      <c r="P16335" s="8"/>
    </row>
    <row r="16336" spans="16:16" x14ac:dyDescent="0.35">
      <c r="P16336" s="8"/>
    </row>
    <row r="16337" spans="16:16" x14ac:dyDescent="0.35">
      <c r="P16337" s="8"/>
    </row>
    <row r="16338" spans="16:16" x14ac:dyDescent="0.35">
      <c r="P16338" s="8"/>
    </row>
    <row r="16339" spans="16:16" x14ac:dyDescent="0.35">
      <c r="P16339" s="8"/>
    </row>
    <row r="16340" spans="16:16" x14ac:dyDescent="0.35">
      <c r="P16340" s="8"/>
    </row>
    <row r="16341" spans="16:16" x14ac:dyDescent="0.35">
      <c r="P16341" s="8"/>
    </row>
    <row r="16342" spans="16:16" x14ac:dyDescent="0.35">
      <c r="P16342" s="8"/>
    </row>
    <row r="16343" spans="16:16" x14ac:dyDescent="0.35">
      <c r="P16343" s="8"/>
    </row>
    <row r="16344" spans="16:16" x14ac:dyDescent="0.35">
      <c r="P16344" s="8"/>
    </row>
    <row r="16345" spans="16:16" x14ac:dyDescent="0.35">
      <c r="P16345" s="8"/>
    </row>
    <row r="16346" spans="16:16" x14ac:dyDescent="0.35">
      <c r="P16346" s="8"/>
    </row>
    <row r="16347" spans="16:16" x14ac:dyDescent="0.35">
      <c r="P16347" s="8"/>
    </row>
    <row r="16348" spans="16:16" x14ac:dyDescent="0.35">
      <c r="P16348" s="8"/>
    </row>
    <row r="16349" spans="16:16" x14ac:dyDescent="0.35">
      <c r="P16349" s="8"/>
    </row>
    <row r="16350" spans="16:16" x14ac:dyDescent="0.35">
      <c r="P16350" s="8"/>
    </row>
    <row r="16351" spans="16:16" x14ac:dyDescent="0.35">
      <c r="P16351" s="8"/>
    </row>
    <row r="16352" spans="16:16" x14ac:dyDescent="0.35">
      <c r="P16352" s="8"/>
    </row>
    <row r="16353" spans="16:16" x14ac:dyDescent="0.35">
      <c r="P16353" s="8"/>
    </row>
    <row r="16354" spans="16:16" x14ac:dyDescent="0.35">
      <c r="P16354" s="8"/>
    </row>
    <row r="16355" spans="16:16" x14ac:dyDescent="0.35">
      <c r="P16355" s="8"/>
    </row>
    <row r="16356" spans="16:16" x14ac:dyDescent="0.35">
      <c r="P16356" s="8"/>
    </row>
    <row r="16357" spans="16:16" x14ac:dyDescent="0.35">
      <c r="P16357" s="8"/>
    </row>
    <row r="16358" spans="16:16" x14ac:dyDescent="0.35">
      <c r="P16358" s="8"/>
    </row>
    <row r="16359" spans="16:16" x14ac:dyDescent="0.35">
      <c r="P16359" s="8"/>
    </row>
    <row r="16360" spans="16:16" x14ac:dyDescent="0.35">
      <c r="P16360" s="8"/>
    </row>
    <row r="16361" spans="16:16" x14ac:dyDescent="0.35">
      <c r="P16361" s="8"/>
    </row>
    <row r="16362" spans="16:16" x14ac:dyDescent="0.35">
      <c r="P16362" s="8"/>
    </row>
    <row r="16363" spans="16:16" x14ac:dyDescent="0.35">
      <c r="P16363" s="8"/>
    </row>
    <row r="16364" spans="16:16" x14ac:dyDescent="0.35">
      <c r="P16364" s="8"/>
    </row>
    <row r="16365" spans="16:16" x14ac:dyDescent="0.35">
      <c r="P16365" s="8"/>
    </row>
    <row r="16366" spans="16:16" x14ac:dyDescent="0.35">
      <c r="P16366" s="8"/>
    </row>
    <row r="16367" spans="16:16" x14ac:dyDescent="0.35">
      <c r="P16367" s="8"/>
    </row>
    <row r="16368" spans="16:16" x14ac:dyDescent="0.35">
      <c r="P16368" s="8"/>
    </row>
    <row r="16369" spans="16:16" x14ac:dyDescent="0.35">
      <c r="P16369" s="8"/>
    </row>
    <row r="16370" spans="16:16" x14ac:dyDescent="0.35">
      <c r="P16370" s="8"/>
    </row>
    <row r="16371" spans="16:16" x14ac:dyDescent="0.35">
      <c r="P16371" s="8"/>
    </row>
    <row r="16372" spans="16:16" x14ac:dyDescent="0.35">
      <c r="P16372" s="8"/>
    </row>
    <row r="16373" spans="16:16" x14ac:dyDescent="0.35">
      <c r="P16373" s="8"/>
    </row>
    <row r="16374" spans="16:16" x14ac:dyDescent="0.35">
      <c r="P16374" s="8"/>
    </row>
    <row r="16375" spans="16:16" x14ac:dyDescent="0.35">
      <c r="P16375" s="8"/>
    </row>
    <row r="16376" spans="16:16" x14ac:dyDescent="0.35">
      <c r="P16376" s="8"/>
    </row>
    <row r="16377" spans="16:16" x14ac:dyDescent="0.35">
      <c r="P16377" s="8"/>
    </row>
    <row r="16378" spans="16:16" x14ac:dyDescent="0.35">
      <c r="P16378" s="8"/>
    </row>
    <row r="16379" spans="16:16" x14ac:dyDescent="0.35">
      <c r="P16379" s="8"/>
    </row>
    <row r="16380" spans="16:16" x14ac:dyDescent="0.35">
      <c r="P16380" s="8"/>
    </row>
    <row r="16381" spans="16:16" x14ac:dyDescent="0.35">
      <c r="P16381" s="8"/>
    </row>
    <row r="16382" spans="16:16" x14ac:dyDescent="0.35">
      <c r="P16382" s="8"/>
    </row>
    <row r="16383" spans="16:16" x14ac:dyDescent="0.35">
      <c r="P16383" s="8"/>
    </row>
    <row r="16384" spans="16:16" x14ac:dyDescent="0.35">
      <c r="P16384" s="8"/>
    </row>
    <row r="16385" spans="16:16" x14ac:dyDescent="0.35">
      <c r="P16385" s="8"/>
    </row>
    <row r="16386" spans="16:16" x14ac:dyDescent="0.35">
      <c r="P16386" s="8"/>
    </row>
    <row r="16387" spans="16:16" x14ac:dyDescent="0.35">
      <c r="P16387" s="8"/>
    </row>
    <row r="16388" spans="16:16" x14ac:dyDescent="0.35">
      <c r="P16388" s="8"/>
    </row>
    <row r="16389" spans="16:16" x14ac:dyDescent="0.35">
      <c r="P16389" s="8"/>
    </row>
    <row r="16390" spans="16:16" x14ac:dyDescent="0.35">
      <c r="P16390" s="8"/>
    </row>
    <row r="16391" spans="16:16" x14ac:dyDescent="0.35">
      <c r="P16391" s="8"/>
    </row>
    <row r="16392" spans="16:16" x14ac:dyDescent="0.35">
      <c r="P16392" s="8"/>
    </row>
    <row r="16393" spans="16:16" x14ac:dyDescent="0.35">
      <c r="P16393" s="8"/>
    </row>
    <row r="16394" spans="16:16" x14ac:dyDescent="0.35">
      <c r="P16394" s="8"/>
    </row>
    <row r="16395" spans="16:16" x14ac:dyDescent="0.35">
      <c r="P16395" s="8"/>
    </row>
    <row r="16396" spans="16:16" x14ac:dyDescent="0.35">
      <c r="P16396" s="8"/>
    </row>
    <row r="16397" spans="16:16" x14ac:dyDescent="0.35">
      <c r="P16397" s="8"/>
    </row>
    <row r="16398" spans="16:16" x14ac:dyDescent="0.35">
      <c r="P16398" s="8"/>
    </row>
    <row r="16399" spans="16:16" x14ac:dyDescent="0.35">
      <c r="P16399" s="8"/>
    </row>
    <row r="16400" spans="16:16" x14ac:dyDescent="0.35">
      <c r="P16400" s="8"/>
    </row>
    <row r="16401" spans="16:16" x14ac:dyDescent="0.35">
      <c r="P16401" s="8"/>
    </row>
    <row r="16402" spans="16:16" x14ac:dyDescent="0.35">
      <c r="P16402" s="8"/>
    </row>
    <row r="16403" spans="16:16" x14ac:dyDescent="0.35">
      <c r="P16403" s="8"/>
    </row>
    <row r="16404" spans="16:16" x14ac:dyDescent="0.35">
      <c r="P16404" s="8"/>
    </row>
    <row r="16405" spans="16:16" x14ac:dyDescent="0.35">
      <c r="P16405" s="8"/>
    </row>
    <row r="16406" spans="16:16" x14ac:dyDescent="0.35">
      <c r="P16406" s="8"/>
    </row>
    <row r="16407" spans="16:16" x14ac:dyDescent="0.35">
      <c r="P16407" s="8"/>
    </row>
    <row r="16408" spans="16:16" x14ac:dyDescent="0.35">
      <c r="P16408" s="8"/>
    </row>
    <row r="16409" spans="16:16" x14ac:dyDescent="0.35">
      <c r="P16409" s="8"/>
    </row>
    <row r="16410" spans="16:16" x14ac:dyDescent="0.35">
      <c r="P16410" s="8"/>
    </row>
    <row r="16411" spans="16:16" x14ac:dyDescent="0.35">
      <c r="P16411" s="8"/>
    </row>
    <row r="16412" spans="16:16" x14ac:dyDescent="0.35">
      <c r="P16412" s="8"/>
    </row>
    <row r="16413" spans="16:16" x14ac:dyDescent="0.35">
      <c r="P16413" s="8"/>
    </row>
    <row r="16414" spans="16:16" x14ac:dyDescent="0.35">
      <c r="P16414" s="8"/>
    </row>
    <row r="16415" spans="16:16" x14ac:dyDescent="0.35">
      <c r="P16415" s="8"/>
    </row>
    <row r="16416" spans="16:16" x14ac:dyDescent="0.35">
      <c r="P16416" s="8"/>
    </row>
    <row r="16417" spans="16:16" x14ac:dyDescent="0.35">
      <c r="P16417" s="8"/>
    </row>
    <row r="16418" spans="16:16" x14ac:dyDescent="0.35">
      <c r="P16418" s="8"/>
    </row>
    <row r="16419" spans="16:16" x14ac:dyDescent="0.35">
      <c r="P16419" s="8"/>
    </row>
    <row r="16420" spans="16:16" x14ac:dyDescent="0.35">
      <c r="P16420" s="8"/>
    </row>
    <row r="16421" spans="16:16" x14ac:dyDescent="0.35">
      <c r="P16421" s="8"/>
    </row>
    <row r="16422" spans="16:16" x14ac:dyDescent="0.35">
      <c r="P16422" s="8"/>
    </row>
    <row r="16423" spans="16:16" x14ac:dyDescent="0.35">
      <c r="P16423" s="8"/>
    </row>
    <row r="16424" spans="16:16" x14ac:dyDescent="0.35">
      <c r="P16424" s="8"/>
    </row>
    <row r="16425" spans="16:16" x14ac:dyDescent="0.35">
      <c r="P16425" s="8"/>
    </row>
    <row r="16426" spans="16:16" x14ac:dyDescent="0.35">
      <c r="P16426" s="8"/>
    </row>
    <row r="16427" spans="16:16" x14ac:dyDescent="0.35">
      <c r="P16427" s="8"/>
    </row>
    <row r="16428" spans="16:16" x14ac:dyDescent="0.35">
      <c r="P16428" s="8"/>
    </row>
    <row r="16429" spans="16:16" x14ac:dyDescent="0.35">
      <c r="P16429" s="8"/>
    </row>
    <row r="16430" spans="16:16" x14ac:dyDescent="0.35">
      <c r="P16430" s="8"/>
    </row>
    <row r="16431" spans="16:16" x14ac:dyDescent="0.35">
      <c r="P16431" s="8"/>
    </row>
    <row r="16432" spans="16:16" x14ac:dyDescent="0.35">
      <c r="P16432" s="8"/>
    </row>
    <row r="16433" spans="16:16" x14ac:dyDescent="0.35">
      <c r="P16433" s="8"/>
    </row>
    <row r="16434" spans="16:16" x14ac:dyDescent="0.35">
      <c r="P16434" s="8"/>
    </row>
    <row r="16435" spans="16:16" x14ac:dyDescent="0.35">
      <c r="P16435" s="8"/>
    </row>
    <row r="16436" spans="16:16" x14ac:dyDescent="0.35">
      <c r="P16436" s="8"/>
    </row>
    <row r="16437" spans="16:16" x14ac:dyDescent="0.35">
      <c r="P16437" s="8"/>
    </row>
    <row r="16438" spans="16:16" x14ac:dyDescent="0.35">
      <c r="P16438" s="8"/>
    </row>
    <row r="16439" spans="16:16" x14ac:dyDescent="0.35">
      <c r="P16439" s="8"/>
    </row>
    <row r="16440" spans="16:16" x14ac:dyDescent="0.35">
      <c r="P16440" s="8"/>
    </row>
    <row r="16441" spans="16:16" x14ac:dyDescent="0.35">
      <c r="P16441" s="8"/>
    </row>
    <row r="16442" spans="16:16" x14ac:dyDescent="0.35">
      <c r="P16442" s="8"/>
    </row>
    <row r="16443" spans="16:16" x14ac:dyDescent="0.35">
      <c r="P16443" s="8"/>
    </row>
    <row r="16444" spans="16:16" x14ac:dyDescent="0.35">
      <c r="P16444" s="8"/>
    </row>
    <row r="16445" spans="16:16" x14ac:dyDescent="0.35">
      <c r="P16445" s="8"/>
    </row>
    <row r="16446" spans="16:16" x14ac:dyDescent="0.35">
      <c r="P16446" s="8"/>
    </row>
    <row r="16447" spans="16:16" x14ac:dyDescent="0.35">
      <c r="P16447" s="8"/>
    </row>
    <row r="16448" spans="16:16" x14ac:dyDescent="0.35">
      <c r="P16448" s="8"/>
    </row>
    <row r="16449" spans="16:16" x14ac:dyDescent="0.35">
      <c r="P16449" s="8"/>
    </row>
    <row r="16450" spans="16:16" x14ac:dyDescent="0.35">
      <c r="P16450" s="8"/>
    </row>
    <row r="16451" spans="16:16" x14ac:dyDescent="0.35">
      <c r="P16451" s="8"/>
    </row>
    <row r="16452" spans="16:16" x14ac:dyDescent="0.35">
      <c r="P16452" s="8"/>
    </row>
    <row r="16453" spans="16:16" x14ac:dyDescent="0.35">
      <c r="P16453" s="8"/>
    </row>
    <row r="16454" spans="16:16" x14ac:dyDescent="0.35">
      <c r="P16454" s="8"/>
    </row>
    <row r="16455" spans="16:16" x14ac:dyDescent="0.35">
      <c r="P16455" s="8"/>
    </row>
    <row r="16456" spans="16:16" x14ac:dyDescent="0.35">
      <c r="P16456" s="8"/>
    </row>
    <row r="16457" spans="16:16" x14ac:dyDescent="0.35">
      <c r="P16457" s="8"/>
    </row>
    <row r="16458" spans="16:16" x14ac:dyDescent="0.35">
      <c r="P16458" s="8"/>
    </row>
    <row r="16459" spans="16:16" x14ac:dyDescent="0.35">
      <c r="P16459" s="8"/>
    </row>
    <row r="16460" spans="16:16" x14ac:dyDescent="0.35">
      <c r="P16460" s="8"/>
    </row>
    <row r="16461" spans="16:16" x14ac:dyDescent="0.35">
      <c r="P16461" s="8"/>
    </row>
    <row r="16462" spans="16:16" x14ac:dyDescent="0.35">
      <c r="P16462" s="8"/>
    </row>
    <row r="16463" spans="16:16" x14ac:dyDescent="0.35">
      <c r="P16463" s="8"/>
    </row>
    <row r="16464" spans="16:16" x14ac:dyDescent="0.35">
      <c r="P16464" s="8"/>
    </row>
    <row r="16465" spans="16:16" x14ac:dyDescent="0.35">
      <c r="P16465" s="8"/>
    </row>
    <row r="16466" spans="16:16" x14ac:dyDescent="0.35">
      <c r="P16466" s="8"/>
    </row>
    <row r="16467" spans="16:16" x14ac:dyDescent="0.35">
      <c r="P16467" s="8"/>
    </row>
    <row r="16468" spans="16:16" x14ac:dyDescent="0.35">
      <c r="P16468" s="8"/>
    </row>
    <row r="16469" spans="16:16" x14ac:dyDescent="0.35">
      <c r="P16469" s="8"/>
    </row>
    <row r="16470" spans="16:16" x14ac:dyDescent="0.35">
      <c r="P16470" s="8"/>
    </row>
    <row r="16471" spans="16:16" x14ac:dyDescent="0.35">
      <c r="P16471" s="8"/>
    </row>
    <row r="16472" spans="16:16" x14ac:dyDescent="0.35">
      <c r="P16472" s="8"/>
    </row>
    <row r="16473" spans="16:16" x14ac:dyDescent="0.35">
      <c r="P16473" s="8"/>
    </row>
    <row r="16474" spans="16:16" x14ac:dyDescent="0.35">
      <c r="P16474" s="8"/>
    </row>
    <row r="16475" spans="16:16" x14ac:dyDescent="0.35">
      <c r="P16475" s="8"/>
    </row>
    <row r="16476" spans="16:16" x14ac:dyDescent="0.35">
      <c r="P16476" s="8"/>
    </row>
    <row r="16477" spans="16:16" x14ac:dyDescent="0.35">
      <c r="P16477" s="8"/>
    </row>
    <row r="16478" spans="16:16" x14ac:dyDescent="0.35">
      <c r="P16478" s="8"/>
    </row>
    <row r="16479" spans="16:16" x14ac:dyDescent="0.35">
      <c r="P16479" s="8"/>
    </row>
    <row r="16480" spans="16:16" x14ac:dyDescent="0.35">
      <c r="P16480" s="8"/>
    </row>
    <row r="16481" spans="16:16" x14ac:dyDescent="0.35">
      <c r="P16481" s="8"/>
    </row>
    <row r="16482" spans="16:16" x14ac:dyDescent="0.35">
      <c r="P16482" s="8"/>
    </row>
    <row r="16483" spans="16:16" x14ac:dyDescent="0.35">
      <c r="P16483" s="8"/>
    </row>
    <row r="16484" spans="16:16" x14ac:dyDescent="0.35">
      <c r="P16484" s="8"/>
    </row>
    <row r="16485" spans="16:16" x14ac:dyDescent="0.35">
      <c r="P16485" s="8"/>
    </row>
    <row r="16486" spans="16:16" x14ac:dyDescent="0.35">
      <c r="P16486" s="8"/>
    </row>
    <row r="16487" spans="16:16" x14ac:dyDescent="0.35">
      <c r="P16487" s="8"/>
    </row>
    <row r="16488" spans="16:16" x14ac:dyDescent="0.35">
      <c r="P16488" s="8"/>
    </row>
    <row r="16489" spans="16:16" x14ac:dyDescent="0.35">
      <c r="P16489" s="8"/>
    </row>
    <row r="16490" spans="16:16" x14ac:dyDescent="0.35">
      <c r="P16490" s="8"/>
    </row>
    <row r="16491" spans="16:16" x14ac:dyDescent="0.35">
      <c r="P16491" s="8"/>
    </row>
    <row r="16492" spans="16:16" x14ac:dyDescent="0.35">
      <c r="P16492" s="8"/>
    </row>
    <row r="16493" spans="16:16" x14ac:dyDescent="0.35">
      <c r="P16493" s="8"/>
    </row>
    <row r="16494" spans="16:16" x14ac:dyDescent="0.35">
      <c r="P16494" s="8"/>
    </row>
    <row r="16495" spans="16:16" x14ac:dyDescent="0.35">
      <c r="P16495" s="8"/>
    </row>
    <row r="16496" spans="16:16" x14ac:dyDescent="0.35">
      <c r="P16496" s="8"/>
    </row>
    <row r="16497" spans="16:16" x14ac:dyDescent="0.35">
      <c r="P16497" s="8"/>
    </row>
    <row r="16498" spans="16:16" x14ac:dyDescent="0.35">
      <c r="P16498" s="8"/>
    </row>
    <row r="16499" spans="16:16" x14ac:dyDescent="0.35">
      <c r="P16499" s="8"/>
    </row>
    <row r="16500" spans="16:16" x14ac:dyDescent="0.35">
      <c r="P16500" s="8"/>
    </row>
    <row r="16501" spans="16:16" x14ac:dyDescent="0.35">
      <c r="P16501" s="8"/>
    </row>
    <row r="16502" spans="16:16" x14ac:dyDescent="0.35">
      <c r="P16502" s="8"/>
    </row>
    <row r="16503" spans="16:16" x14ac:dyDescent="0.35">
      <c r="P16503" s="8"/>
    </row>
    <row r="16504" spans="16:16" x14ac:dyDescent="0.35">
      <c r="P16504" s="8"/>
    </row>
    <row r="16505" spans="16:16" x14ac:dyDescent="0.35">
      <c r="P16505" s="8"/>
    </row>
    <row r="16506" spans="16:16" x14ac:dyDescent="0.35">
      <c r="P16506" s="8"/>
    </row>
    <row r="16507" spans="16:16" x14ac:dyDescent="0.35">
      <c r="P16507" s="8"/>
    </row>
    <row r="16508" spans="16:16" x14ac:dyDescent="0.35">
      <c r="P16508" s="8"/>
    </row>
    <row r="16509" spans="16:16" x14ac:dyDescent="0.35">
      <c r="P16509" s="8"/>
    </row>
    <row r="16510" spans="16:16" x14ac:dyDescent="0.35">
      <c r="P16510" s="8"/>
    </row>
    <row r="16511" spans="16:16" x14ac:dyDescent="0.35">
      <c r="P16511" s="8"/>
    </row>
    <row r="16512" spans="16:16" x14ac:dyDescent="0.35">
      <c r="P16512" s="8"/>
    </row>
    <row r="16513" spans="16:16" x14ac:dyDescent="0.35">
      <c r="P16513" s="8"/>
    </row>
    <row r="16514" spans="16:16" x14ac:dyDescent="0.35">
      <c r="P16514" s="8"/>
    </row>
    <row r="16515" spans="16:16" x14ac:dyDescent="0.35">
      <c r="P16515" s="8"/>
    </row>
    <row r="16516" spans="16:16" x14ac:dyDescent="0.35">
      <c r="P16516" s="8"/>
    </row>
    <row r="16517" spans="16:16" x14ac:dyDescent="0.35">
      <c r="P16517" s="8"/>
    </row>
    <row r="16518" spans="16:16" x14ac:dyDescent="0.35">
      <c r="P16518" s="8"/>
    </row>
    <row r="16519" spans="16:16" x14ac:dyDescent="0.35">
      <c r="P16519" s="8"/>
    </row>
    <row r="16520" spans="16:16" x14ac:dyDescent="0.35">
      <c r="P16520" s="8"/>
    </row>
    <row r="16521" spans="16:16" x14ac:dyDescent="0.35">
      <c r="P16521" s="8"/>
    </row>
    <row r="16522" spans="16:16" x14ac:dyDescent="0.35">
      <c r="P16522" s="8"/>
    </row>
    <row r="16523" spans="16:16" x14ac:dyDescent="0.35">
      <c r="P16523" s="8"/>
    </row>
    <row r="16524" spans="16:16" x14ac:dyDescent="0.35">
      <c r="P16524" s="8"/>
    </row>
    <row r="16525" spans="16:16" x14ac:dyDescent="0.35">
      <c r="P16525" s="8"/>
    </row>
    <row r="16526" spans="16:16" x14ac:dyDescent="0.35">
      <c r="P16526" s="8"/>
    </row>
    <row r="16527" spans="16:16" x14ac:dyDescent="0.35">
      <c r="P16527" s="8"/>
    </row>
    <row r="16528" spans="16:16" x14ac:dyDescent="0.35">
      <c r="P16528" s="8"/>
    </row>
    <row r="16529" spans="16:16" x14ac:dyDescent="0.35">
      <c r="P16529" s="8"/>
    </row>
    <row r="16530" spans="16:16" x14ac:dyDescent="0.35">
      <c r="P16530" s="8"/>
    </row>
    <row r="16531" spans="16:16" x14ac:dyDescent="0.35">
      <c r="P16531" s="8"/>
    </row>
    <row r="16532" spans="16:16" x14ac:dyDescent="0.35">
      <c r="P16532" s="8"/>
    </row>
    <row r="16533" spans="16:16" x14ac:dyDescent="0.35">
      <c r="P16533" s="8"/>
    </row>
    <row r="16534" spans="16:16" x14ac:dyDescent="0.35">
      <c r="P16534" s="8"/>
    </row>
    <row r="16535" spans="16:16" x14ac:dyDescent="0.35">
      <c r="P16535" s="8"/>
    </row>
    <row r="16536" spans="16:16" x14ac:dyDescent="0.35">
      <c r="P16536" s="8"/>
    </row>
    <row r="16537" spans="16:16" x14ac:dyDescent="0.35">
      <c r="P16537" s="8"/>
    </row>
    <row r="16538" spans="16:16" x14ac:dyDescent="0.35">
      <c r="P16538" s="8"/>
    </row>
    <row r="16539" spans="16:16" x14ac:dyDescent="0.35">
      <c r="P16539" s="8"/>
    </row>
    <row r="16540" spans="16:16" x14ac:dyDescent="0.35">
      <c r="P16540" s="8"/>
    </row>
    <row r="16541" spans="16:16" x14ac:dyDescent="0.35">
      <c r="P16541" s="8"/>
    </row>
    <row r="16542" spans="16:16" x14ac:dyDescent="0.35">
      <c r="P16542" s="8"/>
    </row>
    <row r="16543" spans="16:16" x14ac:dyDescent="0.35">
      <c r="P16543" s="8"/>
    </row>
    <row r="16544" spans="16:16" x14ac:dyDescent="0.35">
      <c r="P16544" s="8"/>
    </row>
    <row r="16545" spans="16:16" x14ac:dyDescent="0.35">
      <c r="P16545" s="8"/>
    </row>
    <row r="16546" spans="16:16" x14ac:dyDescent="0.35">
      <c r="P16546" s="8"/>
    </row>
    <row r="16547" spans="16:16" x14ac:dyDescent="0.35">
      <c r="P16547" s="8"/>
    </row>
    <row r="16548" spans="16:16" x14ac:dyDescent="0.35">
      <c r="P16548" s="8"/>
    </row>
    <row r="16549" spans="16:16" x14ac:dyDescent="0.35">
      <c r="P16549" s="8"/>
    </row>
    <row r="16550" spans="16:16" x14ac:dyDescent="0.35">
      <c r="P16550" s="8"/>
    </row>
    <row r="16551" spans="16:16" x14ac:dyDescent="0.35">
      <c r="P16551" s="8"/>
    </row>
    <row r="16552" spans="16:16" x14ac:dyDescent="0.35">
      <c r="P16552" s="8"/>
    </row>
    <row r="16553" spans="16:16" x14ac:dyDescent="0.35">
      <c r="P16553" s="8"/>
    </row>
    <row r="16554" spans="16:16" x14ac:dyDescent="0.35">
      <c r="P16554" s="8"/>
    </row>
    <row r="16555" spans="16:16" x14ac:dyDescent="0.35">
      <c r="P16555" s="8"/>
    </row>
    <row r="16556" spans="16:16" x14ac:dyDescent="0.35">
      <c r="P16556" s="8"/>
    </row>
    <row r="16557" spans="16:16" x14ac:dyDescent="0.35">
      <c r="P16557" s="8"/>
    </row>
    <row r="16558" spans="16:16" x14ac:dyDescent="0.35">
      <c r="P16558" s="8"/>
    </row>
    <row r="16559" spans="16:16" x14ac:dyDescent="0.35">
      <c r="P16559" s="8"/>
    </row>
    <row r="16560" spans="16:16" x14ac:dyDescent="0.35">
      <c r="P16560" s="8"/>
    </row>
    <row r="16561" spans="16:16" x14ac:dyDescent="0.35">
      <c r="P16561" s="8"/>
    </row>
    <row r="16562" spans="16:16" x14ac:dyDescent="0.35">
      <c r="P16562" s="8"/>
    </row>
    <row r="16563" spans="16:16" x14ac:dyDescent="0.35">
      <c r="P16563" s="8"/>
    </row>
    <row r="16564" spans="16:16" x14ac:dyDescent="0.35">
      <c r="P16564" s="8"/>
    </row>
    <row r="16565" spans="16:16" x14ac:dyDescent="0.35">
      <c r="P16565" s="8"/>
    </row>
    <row r="16566" spans="16:16" x14ac:dyDescent="0.35">
      <c r="P16566" s="8"/>
    </row>
    <row r="16567" spans="16:16" x14ac:dyDescent="0.35">
      <c r="P16567" s="8"/>
    </row>
    <row r="16568" spans="16:16" x14ac:dyDescent="0.35">
      <c r="P16568" s="8"/>
    </row>
    <row r="16569" spans="16:16" x14ac:dyDescent="0.35">
      <c r="P16569" s="8"/>
    </row>
    <row r="16570" spans="16:16" x14ac:dyDescent="0.35">
      <c r="P16570" s="8"/>
    </row>
    <row r="16571" spans="16:16" x14ac:dyDescent="0.35">
      <c r="P16571" s="8"/>
    </row>
    <row r="16572" spans="16:16" x14ac:dyDescent="0.35">
      <c r="P16572" s="8"/>
    </row>
    <row r="16573" spans="16:16" x14ac:dyDescent="0.35">
      <c r="P16573" s="8"/>
    </row>
    <row r="16574" spans="16:16" x14ac:dyDescent="0.35">
      <c r="P16574" s="8"/>
    </row>
    <row r="16575" spans="16:16" x14ac:dyDescent="0.35">
      <c r="P16575" s="8"/>
    </row>
    <row r="16576" spans="16:16" x14ac:dyDescent="0.35">
      <c r="P16576" s="8"/>
    </row>
    <row r="16577" spans="16:16" x14ac:dyDescent="0.35">
      <c r="P16577" s="8"/>
    </row>
    <row r="16578" spans="16:16" x14ac:dyDescent="0.35">
      <c r="P16578" s="8"/>
    </row>
    <row r="16579" spans="16:16" x14ac:dyDescent="0.35">
      <c r="P16579" s="8"/>
    </row>
    <row r="16580" spans="16:16" x14ac:dyDescent="0.35">
      <c r="P16580" s="8"/>
    </row>
    <row r="16581" spans="16:16" x14ac:dyDescent="0.35">
      <c r="P16581" s="8"/>
    </row>
    <row r="16582" spans="16:16" x14ac:dyDescent="0.35">
      <c r="P16582" s="8"/>
    </row>
    <row r="16583" spans="16:16" x14ac:dyDescent="0.35">
      <c r="P16583" s="8"/>
    </row>
    <row r="16584" spans="16:16" x14ac:dyDescent="0.35">
      <c r="P16584" s="8"/>
    </row>
    <row r="16585" spans="16:16" x14ac:dyDescent="0.35">
      <c r="P16585" s="8"/>
    </row>
    <row r="16586" spans="16:16" x14ac:dyDescent="0.35">
      <c r="P16586" s="8"/>
    </row>
    <row r="16587" spans="16:16" x14ac:dyDescent="0.35">
      <c r="P16587" s="8"/>
    </row>
    <row r="16588" spans="16:16" x14ac:dyDescent="0.35">
      <c r="P16588" s="8"/>
    </row>
    <row r="16589" spans="16:16" x14ac:dyDescent="0.35">
      <c r="P16589" s="8"/>
    </row>
    <row r="16590" spans="16:16" x14ac:dyDescent="0.35">
      <c r="P16590" s="8"/>
    </row>
    <row r="16591" spans="16:16" x14ac:dyDescent="0.35">
      <c r="P16591" s="8"/>
    </row>
    <row r="16592" spans="16:16" x14ac:dyDescent="0.35">
      <c r="P16592" s="8"/>
    </row>
    <row r="16593" spans="16:16" x14ac:dyDescent="0.35">
      <c r="P16593" s="8"/>
    </row>
    <row r="16594" spans="16:16" x14ac:dyDescent="0.35">
      <c r="P16594" s="8"/>
    </row>
    <row r="16595" spans="16:16" x14ac:dyDescent="0.35">
      <c r="P16595" s="8"/>
    </row>
    <row r="16596" spans="16:16" x14ac:dyDescent="0.35">
      <c r="P16596" s="8"/>
    </row>
    <row r="16597" spans="16:16" x14ac:dyDescent="0.35">
      <c r="P16597" s="8"/>
    </row>
    <row r="16598" spans="16:16" x14ac:dyDescent="0.35">
      <c r="P16598" s="8"/>
    </row>
    <row r="16599" spans="16:16" x14ac:dyDescent="0.35">
      <c r="P16599" s="8"/>
    </row>
    <row r="16600" spans="16:16" x14ac:dyDescent="0.35">
      <c r="P16600" s="8"/>
    </row>
    <row r="16601" spans="16:16" x14ac:dyDescent="0.35">
      <c r="P16601" s="8"/>
    </row>
    <row r="16602" spans="16:16" x14ac:dyDescent="0.35">
      <c r="P16602" s="8"/>
    </row>
    <row r="16603" spans="16:16" x14ac:dyDescent="0.35">
      <c r="P16603" s="8"/>
    </row>
    <row r="16604" spans="16:16" x14ac:dyDescent="0.35">
      <c r="P16604" s="8"/>
    </row>
    <row r="16605" spans="16:16" x14ac:dyDescent="0.35">
      <c r="P16605" s="8"/>
    </row>
    <row r="16606" spans="16:16" x14ac:dyDescent="0.35">
      <c r="P16606" s="8"/>
    </row>
    <row r="16607" spans="16:16" x14ac:dyDescent="0.35">
      <c r="P16607" s="8"/>
    </row>
    <row r="16608" spans="16:16" x14ac:dyDescent="0.35">
      <c r="P16608" s="8"/>
    </row>
    <row r="16609" spans="16:16" x14ac:dyDescent="0.35">
      <c r="P16609" s="8"/>
    </row>
    <row r="16610" spans="16:16" x14ac:dyDescent="0.35">
      <c r="P16610" s="8"/>
    </row>
    <row r="16611" spans="16:16" x14ac:dyDescent="0.35">
      <c r="P16611" s="8"/>
    </row>
    <row r="16612" spans="16:16" x14ac:dyDescent="0.35">
      <c r="P16612" s="8"/>
    </row>
    <row r="16613" spans="16:16" x14ac:dyDescent="0.35">
      <c r="P16613" s="8"/>
    </row>
    <row r="16614" spans="16:16" x14ac:dyDescent="0.35">
      <c r="P16614" s="8"/>
    </row>
    <row r="16615" spans="16:16" x14ac:dyDescent="0.35">
      <c r="P16615" s="8"/>
    </row>
    <row r="16616" spans="16:16" x14ac:dyDescent="0.35">
      <c r="P16616" s="8"/>
    </row>
    <row r="16617" spans="16:16" x14ac:dyDescent="0.35">
      <c r="P16617" s="8"/>
    </row>
    <row r="16618" spans="16:16" x14ac:dyDescent="0.35">
      <c r="P16618" s="8"/>
    </row>
    <row r="16619" spans="16:16" x14ac:dyDescent="0.35">
      <c r="P16619" s="8"/>
    </row>
    <row r="16620" spans="16:16" x14ac:dyDescent="0.35">
      <c r="P16620" s="8"/>
    </row>
    <row r="16621" spans="16:16" x14ac:dyDescent="0.35">
      <c r="P16621" s="8"/>
    </row>
    <row r="16622" spans="16:16" x14ac:dyDescent="0.35">
      <c r="P16622" s="8"/>
    </row>
    <row r="16623" spans="16:16" x14ac:dyDescent="0.35">
      <c r="P16623" s="8"/>
    </row>
    <row r="16624" spans="16:16" x14ac:dyDescent="0.35">
      <c r="P16624" s="8"/>
    </row>
    <row r="16625" spans="16:16" x14ac:dyDescent="0.35">
      <c r="P16625" s="8"/>
    </row>
    <row r="16626" spans="16:16" x14ac:dyDescent="0.35">
      <c r="P16626" s="8"/>
    </row>
    <row r="16627" spans="16:16" x14ac:dyDescent="0.35">
      <c r="P16627" s="8"/>
    </row>
    <row r="16628" spans="16:16" x14ac:dyDescent="0.35">
      <c r="P16628" s="8"/>
    </row>
    <row r="16629" spans="16:16" x14ac:dyDescent="0.35">
      <c r="P16629" s="8"/>
    </row>
    <row r="16630" spans="16:16" x14ac:dyDescent="0.35">
      <c r="P16630" s="8"/>
    </row>
    <row r="16631" spans="16:16" x14ac:dyDescent="0.35">
      <c r="P16631" s="8"/>
    </row>
    <row r="16632" spans="16:16" x14ac:dyDescent="0.35">
      <c r="P16632" s="8"/>
    </row>
    <row r="16633" spans="16:16" x14ac:dyDescent="0.35">
      <c r="P16633" s="8"/>
    </row>
    <row r="16634" spans="16:16" x14ac:dyDescent="0.35">
      <c r="P16634" s="8"/>
    </row>
    <row r="16635" spans="16:16" x14ac:dyDescent="0.35">
      <c r="P16635" s="8"/>
    </row>
    <row r="16636" spans="16:16" x14ac:dyDescent="0.35">
      <c r="P16636" s="8"/>
    </row>
    <row r="16637" spans="16:16" x14ac:dyDescent="0.35">
      <c r="P16637" s="8"/>
    </row>
    <row r="16638" spans="16:16" x14ac:dyDescent="0.35">
      <c r="P16638" s="8"/>
    </row>
    <row r="16639" spans="16:16" x14ac:dyDescent="0.35">
      <c r="P16639" s="8"/>
    </row>
    <row r="16640" spans="16:16" x14ac:dyDescent="0.35">
      <c r="P16640" s="8"/>
    </row>
    <row r="16641" spans="16:16" x14ac:dyDescent="0.35">
      <c r="P16641" s="8"/>
    </row>
    <row r="16642" spans="16:16" x14ac:dyDescent="0.35">
      <c r="P16642" s="8"/>
    </row>
    <row r="16643" spans="16:16" x14ac:dyDescent="0.35">
      <c r="P16643" s="8"/>
    </row>
    <row r="16644" spans="16:16" x14ac:dyDescent="0.35">
      <c r="P16644" s="8"/>
    </row>
    <row r="16645" spans="16:16" x14ac:dyDescent="0.35">
      <c r="P16645" s="8"/>
    </row>
    <row r="16646" spans="16:16" x14ac:dyDescent="0.35">
      <c r="P16646" s="8"/>
    </row>
    <row r="16647" spans="16:16" x14ac:dyDescent="0.35">
      <c r="P16647" s="8"/>
    </row>
    <row r="16648" spans="16:16" x14ac:dyDescent="0.35">
      <c r="P16648" s="8"/>
    </row>
    <row r="16649" spans="16:16" x14ac:dyDescent="0.35">
      <c r="P16649" s="8"/>
    </row>
    <row r="16650" spans="16:16" x14ac:dyDescent="0.35">
      <c r="P16650" s="8"/>
    </row>
    <row r="16651" spans="16:16" x14ac:dyDescent="0.35">
      <c r="P16651" s="8"/>
    </row>
    <row r="16652" spans="16:16" x14ac:dyDescent="0.35">
      <c r="P16652" s="8"/>
    </row>
    <row r="16653" spans="16:16" x14ac:dyDescent="0.35">
      <c r="P16653" s="8"/>
    </row>
    <row r="16654" spans="16:16" x14ac:dyDescent="0.35">
      <c r="P16654" s="8"/>
    </row>
    <row r="16655" spans="16:16" x14ac:dyDescent="0.35">
      <c r="P16655" s="8"/>
    </row>
    <row r="16656" spans="16:16" x14ac:dyDescent="0.35">
      <c r="P16656" s="8"/>
    </row>
    <row r="16657" spans="16:16" x14ac:dyDescent="0.35">
      <c r="P16657" s="8"/>
    </row>
    <row r="16658" spans="16:16" x14ac:dyDescent="0.35">
      <c r="P16658" s="8"/>
    </row>
    <row r="16659" spans="16:16" x14ac:dyDescent="0.35">
      <c r="P16659" s="8"/>
    </row>
    <row r="16660" spans="16:16" x14ac:dyDescent="0.35">
      <c r="P16660" s="8"/>
    </row>
    <row r="16661" spans="16:16" x14ac:dyDescent="0.35">
      <c r="P16661" s="8"/>
    </row>
    <row r="16662" spans="16:16" x14ac:dyDescent="0.35">
      <c r="P16662" s="8"/>
    </row>
    <row r="16663" spans="16:16" x14ac:dyDescent="0.35">
      <c r="P16663" s="8"/>
    </row>
    <row r="16664" spans="16:16" x14ac:dyDescent="0.35">
      <c r="P16664" s="8"/>
    </row>
    <row r="16665" spans="16:16" x14ac:dyDescent="0.35">
      <c r="P16665" s="8"/>
    </row>
    <row r="16666" spans="16:16" x14ac:dyDescent="0.35">
      <c r="P16666" s="8"/>
    </row>
    <row r="16667" spans="16:16" x14ac:dyDescent="0.35">
      <c r="P16667" s="8"/>
    </row>
    <row r="16668" spans="16:16" x14ac:dyDescent="0.35">
      <c r="P16668" s="8"/>
    </row>
    <row r="16669" spans="16:16" x14ac:dyDescent="0.35">
      <c r="P16669" s="8"/>
    </row>
    <row r="16670" spans="16:16" x14ac:dyDescent="0.35">
      <c r="P16670" s="8"/>
    </row>
    <row r="16671" spans="16:16" x14ac:dyDescent="0.35">
      <c r="P16671" s="8"/>
    </row>
    <row r="16672" spans="16:16" x14ac:dyDescent="0.35">
      <c r="P16672" s="8"/>
    </row>
    <row r="16673" spans="16:16" x14ac:dyDescent="0.35">
      <c r="P16673" s="8"/>
    </row>
    <row r="16674" spans="16:16" x14ac:dyDescent="0.35">
      <c r="P16674" s="8"/>
    </row>
    <row r="16675" spans="16:16" x14ac:dyDescent="0.35">
      <c r="P16675" s="8"/>
    </row>
    <row r="16676" spans="16:16" x14ac:dyDescent="0.35">
      <c r="P16676" s="8"/>
    </row>
    <row r="16677" spans="16:16" x14ac:dyDescent="0.35">
      <c r="P16677" s="8"/>
    </row>
    <row r="16678" spans="16:16" x14ac:dyDescent="0.35">
      <c r="P16678" s="8"/>
    </row>
    <row r="16679" spans="16:16" x14ac:dyDescent="0.35">
      <c r="P16679" s="8"/>
    </row>
    <row r="16680" spans="16:16" x14ac:dyDescent="0.35">
      <c r="P16680" s="8"/>
    </row>
    <row r="16681" spans="16:16" x14ac:dyDescent="0.35">
      <c r="P16681" s="8"/>
    </row>
    <row r="16682" spans="16:16" x14ac:dyDescent="0.35">
      <c r="P16682" s="8"/>
    </row>
    <row r="16683" spans="16:16" x14ac:dyDescent="0.35">
      <c r="P16683" s="8"/>
    </row>
    <row r="16684" spans="16:16" x14ac:dyDescent="0.35">
      <c r="P16684" s="8"/>
    </row>
    <row r="16685" spans="16:16" x14ac:dyDescent="0.35">
      <c r="P16685" s="8"/>
    </row>
    <row r="16686" spans="16:16" x14ac:dyDescent="0.35">
      <c r="P16686" s="8"/>
    </row>
    <row r="16687" spans="16:16" x14ac:dyDescent="0.35">
      <c r="P16687" s="8"/>
    </row>
    <row r="16688" spans="16:16" x14ac:dyDescent="0.35">
      <c r="P16688" s="8"/>
    </row>
    <row r="16689" spans="16:16" x14ac:dyDescent="0.35">
      <c r="P16689" s="8"/>
    </row>
    <row r="16690" spans="16:16" x14ac:dyDescent="0.35">
      <c r="P16690" s="8"/>
    </row>
    <row r="16691" spans="16:16" x14ac:dyDescent="0.35">
      <c r="P16691" s="8"/>
    </row>
    <row r="16692" spans="16:16" x14ac:dyDescent="0.35">
      <c r="P16692" s="8"/>
    </row>
    <row r="16693" spans="16:16" x14ac:dyDescent="0.35">
      <c r="P16693" s="8"/>
    </row>
    <row r="16694" spans="16:16" x14ac:dyDescent="0.35">
      <c r="P16694" s="8"/>
    </row>
    <row r="16695" spans="16:16" x14ac:dyDescent="0.35">
      <c r="P16695" s="8"/>
    </row>
    <row r="16696" spans="16:16" x14ac:dyDescent="0.35">
      <c r="P16696" s="8"/>
    </row>
    <row r="16697" spans="16:16" x14ac:dyDescent="0.35">
      <c r="P16697" s="8"/>
    </row>
    <row r="16698" spans="16:16" x14ac:dyDescent="0.35">
      <c r="P16698" s="8"/>
    </row>
    <row r="16699" spans="16:16" x14ac:dyDescent="0.35">
      <c r="P16699" s="8"/>
    </row>
    <row r="16700" spans="16:16" x14ac:dyDescent="0.35">
      <c r="P16700" s="8"/>
    </row>
    <row r="16701" spans="16:16" x14ac:dyDescent="0.35">
      <c r="P16701" s="8"/>
    </row>
    <row r="16702" spans="16:16" x14ac:dyDescent="0.35">
      <c r="P16702" s="8"/>
    </row>
    <row r="16703" spans="16:16" x14ac:dyDescent="0.35">
      <c r="P16703" s="8"/>
    </row>
    <row r="16704" spans="16:16" x14ac:dyDescent="0.35">
      <c r="P16704" s="8"/>
    </row>
    <row r="16705" spans="16:16" x14ac:dyDescent="0.35">
      <c r="P16705" s="8"/>
    </row>
    <row r="16706" spans="16:16" x14ac:dyDescent="0.35">
      <c r="P16706" s="8"/>
    </row>
    <row r="16707" spans="16:16" x14ac:dyDescent="0.35">
      <c r="P16707" s="8"/>
    </row>
    <row r="16708" spans="16:16" x14ac:dyDescent="0.35">
      <c r="P16708" s="8"/>
    </row>
    <row r="16709" spans="16:16" x14ac:dyDescent="0.35">
      <c r="P16709" s="8"/>
    </row>
    <row r="16710" spans="16:16" x14ac:dyDescent="0.35">
      <c r="P16710" s="8"/>
    </row>
    <row r="16711" spans="16:16" x14ac:dyDescent="0.35">
      <c r="P16711" s="8"/>
    </row>
    <row r="16712" spans="16:16" x14ac:dyDescent="0.35">
      <c r="P16712" s="8"/>
    </row>
    <row r="16713" spans="16:16" x14ac:dyDescent="0.35">
      <c r="P16713" s="8"/>
    </row>
    <row r="16714" spans="16:16" x14ac:dyDescent="0.35">
      <c r="P16714" s="8"/>
    </row>
    <row r="16715" spans="16:16" x14ac:dyDescent="0.35">
      <c r="P16715" s="8"/>
    </row>
    <row r="16716" spans="16:16" x14ac:dyDescent="0.35">
      <c r="P16716" s="8"/>
    </row>
    <row r="16717" spans="16:16" x14ac:dyDescent="0.35">
      <c r="P16717" s="8"/>
    </row>
    <row r="16718" spans="16:16" x14ac:dyDescent="0.35">
      <c r="P16718" s="8"/>
    </row>
    <row r="16719" spans="16:16" x14ac:dyDescent="0.35">
      <c r="P16719" s="8"/>
    </row>
    <row r="16720" spans="16:16" x14ac:dyDescent="0.35">
      <c r="P16720" s="8"/>
    </row>
    <row r="16721" spans="16:16" x14ac:dyDescent="0.35">
      <c r="P16721" s="8"/>
    </row>
    <row r="16722" spans="16:16" x14ac:dyDescent="0.35">
      <c r="P16722" s="8"/>
    </row>
    <row r="16723" spans="16:16" x14ac:dyDescent="0.35">
      <c r="P16723" s="8"/>
    </row>
    <row r="16724" spans="16:16" x14ac:dyDescent="0.35">
      <c r="P16724" s="8"/>
    </row>
    <row r="16725" spans="16:16" x14ac:dyDescent="0.35">
      <c r="P16725" s="8"/>
    </row>
    <row r="16726" spans="16:16" x14ac:dyDescent="0.35">
      <c r="P16726" s="8"/>
    </row>
    <row r="16727" spans="16:16" x14ac:dyDescent="0.35">
      <c r="P16727" s="8"/>
    </row>
    <row r="16728" spans="16:16" x14ac:dyDescent="0.35">
      <c r="P16728" s="8"/>
    </row>
    <row r="16729" spans="16:16" x14ac:dyDescent="0.35">
      <c r="P16729" s="8"/>
    </row>
    <row r="16730" spans="16:16" x14ac:dyDescent="0.35">
      <c r="P16730" s="8"/>
    </row>
    <row r="16731" spans="16:16" x14ac:dyDescent="0.35">
      <c r="P16731" s="8"/>
    </row>
    <row r="16732" spans="16:16" x14ac:dyDescent="0.35">
      <c r="P16732" s="8"/>
    </row>
    <row r="16733" spans="16:16" x14ac:dyDescent="0.35">
      <c r="P16733" s="8"/>
    </row>
    <row r="16734" spans="16:16" x14ac:dyDescent="0.35">
      <c r="P16734" s="8"/>
    </row>
    <row r="16735" spans="16:16" x14ac:dyDescent="0.35">
      <c r="P16735" s="8"/>
    </row>
    <row r="16736" spans="16:16" x14ac:dyDescent="0.35">
      <c r="P16736" s="8"/>
    </row>
    <row r="16737" spans="16:16" x14ac:dyDescent="0.35">
      <c r="P16737" s="8"/>
    </row>
    <row r="16738" spans="16:16" x14ac:dyDescent="0.35">
      <c r="P16738" s="8"/>
    </row>
    <row r="16739" spans="16:16" x14ac:dyDescent="0.35">
      <c r="P16739" s="8"/>
    </row>
    <row r="16740" spans="16:16" x14ac:dyDescent="0.35">
      <c r="P16740" s="8"/>
    </row>
    <row r="16741" spans="16:16" x14ac:dyDescent="0.35">
      <c r="P16741" s="8"/>
    </row>
    <row r="16742" spans="16:16" x14ac:dyDescent="0.35">
      <c r="P16742" s="8"/>
    </row>
    <row r="16743" spans="16:16" x14ac:dyDescent="0.35">
      <c r="P16743" s="8"/>
    </row>
    <row r="16744" spans="16:16" x14ac:dyDescent="0.35">
      <c r="P16744" s="8"/>
    </row>
    <row r="16745" spans="16:16" x14ac:dyDescent="0.35">
      <c r="P16745" s="8"/>
    </row>
    <row r="16746" spans="16:16" x14ac:dyDescent="0.35">
      <c r="P16746" s="8"/>
    </row>
    <row r="16747" spans="16:16" x14ac:dyDescent="0.35">
      <c r="P16747" s="8"/>
    </row>
    <row r="16748" spans="16:16" x14ac:dyDescent="0.35">
      <c r="P16748" s="8"/>
    </row>
    <row r="16749" spans="16:16" x14ac:dyDescent="0.35">
      <c r="P16749" s="8"/>
    </row>
    <row r="16750" spans="16:16" x14ac:dyDescent="0.35">
      <c r="P16750" s="8"/>
    </row>
    <row r="16751" spans="16:16" x14ac:dyDescent="0.35">
      <c r="P16751" s="8"/>
    </row>
    <row r="16752" spans="16:16" x14ac:dyDescent="0.35">
      <c r="P16752" s="8"/>
    </row>
    <row r="16753" spans="16:16" x14ac:dyDescent="0.35">
      <c r="P16753" s="8"/>
    </row>
    <row r="16754" spans="16:16" x14ac:dyDescent="0.35">
      <c r="P16754" s="8"/>
    </row>
    <row r="16755" spans="16:16" x14ac:dyDescent="0.35">
      <c r="P16755" s="8"/>
    </row>
    <row r="16756" spans="16:16" x14ac:dyDescent="0.35">
      <c r="P16756" s="8"/>
    </row>
    <row r="16757" spans="16:16" x14ac:dyDescent="0.35">
      <c r="P16757" s="8"/>
    </row>
    <row r="16758" spans="16:16" x14ac:dyDescent="0.35">
      <c r="P16758" s="8"/>
    </row>
    <row r="16759" spans="16:16" x14ac:dyDescent="0.35">
      <c r="P16759" s="8"/>
    </row>
    <row r="16760" spans="16:16" x14ac:dyDescent="0.35">
      <c r="P16760" s="8"/>
    </row>
    <row r="16761" spans="16:16" x14ac:dyDescent="0.35">
      <c r="P16761" s="8"/>
    </row>
    <row r="16762" spans="16:16" x14ac:dyDescent="0.35">
      <c r="P16762" s="8"/>
    </row>
    <row r="16763" spans="16:16" x14ac:dyDescent="0.35">
      <c r="P16763" s="8"/>
    </row>
    <row r="16764" spans="16:16" x14ac:dyDescent="0.35">
      <c r="P16764" s="8"/>
    </row>
    <row r="16765" spans="16:16" x14ac:dyDescent="0.35">
      <c r="P16765" s="8"/>
    </row>
    <row r="16766" spans="16:16" x14ac:dyDescent="0.35">
      <c r="P16766" s="8"/>
    </row>
    <row r="16767" spans="16:16" x14ac:dyDescent="0.35">
      <c r="P16767" s="8"/>
    </row>
    <row r="16768" spans="16:16" x14ac:dyDescent="0.35">
      <c r="P16768" s="8"/>
    </row>
    <row r="16769" spans="16:16" x14ac:dyDescent="0.35">
      <c r="P16769" s="8"/>
    </row>
    <row r="16770" spans="16:16" x14ac:dyDescent="0.35">
      <c r="P16770" s="8"/>
    </row>
    <row r="16771" spans="16:16" x14ac:dyDescent="0.35">
      <c r="P16771" s="8"/>
    </row>
    <row r="16772" spans="16:16" x14ac:dyDescent="0.35">
      <c r="P16772" s="8"/>
    </row>
    <row r="16773" spans="16:16" x14ac:dyDescent="0.35">
      <c r="P16773" s="8"/>
    </row>
    <row r="16774" spans="16:16" x14ac:dyDescent="0.35">
      <c r="P16774" s="8"/>
    </row>
    <row r="16775" spans="16:16" x14ac:dyDescent="0.35">
      <c r="P16775" s="8"/>
    </row>
    <row r="16776" spans="16:16" x14ac:dyDescent="0.35">
      <c r="P16776" s="8"/>
    </row>
    <row r="16777" spans="16:16" x14ac:dyDescent="0.35">
      <c r="P16777" s="8"/>
    </row>
    <row r="16778" spans="16:16" x14ac:dyDescent="0.35">
      <c r="P16778" s="8"/>
    </row>
    <row r="16779" spans="16:16" x14ac:dyDescent="0.35">
      <c r="P16779" s="8"/>
    </row>
    <row r="16780" spans="16:16" x14ac:dyDescent="0.35">
      <c r="P16780" s="8"/>
    </row>
    <row r="16781" spans="16:16" x14ac:dyDescent="0.35">
      <c r="P16781" s="8"/>
    </row>
    <row r="16782" spans="16:16" x14ac:dyDescent="0.35">
      <c r="P16782" s="8"/>
    </row>
    <row r="16783" spans="16:16" x14ac:dyDescent="0.35">
      <c r="P16783" s="8"/>
    </row>
    <row r="16784" spans="16:16" x14ac:dyDescent="0.35">
      <c r="P16784" s="8"/>
    </row>
    <row r="16785" spans="16:16" x14ac:dyDescent="0.35">
      <c r="P16785" s="8"/>
    </row>
    <row r="16786" spans="16:16" x14ac:dyDescent="0.35">
      <c r="P16786" s="8"/>
    </row>
    <row r="16787" spans="16:16" x14ac:dyDescent="0.35">
      <c r="P16787" s="8"/>
    </row>
    <row r="16788" spans="16:16" x14ac:dyDescent="0.35">
      <c r="P16788" s="8"/>
    </row>
    <row r="16789" spans="16:16" x14ac:dyDescent="0.35">
      <c r="P16789" s="8"/>
    </row>
    <row r="16790" spans="16:16" x14ac:dyDescent="0.35">
      <c r="P16790" s="8"/>
    </row>
    <row r="16791" spans="16:16" x14ac:dyDescent="0.35">
      <c r="P16791" s="8"/>
    </row>
    <row r="16792" spans="16:16" x14ac:dyDescent="0.35">
      <c r="P16792" s="8"/>
    </row>
    <row r="16793" spans="16:16" x14ac:dyDescent="0.35">
      <c r="P16793" s="8"/>
    </row>
    <row r="16794" spans="16:16" x14ac:dyDescent="0.35">
      <c r="P16794" s="8"/>
    </row>
    <row r="16795" spans="16:16" x14ac:dyDescent="0.35">
      <c r="P16795" s="8"/>
    </row>
    <row r="16796" spans="16:16" x14ac:dyDescent="0.35">
      <c r="P16796" s="8"/>
    </row>
    <row r="16797" spans="16:16" x14ac:dyDescent="0.35">
      <c r="P16797" s="8"/>
    </row>
    <row r="16798" spans="16:16" x14ac:dyDescent="0.35">
      <c r="P16798" s="8"/>
    </row>
    <row r="16799" spans="16:16" x14ac:dyDescent="0.35">
      <c r="P16799" s="8"/>
    </row>
    <row r="16800" spans="16:16" x14ac:dyDescent="0.35">
      <c r="P16800" s="8"/>
    </row>
    <row r="16801" spans="16:16" x14ac:dyDescent="0.35">
      <c r="P16801" s="8"/>
    </row>
    <row r="16802" spans="16:16" x14ac:dyDescent="0.35">
      <c r="P16802" s="8"/>
    </row>
    <row r="16803" spans="16:16" x14ac:dyDescent="0.35">
      <c r="P16803" s="8"/>
    </row>
    <row r="16804" spans="16:16" x14ac:dyDescent="0.35">
      <c r="P16804" s="8"/>
    </row>
    <row r="16805" spans="16:16" x14ac:dyDescent="0.35">
      <c r="P16805" s="8"/>
    </row>
    <row r="16806" spans="16:16" x14ac:dyDescent="0.35">
      <c r="P16806" s="8"/>
    </row>
    <row r="16807" spans="16:16" x14ac:dyDescent="0.35">
      <c r="P16807" s="8"/>
    </row>
    <row r="16808" spans="16:16" x14ac:dyDescent="0.35">
      <c r="P16808" s="8"/>
    </row>
    <row r="16809" spans="16:16" x14ac:dyDescent="0.35">
      <c r="P16809" s="8"/>
    </row>
    <row r="16810" spans="16:16" x14ac:dyDescent="0.35">
      <c r="P16810" s="8"/>
    </row>
    <row r="16811" spans="16:16" x14ac:dyDescent="0.35">
      <c r="P16811" s="8"/>
    </row>
    <row r="16812" spans="16:16" x14ac:dyDescent="0.35">
      <c r="P16812" s="8"/>
    </row>
    <row r="16813" spans="16:16" x14ac:dyDescent="0.35">
      <c r="P16813" s="8"/>
    </row>
    <row r="16814" spans="16:16" x14ac:dyDescent="0.35">
      <c r="P16814" s="8"/>
    </row>
    <row r="16815" spans="16:16" x14ac:dyDescent="0.35">
      <c r="P16815" s="8"/>
    </row>
    <row r="16816" spans="16:16" x14ac:dyDescent="0.35">
      <c r="P16816" s="8"/>
    </row>
    <row r="16817" spans="16:16" x14ac:dyDescent="0.35">
      <c r="P16817" s="8"/>
    </row>
    <row r="16818" spans="16:16" x14ac:dyDescent="0.35">
      <c r="P16818" s="8"/>
    </row>
    <row r="16819" spans="16:16" x14ac:dyDescent="0.35">
      <c r="P16819" s="8"/>
    </row>
    <row r="16820" spans="16:16" x14ac:dyDescent="0.35">
      <c r="P16820" s="8"/>
    </row>
    <row r="16821" spans="16:16" x14ac:dyDescent="0.35">
      <c r="P16821" s="8"/>
    </row>
    <row r="16822" spans="16:16" x14ac:dyDescent="0.35">
      <c r="P16822" s="8"/>
    </row>
    <row r="16823" spans="16:16" x14ac:dyDescent="0.35">
      <c r="P16823" s="8"/>
    </row>
    <row r="16824" spans="16:16" x14ac:dyDescent="0.35">
      <c r="P16824" s="8"/>
    </row>
    <row r="16825" spans="16:16" x14ac:dyDescent="0.35">
      <c r="P16825" s="8"/>
    </row>
    <row r="16826" spans="16:16" x14ac:dyDescent="0.35">
      <c r="P16826" s="8"/>
    </row>
    <row r="16827" spans="16:16" x14ac:dyDescent="0.35">
      <c r="P16827" s="8"/>
    </row>
    <row r="16828" spans="16:16" x14ac:dyDescent="0.35">
      <c r="P16828" s="8"/>
    </row>
    <row r="16829" spans="16:16" x14ac:dyDescent="0.35">
      <c r="P16829" s="8"/>
    </row>
    <row r="16830" spans="16:16" x14ac:dyDescent="0.35">
      <c r="P16830" s="8"/>
    </row>
    <row r="16831" spans="16:16" x14ac:dyDescent="0.35">
      <c r="P16831" s="8"/>
    </row>
    <row r="16832" spans="16:16" x14ac:dyDescent="0.35">
      <c r="P16832" s="8"/>
    </row>
    <row r="16833" spans="16:16" x14ac:dyDescent="0.35">
      <c r="P16833" s="8"/>
    </row>
    <row r="16834" spans="16:16" x14ac:dyDescent="0.35">
      <c r="P16834" s="8"/>
    </row>
    <row r="16835" spans="16:16" x14ac:dyDescent="0.35">
      <c r="P16835" s="8"/>
    </row>
    <row r="16836" spans="16:16" x14ac:dyDescent="0.35">
      <c r="P16836" s="8"/>
    </row>
    <row r="16837" spans="16:16" x14ac:dyDescent="0.35">
      <c r="P16837" s="8"/>
    </row>
    <row r="16838" spans="16:16" x14ac:dyDescent="0.35">
      <c r="P16838" s="8"/>
    </row>
    <row r="16839" spans="16:16" x14ac:dyDescent="0.35">
      <c r="P16839" s="8"/>
    </row>
    <row r="16840" spans="16:16" x14ac:dyDescent="0.35">
      <c r="P16840" s="8"/>
    </row>
    <row r="16841" spans="16:16" x14ac:dyDescent="0.35">
      <c r="P16841" s="8"/>
    </row>
    <row r="16842" spans="16:16" x14ac:dyDescent="0.35">
      <c r="P16842" s="8"/>
    </row>
    <row r="16843" spans="16:16" x14ac:dyDescent="0.35">
      <c r="P16843" s="8"/>
    </row>
    <row r="16844" spans="16:16" x14ac:dyDescent="0.35">
      <c r="P16844" s="8"/>
    </row>
    <row r="16845" spans="16:16" x14ac:dyDescent="0.35">
      <c r="P16845" s="8"/>
    </row>
    <row r="16846" spans="16:16" x14ac:dyDescent="0.35">
      <c r="P16846" s="8"/>
    </row>
    <row r="16847" spans="16:16" x14ac:dyDescent="0.35">
      <c r="P16847" s="8"/>
    </row>
    <row r="16848" spans="16:16" x14ac:dyDescent="0.35">
      <c r="P16848" s="8"/>
    </row>
    <row r="16849" spans="16:16" x14ac:dyDescent="0.35">
      <c r="P16849" s="8"/>
    </row>
    <row r="16850" spans="16:16" x14ac:dyDescent="0.35">
      <c r="P16850" s="8"/>
    </row>
    <row r="16851" spans="16:16" x14ac:dyDescent="0.35">
      <c r="P16851" s="8"/>
    </row>
    <row r="16852" spans="16:16" x14ac:dyDescent="0.35">
      <c r="P16852" s="8"/>
    </row>
    <row r="16853" spans="16:16" x14ac:dyDescent="0.35">
      <c r="P16853" s="8"/>
    </row>
    <row r="16854" spans="16:16" x14ac:dyDescent="0.35">
      <c r="P16854" s="8"/>
    </row>
    <row r="16855" spans="16:16" x14ac:dyDescent="0.35">
      <c r="P16855" s="8"/>
    </row>
    <row r="16856" spans="16:16" x14ac:dyDescent="0.35">
      <c r="P16856" s="8"/>
    </row>
    <row r="16857" spans="16:16" x14ac:dyDescent="0.35">
      <c r="P16857" s="8"/>
    </row>
    <row r="16858" spans="16:16" x14ac:dyDescent="0.35">
      <c r="P16858" s="8"/>
    </row>
    <row r="16859" spans="16:16" x14ac:dyDescent="0.35">
      <c r="P16859" s="8"/>
    </row>
    <row r="16860" spans="16:16" x14ac:dyDescent="0.35">
      <c r="P16860" s="8"/>
    </row>
    <row r="16861" spans="16:16" x14ac:dyDescent="0.35">
      <c r="P16861" s="8"/>
    </row>
    <row r="16862" spans="16:16" x14ac:dyDescent="0.35">
      <c r="P16862" s="8"/>
    </row>
    <row r="16863" spans="16:16" x14ac:dyDescent="0.35">
      <c r="P16863" s="8"/>
    </row>
    <row r="16864" spans="16:16" x14ac:dyDescent="0.35">
      <c r="P16864" s="8"/>
    </row>
    <row r="16865" spans="16:16" x14ac:dyDescent="0.35">
      <c r="P16865" s="8"/>
    </row>
    <row r="16866" spans="16:16" x14ac:dyDescent="0.35">
      <c r="P16866" s="8"/>
    </row>
    <row r="16867" spans="16:16" x14ac:dyDescent="0.35">
      <c r="P16867" s="8"/>
    </row>
    <row r="16868" spans="16:16" x14ac:dyDescent="0.35">
      <c r="P16868" s="8"/>
    </row>
    <row r="16869" spans="16:16" x14ac:dyDescent="0.35">
      <c r="P16869" s="8"/>
    </row>
    <row r="16870" spans="16:16" x14ac:dyDescent="0.35">
      <c r="P16870" s="8"/>
    </row>
    <row r="16871" spans="16:16" x14ac:dyDescent="0.35">
      <c r="P16871" s="8"/>
    </row>
    <row r="16872" spans="16:16" x14ac:dyDescent="0.35">
      <c r="P16872" s="8"/>
    </row>
    <row r="16873" spans="16:16" x14ac:dyDescent="0.35">
      <c r="P16873" s="8"/>
    </row>
    <row r="16874" spans="16:16" x14ac:dyDescent="0.35">
      <c r="P16874" s="8"/>
    </row>
    <row r="16875" spans="16:16" x14ac:dyDescent="0.35">
      <c r="P16875" s="8"/>
    </row>
    <row r="16876" spans="16:16" x14ac:dyDescent="0.35">
      <c r="P16876" s="8"/>
    </row>
    <row r="16877" spans="16:16" x14ac:dyDescent="0.35">
      <c r="P16877" s="8"/>
    </row>
    <row r="16878" spans="16:16" x14ac:dyDescent="0.35">
      <c r="P16878" s="8"/>
    </row>
    <row r="16879" spans="16:16" x14ac:dyDescent="0.35">
      <c r="P16879" s="8"/>
    </row>
    <row r="16880" spans="16:16" x14ac:dyDescent="0.35">
      <c r="P16880" s="8"/>
    </row>
    <row r="16881" spans="16:16" x14ac:dyDescent="0.35">
      <c r="P16881" s="8"/>
    </row>
    <row r="16882" spans="16:16" x14ac:dyDescent="0.35">
      <c r="P16882" s="8"/>
    </row>
    <row r="16883" spans="16:16" x14ac:dyDescent="0.35">
      <c r="P16883" s="8"/>
    </row>
    <row r="16884" spans="16:16" x14ac:dyDescent="0.35">
      <c r="P16884" s="8"/>
    </row>
    <row r="16885" spans="16:16" x14ac:dyDescent="0.35">
      <c r="P16885" s="8"/>
    </row>
    <row r="16886" spans="16:16" x14ac:dyDescent="0.35">
      <c r="P16886" s="8"/>
    </row>
    <row r="16887" spans="16:16" x14ac:dyDescent="0.35">
      <c r="P16887" s="8"/>
    </row>
    <row r="16888" spans="16:16" x14ac:dyDescent="0.35">
      <c r="P16888" s="8"/>
    </row>
    <row r="16889" spans="16:16" x14ac:dyDescent="0.35">
      <c r="P16889" s="8"/>
    </row>
    <row r="16890" spans="16:16" x14ac:dyDescent="0.35">
      <c r="P16890" s="8"/>
    </row>
    <row r="16891" spans="16:16" x14ac:dyDescent="0.35">
      <c r="P16891" s="8"/>
    </row>
    <row r="16892" spans="16:16" x14ac:dyDescent="0.35">
      <c r="P16892" s="8"/>
    </row>
    <row r="16893" spans="16:16" x14ac:dyDescent="0.35">
      <c r="P16893" s="8"/>
    </row>
    <row r="16894" spans="16:16" x14ac:dyDescent="0.35">
      <c r="P16894" s="8"/>
    </row>
    <row r="16895" spans="16:16" x14ac:dyDescent="0.35">
      <c r="P16895" s="8"/>
    </row>
    <row r="16896" spans="16:16" x14ac:dyDescent="0.35">
      <c r="P16896" s="8"/>
    </row>
    <row r="16897" spans="16:16" x14ac:dyDescent="0.35">
      <c r="P16897" s="8"/>
    </row>
    <row r="16898" spans="16:16" x14ac:dyDescent="0.35">
      <c r="P16898" s="8"/>
    </row>
    <row r="16899" spans="16:16" x14ac:dyDescent="0.35">
      <c r="P16899" s="8"/>
    </row>
    <row r="16900" spans="16:16" x14ac:dyDescent="0.35">
      <c r="P16900" s="8"/>
    </row>
    <row r="16901" spans="16:16" x14ac:dyDescent="0.35">
      <c r="P16901" s="8"/>
    </row>
    <row r="16902" spans="16:16" x14ac:dyDescent="0.35">
      <c r="P16902" s="8"/>
    </row>
    <row r="16903" spans="16:16" x14ac:dyDescent="0.35">
      <c r="P16903" s="8"/>
    </row>
    <row r="16904" spans="16:16" x14ac:dyDescent="0.35">
      <c r="P16904" s="8"/>
    </row>
    <row r="16905" spans="16:16" x14ac:dyDescent="0.35">
      <c r="P16905" s="8"/>
    </row>
    <row r="16906" spans="16:16" x14ac:dyDescent="0.35">
      <c r="P16906" s="8"/>
    </row>
    <row r="16907" spans="16:16" x14ac:dyDescent="0.35">
      <c r="P16907" s="8"/>
    </row>
    <row r="16908" spans="16:16" x14ac:dyDescent="0.35">
      <c r="P16908" s="8"/>
    </row>
    <row r="16909" spans="16:16" x14ac:dyDescent="0.35">
      <c r="P16909" s="8"/>
    </row>
    <row r="16910" spans="16:16" x14ac:dyDescent="0.35">
      <c r="P16910" s="8"/>
    </row>
    <row r="16911" spans="16:16" x14ac:dyDescent="0.35">
      <c r="P16911" s="8"/>
    </row>
    <row r="16912" spans="16:16" x14ac:dyDescent="0.35">
      <c r="P16912" s="8"/>
    </row>
    <row r="16913" spans="16:16" x14ac:dyDescent="0.35">
      <c r="P16913" s="8"/>
    </row>
    <row r="16914" spans="16:16" x14ac:dyDescent="0.35">
      <c r="P16914" s="8"/>
    </row>
    <row r="16915" spans="16:16" x14ac:dyDescent="0.35">
      <c r="P16915" s="8"/>
    </row>
    <row r="16916" spans="16:16" x14ac:dyDescent="0.35">
      <c r="P16916" s="8"/>
    </row>
    <row r="16917" spans="16:16" x14ac:dyDescent="0.35">
      <c r="P16917" s="8"/>
    </row>
    <row r="16918" spans="16:16" x14ac:dyDescent="0.35">
      <c r="P16918" s="8"/>
    </row>
    <row r="16919" spans="16:16" x14ac:dyDescent="0.35">
      <c r="P16919" s="8"/>
    </row>
    <row r="16920" spans="16:16" x14ac:dyDescent="0.35">
      <c r="P16920" s="8"/>
    </row>
    <row r="16921" spans="16:16" x14ac:dyDescent="0.35">
      <c r="P16921" s="8"/>
    </row>
    <row r="16922" spans="16:16" x14ac:dyDescent="0.35">
      <c r="P16922" s="8"/>
    </row>
    <row r="16923" spans="16:16" x14ac:dyDescent="0.35">
      <c r="P16923" s="8"/>
    </row>
    <row r="16924" spans="16:16" x14ac:dyDescent="0.35">
      <c r="P16924" s="8"/>
    </row>
    <row r="16925" spans="16:16" x14ac:dyDescent="0.35">
      <c r="P16925" s="8"/>
    </row>
    <row r="16926" spans="16:16" x14ac:dyDescent="0.35">
      <c r="P16926" s="8"/>
    </row>
    <row r="16927" spans="16:16" x14ac:dyDescent="0.35">
      <c r="P16927" s="8"/>
    </row>
    <row r="16928" spans="16:16" x14ac:dyDescent="0.35">
      <c r="P16928" s="8"/>
    </row>
    <row r="16929" spans="16:16" x14ac:dyDescent="0.35">
      <c r="P16929" s="8"/>
    </row>
    <row r="16930" spans="16:16" x14ac:dyDescent="0.35">
      <c r="P16930" s="8"/>
    </row>
    <row r="16931" spans="16:16" x14ac:dyDescent="0.35">
      <c r="P16931" s="8"/>
    </row>
    <row r="16932" spans="16:16" x14ac:dyDescent="0.35">
      <c r="P16932" s="8"/>
    </row>
    <row r="16933" spans="16:16" x14ac:dyDescent="0.35">
      <c r="P16933" s="8"/>
    </row>
    <row r="16934" spans="16:16" x14ac:dyDescent="0.35">
      <c r="P16934" s="8"/>
    </row>
    <row r="16935" spans="16:16" x14ac:dyDescent="0.35">
      <c r="P16935" s="8"/>
    </row>
    <row r="16936" spans="16:16" x14ac:dyDescent="0.35">
      <c r="P16936" s="8"/>
    </row>
    <row r="16937" spans="16:16" x14ac:dyDescent="0.35">
      <c r="P16937" s="8"/>
    </row>
    <row r="16938" spans="16:16" x14ac:dyDescent="0.35">
      <c r="P16938" s="8"/>
    </row>
    <row r="16939" spans="16:16" x14ac:dyDescent="0.35">
      <c r="P16939" s="8"/>
    </row>
    <row r="16940" spans="16:16" x14ac:dyDescent="0.35">
      <c r="P16940" s="8"/>
    </row>
    <row r="16941" spans="16:16" x14ac:dyDescent="0.35">
      <c r="P16941" s="8"/>
    </row>
    <row r="16942" spans="16:16" x14ac:dyDescent="0.35">
      <c r="P16942" s="8"/>
    </row>
    <row r="16943" spans="16:16" x14ac:dyDescent="0.35">
      <c r="P16943" s="8"/>
    </row>
    <row r="16944" spans="16:16" x14ac:dyDescent="0.35">
      <c r="P16944" s="8"/>
    </row>
    <row r="16945" spans="16:16" x14ac:dyDescent="0.35">
      <c r="P16945" s="8"/>
    </row>
    <row r="16946" spans="16:16" x14ac:dyDescent="0.35">
      <c r="P16946" s="8"/>
    </row>
    <row r="16947" spans="16:16" x14ac:dyDescent="0.35">
      <c r="P16947" s="8"/>
    </row>
    <row r="16948" spans="16:16" x14ac:dyDescent="0.35">
      <c r="P16948" s="8"/>
    </row>
    <row r="16949" spans="16:16" x14ac:dyDescent="0.35">
      <c r="P16949" s="8"/>
    </row>
    <row r="16950" spans="16:16" x14ac:dyDescent="0.35">
      <c r="P16950" s="8"/>
    </row>
    <row r="16951" spans="16:16" x14ac:dyDescent="0.35">
      <c r="P16951" s="8"/>
    </row>
    <row r="16952" spans="16:16" x14ac:dyDescent="0.35">
      <c r="P16952" s="8"/>
    </row>
    <row r="16953" spans="16:16" x14ac:dyDescent="0.35">
      <c r="P16953" s="8"/>
    </row>
    <row r="16954" spans="16:16" x14ac:dyDescent="0.35">
      <c r="P16954" s="8"/>
    </row>
    <row r="16955" spans="16:16" x14ac:dyDescent="0.35">
      <c r="P16955" s="8"/>
    </row>
    <row r="16956" spans="16:16" x14ac:dyDescent="0.35">
      <c r="P16956" s="8"/>
    </row>
    <row r="16957" spans="16:16" x14ac:dyDescent="0.35">
      <c r="P16957" s="8"/>
    </row>
    <row r="16958" spans="16:16" x14ac:dyDescent="0.35">
      <c r="P16958" s="8"/>
    </row>
    <row r="16959" spans="16:16" x14ac:dyDescent="0.35">
      <c r="P16959" s="8"/>
    </row>
    <row r="16960" spans="16:16" x14ac:dyDescent="0.35">
      <c r="P16960" s="8"/>
    </row>
    <row r="16961" spans="16:16" x14ac:dyDescent="0.35">
      <c r="P16961" s="8"/>
    </row>
    <row r="16962" spans="16:16" x14ac:dyDescent="0.35">
      <c r="P16962" s="8"/>
    </row>
    <row r="16963" spans="16:16" x14ac:dyDescent="0.35">
      <c r="P16963" s="8"/>
    </row>
    <row r="16964" spans="16:16" x14ac:dyDescent="0.35">
      <c r="P16964" s="8"/>
    </row>
    <row r="16965" spans="16:16" x14ac:dyDescent="0.35">
      <c r="P16965" s="8"/>
    </row>
    <row r="16966" spans="16:16" x14ac:dyDescent="0.35">
      <c r="P16966" s="8"/>
    </row>
    <row r="16967" spans="16:16" x14ac:dyDescent="0.35">
      <c r="P16967" s="8"/>
    </row>
    <row r="16968" spans="16:16" x14ac:dyDescent="0.35">
      <c r="P16968" s="8"/>
    </row>
    <row r="16969" spans="16:16" x14ac:dyDescent="0.35">
      <c r="P16969" s="8"/>
    </row>
    <row r="16970" spans="16:16" x14ac:dyDescent="0.35">
      <c r="P16970" s="8"/>
    </row>
    <row r="16971" spans="16:16" x14ac:dyDescent="0.35">
      <c r="P16971" s="8"/>
    </row>
    <row r="16972" spans="16:16" x14ac:dyDescent="0.35">
      <c r="P16972" s="8"/>
    </row>
    <row r="16973" spans="16:16" x14ac:dyDescent="0.35">
      <c r="P16973" s="8"/>
    </row>
    <row r="16974" spans="16:16" x14ac:dyDescent="0.35">
      <c r="P16974" s="8"/>
    </row>
    <row r="16975" spans="16:16" x14ac:dyDescent="0.35">
      <c r="P16975" s="8"/>
    </row>
    <row r="16976" spans="16:16" x14ac:dyDescent="0.35">
      <c r="P16976" s="8"/>
    </row>
    <row r="16977" spans="16:16" x14ac:dyDescent="0.35">
      <c r="P16977" s="8"/>
    </row>
    <row r="16978" spans="16:16" x14ac:dyDescent="0.35">
      <c r="P16978" s="8"/>
    </row>
    <row r="16979" spans="16:16" x14ac:dyDescent="0.35">
      <c r="P16979" s="8"/>
    </row>
    <row r="16980" spans="16:16" x14ac:dyDescent="0.35">
      <c r="P16980" s="8"/>
    </row>
    <row r="16981" spans="16:16" x14ac:dyDescent="0.35">
      <c r="P16981" s="8"/>
    </row>
    <row r="16982" spans="16:16" x14ac:dyDescent="0.35">
      <c r="P16982" s="8"/>
    </row>
    <row r="16983" spans="16:16" x14ac:dyDescent="0.35">
      <c r="P16983" s="8"/>
    </row>
    <row r="16984" spans="16:16" x14ac:dyDescent="0.35">
      <c r="P16984" s="8"/>
    </row>
    <row r="16985" spans="16:16" x14ac:dyDescent="0.35">
      <c r="P16985" s="8"/>
    </row>
    <row r="16986" spans="16:16" x14ac:dyDescent="0.35">
      <c r="P16986" s="8"/>
    </row>
    <row r="16987" spans="16:16" x14ac:dyDescent="0.35">
      <c r="P16987" s="8"/>
    </row>
    <row r="16988" spans="16:16" x14ac:dyDescent="0.35">
      <c r="P16988" s="8"/>
    </row>
    <row r="16989" spans="16:16" x14ac:dyDescent="0.35">
      <c r="P16989" s="8"/>
    </row>
    <row r="16990" spans="16:16" x14ac:dyDescent="0.35">
      <c r="P16990" s="8"/>
    </row>
    <row r="16991" spans="16:16" x14ac:dyDescent="0.35">
      <c r="P16991" s="8"/>
    </row>
    <row r="16992" spans="16:16" x14ac:dyDescent="0.35">
      <c r="P16992" s="8"/>
    </row>
    <row r="16993" spans="16:16" x14ac:dyDescent="0.35">
      <c r="P16993" s="8"/>
    </row>
    <row r="16994" spans="16:16" x14ac:dyDescent="0.35">
      <c r="P16994" s="8"/>
    </row>
    <row r="16995" spans="16:16" x14ac:dyDescent="0.35">
      <c r="P16995" s="8"/>
    </row>
    <row r="16996" spans="16:16" x14ac:dyDescent="0.35">
      <c r="P16996" s="8"/>
    </row>
    <row r="16997" spans="16:16" x14ac:dyDescent="0.35">
      <c r="P16997" s="8"/>
    </row>
    <row r="16998" spans="16:16" x14ac:dyDescent="0.35">
      <c r="P16998" s="8"/>
    </row>
    <row r="16999" spans="16:16" x14ac:dyDescent="0.35">
      <c r="P16999" s="8"/>
    </row>
    <row r="17000" spans="16:16" x14ac:dyDescent="0.35">
      <c r="P17000" s="8"/>
    </row>
    <row r="17001" spans="16:16" x14ac:dyDescent="0.35">
      <c r="P17001" s="8"/>
    </row>
    <row r="17002" spans="16:16" x14ac:dyDescent="0.35">
      <c r="P17002" s="8"/>
    </row>
    <row r="17003" spans="16:16" x14ac:dyDescent="0.35">
      <c r="P17003" s="8"/>
    </row>
    <row r="17004" spans="16:16" x14ac:dyDescent="0.35">
      <c r="P17004" s="8"/>
    </row>
    <row r="17005" spans="16:16" x14ac:dyDescent="0.35">
      <c r="P17005" s="8"/>
    </row>
    <row r="17006" spans="16:16" x14ac:dyDescent="0.35">
      <c r="P17006" s="8"/>
    </row>
    <row r="17007" spans="16:16" x14ac:dyDescent="0.35">
      <c r="P17007" s="8"/>
    </row>
    <row r="17008" spans="16:16" x14ac:dyDescent="0.35">
      <c r="P17008" s="8"/>
    </row>
    <row r="17009" spans="16:16" x14ac:dyDescent="0.35">
      <c r="P17009" s="8"/>
    </row>
    <row r="17010" spans="16:16" x14ac:dyDescent="0.35">
      <c r="P17010" s="8"/>
    </row>
    <row r="17011" spans="16:16" x14ac:dyDescent="0.35">
      <c r="P17011" s="8"/>
    </row>
    <row r="17012" spans="16:16" x14ac:dyDescent="0.35">
      <c r="P17012" s="8"/>
    </row>
    <row r="17013" spans="16:16" x14ac:dyDescent="0.35">
      <c r="P17013" s="8"/>
    </row>
    <row r="17014" spans="16:16" x14ac:dyDescent="0.35">
      <c r="P17014" s="8"/>
    </row>
    <row r="17015" spans="16:16" x14ac:dyDescent="0.35">
      <c r="P17015" s="8"/>
    </row>
    <row r="17016" spans="16:16" x14ac:dyDescent="0.35">
      <c r="P17016" s="8"/>
    </row>
    <row r="17017" spans="16:16" x14ac:dyDescent="0.35">
      <c r="P17017" s="8"/>
    </row>
    <row r="17018" spans="16:16" x14ac:dyDescent="0.35">
      <c r="P17018" s="8"/>
    </row>
    <row r="17019" spans="16:16" x14ac:dyDescent="0.35">
      <c r="P17019" s="8"/>
    </row>
    <row r="17020" spans="16:16" x14ac:dyDescent="0.35">
      <c r="P17020" s="8"/>
    </row>
    <row r="17021" spans="16:16" x14ac:dyDescent="0.35">
      <c r="P17021" s="8"/>
    </row>
    <row r="17022" spans="16:16" x14ac:dyDescent="0.35">
      <c r="P17022" s="8"/>
    </row>
    <row r="17023" spans="16:16" x14ac:dyDescent="0.35">
      <c r="P17023" s="8"/>
    </row>
    <row r="17024" spans="16:16" x14ac:dyDescent="0.35">
      <c r="P17024" s="8"/>
    </row>
    <row r="17025" spans="16:16" x14ac:dyDescent="0.35">
      <c r="P17025" s="8"/>
    </row>
    <row r="17026" spans="16:16" x14ac:dyDescent="0.35">
      <c r="P17026" s="8"/>
    </row>
    <row r="17027" spans="16:16" x14ac:dyDescent="0.35">
      <c r="P17027" s="8"/>
    </row>
    <row r="17028" spans="16:16" x14ac:dyDescent="0.35">
      <c r="P17028" s="8"/>
    </row>
    <row r="17029" spans="16:16" x14ac:dyDescent="0.35">
      <c r="P17029" s="8"/>
    </row>
    <row r="17030" spans="16:16" x14ac:dyDescent="0.35">
      <c r="P17030" s="8"/>
    </row>
    <row r="17031" spans="16:16" x14ac:dyDescent="0.35">
      <c r="P17031" s="8"/>
    </row>
    <row r="17032" spans="16:16" x14ac:dyDescent="0.35">
      <c r="P17032" s="8"/>
    </row>
    <row r="17033" spans="16:16" x14ac:dyDescent="0.35">
      <c r="P17033" s="8"/>
    </row>
    <row r="17034" spans="16:16" x14ac:dyDescent="0.35">
      <c r="P17034" s="8"/>
    </row>
    <row r="17035" spans="16:16" x14ac:dyDescent="0.35">
      <c r="P17035" s="8"/>
    </row>
    <row r="17036" spans="16:16" x14ac:dyDescent="0.35">
      <c r="P17036" s="8"/>
    </row>
    <row r="17037" spans="16:16" x14ac:dyDescent="0.35">
      <c r="P17037" s="8"/>
    </row>
    <row r="17038" spans="16:16" x14ac:dyDescent="0.35">
      <c r="P17038" s="8"/>
    </row>
    <row r="17039" spans="16:16" x14ac:dyDescent="0.35">
      <c r="P17039" s="8"/>
    </row>
    <row r="17040" spans="16:16" x14ac:dyDescent="0.35">
      <c r="P17040" s="8"/>
    </row>
    <row r="17041" spans="16:16" x14ac:dyDescent="0.35">
      <c r="P17041" s="8"/>
    </row>
    <row r="17042" spans="16:16" x14ac:dyDescent="0.35">
      <c r="P17042" s="8"/>
    </row>
    <row r="17043" spans="16:16" x14ac:dyDescent="0.35">
      <c r="P17043" s="8"/>
    </row>
    <row r="17044" spans="16:16" x14ac:dyDescent="0.35">
      <c r="P17044" s="8"/>
    </row>
    <row r="17045" spans="16:16" x14ac:dyDescent="0.35">
      <c r="P17045" s="8"/>
    </row>
    <row r="17046" spans="16:16" x14ac:dyDescent="0.35">
      <c r="P17046" s="8"/>
    </row>
    <row r="17047" spans="16:16" x14ac:dyDescent="0.35">
      <c r="P17047" s="8"/>
    </row>
    <row r="17048" spans="16:16" x14ac:dyDescent="0.35">
      <c r="P17048" s="8"/>
    </row>
    <row r="17049" spans="16:16" x14ac:dyDescent="0.35">
      <c r="P17049" s="8"/>
    </row>
    <row r="17050" spans="16:16" x14ac:dyDescent="0.35">
      <c r="P17050" s="8"/>
    </row>
    <row r="17051" spans="16:16" x14ac:dyDescent="0.35">
      <c r="P17051" s="8"/>
    </row>
    <row r="17052" spans="16:16" x14ac:dyDescent="0.35">
      <c r="P17052" s="8"/>
    </row>
    <row r="17053" spans="16:16" x14ac:dyDescent="0.35">
      <c r="P17053" s="8"/>
    </row>
    <row r="17054" spans="16:16" x14ac:dyDescent="0.35">
      <c r="P17054" s="8"/>
    </row>
    <row r="17055" spans="16:16" x14ac:dyDescent="0.35">
      <c r="P17055" s="8"/>
    </row>
    <row r="17056" spans="16:16" x14ac:dyDescent="0.35">
      <c r="P17056" s="8"/>
    </row>
    <row r="17057" spans="16:16" x14ac:dyDescent="0.35">
      <c r="P17057" s="8"/>
    </row>
    <row r="17058" spans="16:16" x14ac:dyDescent="0.35">
      <c r="P17058" s="8"/>
    </row>
    <row r="17059" spans="16:16" x14ac:dyDescent="0.35">
      <c r="P17059" s="8"/>
    </row>
    <row r="17060" spans="16:16" x14ac:dyDescent="0.35">
      <c r="P17060" s="8"/>
    </row>
    <row r="17061" spans="16:16" x14ac:dyDescent="0.35">
      <c r="P17061" s="8"/>
    </row>
    <row r="17062" spans="16:16" x14ac:dyDescent="0.35">
      <c r="P17062" s="8"/>
    </row>
    <row r="17063" spans="16:16" x14ac:dyDescent="0.35">
      <c r="P17063" s="8"/>
    </row>
    <row r="17064" spans="16:16" x14ac:dyDescent="0.35">
      <c r="P17064" s="8"/>
    </row>
    <row r="17065" spans="16:16" x14ac:dyDescent="0.35">
      <c r="P17065" s="8"/>
    </row>
    <row r="17066" spans="16:16" x14ac:dyDescent="0.35">
      <c r="P17066" s="8"/>
    </row>
    <row r="17067" spans="16:16" x14ac:dyDescent="0.35">
      <c r="P17067" s="8"/>
    </row>
    <row r="17068" spans="16:16" x14ac:dyDescent="0.35">
      <c r="P17068" s="8"/>
    </row>
    <row r="17069" spans="16:16" x14ac:dyDescent="0.35">
      <c r="P17069" s="8"/>
    </row>
    <row r="17070" spans="16:16" x14ac:dyDescent="0.35">
      <c r="P17070" s="8"/>
    </row>
    <row r="17071" spans="16:16" x14ac:dyDescent="0.35">
      <c r="P17071" s="8"/>
    </row>
    <row r="17072" spans="16:16" x14ac:dyDescent="0.35">
      <c r="P17072" s="8"/>
    </row>
    <row r="17073" spans="16:16" x14ac:dyDescent="0.35">
      <c r="P17073" s="8"/>
    </row>
    <row r="17074" spans="16:16" x14ac:dyDescent="0.35">
      <c r="P17074" s="8"/>
    </row>
    <row r="17075" spans="16:16" x14ac:dyDescent="0.35">
      <c r="P17075" s="8"/>
    </row>
    <row r="17076" spans="16:16" x14ac:dyDescent="0.35">
      <c r="P17076" s="8"/>
    </row>
    <row r="17077" spans="16:16" x14ac:dyDescent="0.35">
      <c r="P17077" s="8"/>
    </row>
    <row r="17078" spans="16:16" x14ac:dyDescent="0.35">
      <c r="P17078" s="8"/>
    </row>
    <row r="17079" spans="16:16" x14ac:dyDescent="0.35">
      <c r="P17079" s="8"/>
    </row>
    <row r="17080" spans="16:16" x14ac:dyDescent="0.35">
      <c r="P17080" s="8"/>
    </row>
    <row r="17081" spans="16:16" x14ac:dyDescent="0.35">
      <c r="P17081" s="8"/>
    </row>
    <row r="17082" spans="16:16" x14ac:dyDescent="0.35">
      <c r="P17082" s="8"/>
    </row>
    <row r="17083" spans="16:16" x14ac:dyDescent="0.35">
      <c r="P17083" s="8"/>
    </row>
    <row r="17084" spans="16:16" x14ac:dyDescent="0.35">
      <c r="P17084" s="8"/>
    </row>
    <row r="17085" spans="16:16" x14ac:dyDescent="0.35">
      <c r="P17085" s="8"/>
    </row>
    <row r="17086" spans="16:16" x14ac:dyDescent="0.35">
      <c r="P17086" s="8"/>
    </row>
    <row r="17087" spans="16:16" x14ac:dyDescent="0.35">
      <c r="P17087" s="8"/>
    </row>
    <row r="17088" spans="16:16" x14ac:dyDescent="0.35">
      <c r="P17088" s="8"/>
    </row>
    <row r="17089" spans="16:16" x14ac:dyDescent="0.35">
      <c r="P17089" s="8"/>
    </row>
    <row r="17090" spans="16:16" x14ac:dyDescent="0.35">
      <c r="P17090" s="8"/>
    </row>
    <row r="17091" spans="16:16" x14ac:dyDescent="0.35">
      <c r="P17091" s="8"/>
    </row>
    <row r="17092" spans="16:16" x14ac:dyDescent="0.35">
      <c r="P17092" s="8"/>
    </row>
    <row r="17093" spans="16:16" x14ac:dyDescent="0.35">
      <c r="P17093" s="8"/>
    </row>
    <row r="17094" spans="16:16" x14ac:dyDescent="0.35">
      <c r="P17094" s="8"/>
    </row>
    <row r="17095" spans="16:16" x14ac:dyDescent="0.35">
      <c r="P17095" s="8"/>
    </row>
    <row r="17096" spans="16:16" x14ac:dyDescent="0.35">
      <c r="P17096" s="8"/>
    </row>
    <row r="17097" spans="16:16" x14ac:dyDescent="0.35">
      <c r="P17097" s="8"/>
    </row>
    <row r="17098" spans="16:16" x14ac:dyDescent="0.35">
      <c r="P17098" s="8"/>
    </row>
    <row r="17099" spans="16:16" x14ac:dyDescent="0.35">
      <c r="P17099" s="8"/>
    </row>
    <row r="17100" spans="16:16" x14ac:dyDescent="0.35">
      <c r="P17100" s="8"/>
    </row>
    <row r="17101" spans="16:16" x14ac:dyDescent="0.35">
      <c r="P17101" s="8"/>
    </row>
    <row r="17102" spans="16:16" x14ac:dyDescent="0.35">
      <c r="P17102" s="8"/>
    </row>
    <row r="17103" spans="16:16" x14ac:dyDescent="0.35">
      <c r="P17103" s="8"/>
    </row>
    <row r="17104" spans="16:16" x14ac:dyDescent="0.35">
      <c r="P17104" s="8"/>
    </row>
    <row r="17105" spans="16:16" x14ac:dyDescent="0.35">
      <c r="P17105" s="8"/>
    </row>
    <row r="17106" spans="16:16" x14ac:dyDescent="0.35">
      <c r="P17106" s="8"/>
    </row>
    <row r="17107" spans="16:16" x14ac:dyDescent="0.35">
      <c r="P17107" s="8"/>
    </row>
    <row r="17108" spans="16:16" x14ac:dyDescent="0.35">
      <c r="P17108" s="8"/>
    </row>
    <row r="17109" spans="16:16" x14ac:dyDescent="0.35">
      <c r="P17109" s="8"/>
    </row>
    <row r="17110" spans="16:16" x14ac:dyDescent="0.35">
      <c r="P17110" s="8"/>
    </row>
    <row r="17111" spans="16:16" x14ac:dyDescent="0.35">
      <c r="P17111" s="8"/>
    </row>
    <row r="17112" spans="16:16" x14ac:dyDescent="0.35">
      <c r="P17112" s="8"/>
    </row>
    <row r="17113" spans="16:16" x14ac:dyDescent="0.35">
      <c r="P17113" s="8"/>
    </row>
    <row r="17114" spans="16:16" x14ac:dyDescent="0.35">
      <c r="P17114" s="8"/>
    </row>
    <row r="17115" spans="16:16" x14ac:dyDescent="0.35">
      <c r="P17115" s="8"/>
    </row>
    <row r="17116" spans="16:16" x14ac:dyDescent="0.35">
      <c r="P17116" s="8"/>
    </row>
    <row r="17117" spans="16:16" x14ac:dyDescent="0.35">
      <c r="P17117" s="8"/>
    </row>
    <row r="17118" spans="16:16" x14ac:dyDescent="0.35">
      <c r="P17118" s="8"/>
    </row>
    <row r="17119" spans="16:16" x14ac:dyDescent="0.35">
      <c r="P17119" s="8"/>
    </row>
    <row r="17120" spans="16:16" x14ac:dyDescent="0.35">
      <c r="P17120" s="8"/>
    </row>
    <row r="17121" spans="16:16" x14ac:dyDescent="0.35">
      <c r="P17121" s="8"/>
    </row>
    <row r="17122" spans="16:16" x14ac:dyDescent="0.35">
      <c r="P17122" s="8"/>
    </row>
    <row r="17123" spans="16:16" x14ac:dyDescent="0.35">
      <c r="P17123" s="8"/>
    </row>
    <row r="17124" spans="16:16" x14ac:dyDescent="0.35">
      <c r="P17124" s="8"/>
    </row>
    <row r="17125" spans="16:16" x14ac:dyDescent="0.35">
      <c r="P17125" s="8"/>
    </row>
    <row r="17126" spans="16:16" x14ac:dyDescent="0.35">
      <c r="P17126" s="8"/>
    </row>
    <row r="17127" spans="16:16" x14ac:dyDescent="0.35">
      <c r="P17127" s="8"/>
    </row>
    <row r="17128" spans="16:16" x14ac:dyDescent="0.35">
      <c r="P17128" s="8"/>
    </row>
    <row r="17129" spans="16:16" x14ac:dyDescent="0.35">
      <c r="P17129" s="8"/>
    </row>
    <row r="17130" spans="16:16" x14ac:dyDescent="0.35">
      <c r="P17130" s="8"/>
    </row>
    <row r="17131" spans="16:16" x14ac:dyDescent="0.35">
      <c r="P17131" s="8"/>
    </row>
    <row r="17132" spans="16:16" x14ac:dyDescent="0.35">
      <c r="P17132" s="8"/>
    </row>
    <row r="17133" spans="16:16" x14ac:dyDescent="0.35">
      <c r="P17133" s="8"/>
    </row>
    <row r="17134" spans="16:16" x14ac:dyDescent="0.35">
      <c r="P17134" s="8"/>
    </row>
    <row r="17135" spans="16:16" x14ac:dyDescent="0.35">
      <c r="P17135" s="8"/>
    </row>
    <row r="17136" spans="16:16" x14ac:dyDescent="0.35">
      <c r="P17136" s="8"/>
    </row>
    <row r="17137" spans="16:16" x14ac:dyDescent="0.35">
      <c r="P17137" s="8"/>
    </row>
    <row r="17138" spans="16:16" x14ac:dyDescent="0.35">
      <c r="P17138" s="8"/>
    </row>
    <row r="17139" spans="16:16" x14ac:dyDescent="0.35">
      <c r="P17139" s="8"/>
    </row>
    <row r="17140" spans="16:16" x14ac:dyDescent="0.35">
      <c r="P17140" s="8"/>
    </row>
    <row r="17141" spans="16:16" x14ac:dyDescent="0.35">
      <c r="P17141" s="8"/>
    </row>
    <row r="17142" spans="16:16" x14ac:dyDescent="0.35">
      <c r="P17142" s="8"/>
    </row>
    <row r="17143" spans="16:16" x14ac:dyDescent="0.35">
      <c r="P17143" s="8"/>
    </row>
    <row r="17144" spans="16:16" x14ac:dyDescent="0.35">
      <c r="P17144" s="8"/>
    </row>
    <row r="17145" spans="16:16" x14ac:dyDescent="0.35">
      <c r="P17145" s="8"/>
    </row>
    <row r="17146" spans="16:16" x14ac:dyDescent="0.35">
      <c r="P17146" s="8"/>
    </row>
    <row r="17147" spans="16:16" x14ac:dyDescent="0.35">
      <c r="P17147" s="8"/>
    </row>
    <row r="17148" spans="16:16" x14ac:dyDescent="0.35">
      <c r="P17148" s="8"/>
    </row>
    <row r="17149" spans="16:16" x14ac:dyDescent="0.35">
      <c r="P17149" s="8"/>
    </row>
    <row r="17150" spans="16:16" x14ac:dyDescent="0.35">
      <c r="P17150" s="8"/>
    </row>
    <row r="17151" spans="16:16" x14ac:dyDescent="0.35">
      <c r="P17151" s="8"/>
    </row>
    <row r="17152" spans="16:16" x14ac:dyDescent="0.35">
      <c r="P17152" s="8"/>
    </row>
    <row r="17153" spans="16:16" x14ac:dyDescent="0.35">
      <c r="P17153" s="8"/>
    </row>
    <row r="17154" spans="16:16" x14ac:dyDescent="0.35">
      <c r="P17154" s="8"/>
    </row>
    <row r="17155" spans="16:16" x14ac:dyDescent="0.35">
      <c r="P17155" s="8"/>
    </row>
    <row r="17156" spans="16:16" x14ac:dyDescent="0.35">
      <c r="P17156" s="8"/>
    </row>
    <row r="17157" spans="16:16" x14ac:dyDescent="0.35">
      <c r="P17157" s="8"/>
    </row>
    <row r="17158" spans="16:16" x14ac:dyDescent="0.35">
      <c r="P17158" s="8"/>
    </row>
    <row r="17159" spans="16:16" x14ac:dyDescent="0.35">
      <c r="P17159" s="8"/>
    </row>
    <row r="17160" spans="16:16" x14ac:dyDescent="0.35">
      <c r="P17160" s="8"/>
    </row>
    <row r="17161" spans="16:16" x14ac:dyDescent="0.35">
      <c r="P17161" s="8"/>
    </row>
    <row r="17162" spans="16:16" x14ac:dyDescent="0.35">
      <c r="P17162" s="8"/>
    </row>
    <row r="17163" spans="16:16" x14ac:dyDescent="0.35">
      <c r="P17163" s="8"/>
    </row>
    <row r="17164" spans="16:16" x14ac:dyDescent="0.35">
      <c r="P17164" s="8"/>
    </row>
    <row r="17165" spans="16:16" x14ac:dyDescent="0.35">
      <c r="P17165" s="8"/>
    </row>
    <row r="17166" spans="16:16" x14ac:dyDescent="0.35">
      <c r="P17166" s="8"/>
    </row>
    <row r="17167" spans="16:16" x14ac:dyDescent="0.35">
      <c r="P17167" s="8"/>
    </row>
    <row r="17168" spans="16:16" x14ac:dyDescent="0.35">
      <c r="P17168" s="8"/>
    </row>
    <row r="17169" spans="16:16" x14ac:dyDescent="0.35">
      <c r="P17169" s="8"/>
    </row>
    <row r="17170" spans="16:16" x14ac:dyDescent="0.35">
      <c r="P17170" s="8"/>
    </row>
    <row r="17171" spans="16:16" x14ac:dyDescent="0.35">
      <c r="P17171" s="8"/>
    </row>
    <row r="17172" spans="16:16" x14ac:dyDescent="0.35">
      <c r="P17172" s="8"/>
    </row>
    <row r="17173" spans="16:16" x14ac:dyDescent="0.35">
      <c r="P17173" s="8"/>
    </row>
    <row r="17174" spans="16:16" x14ac:dyDescent="0.35">
      <c r="P17174" s="8"/>
    </row>
    <row r="17175" spans="16:16" x14ac:dyDescent="0.35">
      <c r="P17175" s="8"/>
    </row>
    <row r="17176" spans="16:16" x14ac:dyDescent="0.35">
      <c r="P17176" s="8"/>
    </row>
    <row r="17177" spans="16:16" x14ac:dyDescent="0.35">
      <c r="P17177" s="8"/>
    </row>
    <row r="17178" spans="16:16" x14ac:dyDescent="0.35">
      <c r="P17178" s="8"/>
    </row>
    <row r="17179" spans="16:16" x14ac:dyDescent="0.35">
      <c r="P17179" s="8"/>
    </row>
    <row r="17180" spans="16:16" x14ac:dyDescent="0.35">
      <c r="P17180" s="8"/>
    </row>
    <row r="17181" spans="16:16" x14ac:dyDescent="0.35">
      <c r="P17181" s="8"/>
    </row>
    <row r="17182" spans="16:16" x14ac:dyDescent="0.35">
      <c r="P17182" s="8"/>
    </row>
    <row r="17183" spans="16:16" x14ac:dyDescent="0.35">
      <c r="P17183" s="8"/>
    </row>
    <row r="17184" spans="16:16" x14ac:dyDescent="0.35">
      <c r="P17184" s="8"/>
    </row>
    <row r="17185" spans="16:16" x14ac:dyDescent="0.35">
      <c r="P17185" s="8"/>
    </row>
    <row r="17186" spans="16:16" x14ac:dyDescent="0.35">
      <c r="P17186" s="8"/>
    </row>
    <row r="17187" spans="16:16" x14ac:dyDescent="0.35">
      <c r="P17187" s="8"/>
    </row>
    <row r="17188" spans="16:16" x14ac:dyDescent="0.35">
      <c r="P17188" s="8"/>
    </row>
    <row r="17189" spans="16:16" x14ac:dyDescent="0.35">
      <c r="P17189" s="8"/>
    </row>
    <row r="17190" spans="16:16" x14ac:dyDescent="0.35">
      <c r="P17190" s="8"/>
    </row>
    <row r="17191" spans="16:16" x14ac:dyDescent="0.35">
      <c r="P17191" s="8"/>
    </row>
    <row r="17192" spans="16:16" x14ac:dyDescent="0.35">
      <c r="P17192" s="8"/>
    </row>
    <row r="17193" spans="16:16" x14ac:dyDescent="0.35">
      <c r="P17193" s="8"/>
    </row>
    <row r="17194" spans="16:16" x14ac:dyDescent="0.35">
      <c r="P17194" s="8"/>
    </row>
    <row r="17195" spans="16:16" x14ac:dyDescent="0.35">
      <c r="P17195" s="8"/>
    </row>
    <row r="17196" spans="16:16" x14ac:dyDescent="0.35">
      <c r="P17196" s="8"/>
    </row>
    <row r="17197" spans="16:16" x14ac:dyDescent="0.35">
      <c r="P17197" s="8"/>
    </row>
    <row r="17198" spans="16:16" x14ac:dyDescent="0.35">
      <c r="P17198" s="8"/>
    </row>
    <row r="17199" spans="16:16" x14ac:dyDescent="0.35">
      <c r="P17199" s="8"/>
    </row>
    <row r="17200" spans="16:16" x14ac:dyDescent="0.35">
      <c r="P17200" s="8"/>
    </row>
    <row r="17201" spans="16:16" x14ac:dyDescent="0.35">
      <c r="P17201" s="8"/>
    </row>
    <row r="17202" spans="16:16" x14ac:dyDescent="0.35">
      <c r="P17202" s="8"/>
    </row>
    <row r="17203" spans="16:16" x14ac:dyDescent="0.35">
      <c r="P17203" s="8"/>
    </row>
    <row r="17204" spans="16:16" x14ac:dyDescent="0.35">
      <c r="P17204" s="8"/>
    </row>
    <row r="17205" spans="16:16" x14ac:dyDescent="0.35">
      <c r="P17205" s="8"/>
    </row>
    <row r="17206" spans="16:16" x14ac:dyDescent="0.35">
      <c r="P17206" s="8"/>
    </row>
    <row r="17207" spans="16:16" x14ac:dyDescent="0.35">
      <c r="P17207" s="8"/>
    </row>
    <row r="17208" spans="16:16" x14ac:dyDescent="0.35">
      <c r="P17208" s="8"/>
    </row>
    <row r="17209" spans="16:16" x14ac:dyDescent="0.35">
      <c r="P17209" s="8"/>
    </row>
    <row r="17210" spans="16:16" x14ac:dyDescent="0.35">
      <c r="P17210" s="8"/>
    </row>
    <row r="17211" spans="16:16" x14ac:dyDescent="0.35">
      <c r="P17211" s="8"/>
    </row>
    <row r="17212" spans="16:16" x14ac:dyDescent="0.35">
      <c r="P17212" s="8"/>
    </row>
    <row r="17213" spans="16:16" x14ac:dyDescent="0.35">
      <c r="P17213" s="8"/>
    </row>
    <row r="17214" spans="16:16" x14ac:dyDescent="0.35">
      <c r="P17214" s="8"/>
    </row>
    <row r="17215" spans="16:16" x14ac:dyDescent="0.35">
      <c r="P17215" s="8"/>
    </row>
    <row r="17216" spans="16:16" x14ac:dyDescent="0.35">
      <c r="P17216" s="8"/>
    </row>
    <row r="17217" spans="16:16" x14ac:dyDescent="0.35">
      <c r="P17217" s="8"/>
    </row>
    <row r="17218" spans="16:16" x14ac:dyDescent="0.35">
      <c r="P17218" s="8"/>
    </row>
    <row r="17219" spans="16:16" x14ac:dyDescent="0.35">
      <c r="P17219" s="8"/>
    </row>
    <row r="17220" spans="16:16" x14ac:dyDescent="0.35">
      <c r="P17220" s="8"/>
    </row>
    <row r="17221" spans="16:16" x14ac:dyDescent="0.35">
      <c r="P17221" s="8"/>
    </row>
    <row r="17222" spans="16:16" x14ac:dyDescent="0.35">
      <c r="P17222" s="8"/>
    </row>
    <row r="17223" spans="16:16" x14ac:dyDescent="0.35">
      <c r="P17223" s="8"/>
    </row>
    <row r="17224" spans="16:16" x14ac:dyDescent="0.35">
      <c r="P17224" s="8"/>
    </row>
    <row r="17225" spans="16:16" x14ac:dyDescent="0.35">
      <c r="P17225" s="8"/>
    </row>
    <row r="17226" spans="16:16" x14ac:dyDescent="0.35">
      <c r="P17226" s="8"/>
    </row>
    <row r="17227" spans="16:16" x14ac:dyDescent="0.35">
      <c r="P17227" s="8"/>
    </row>
    <row r="17228" spans="16:16" x14ac:dyDescent="0.35">
      <c r="P17228" s="8"/>
    </row>
    <row r="17229" spans="16:16" x14ac:dyDescent="0.35">
      <c r="P17229" s="8"/>
    </row>
    <row r="17230" spans="16:16" x14ac:dyDescent="0.35">
      <c r="P17230" s="8"/>
    </row>
    <row r="17231" spans="16:16" x14ac:dyDescent="0.35">
      <c r="P17231" s="8"/>
    </row>
    <row r="17232" spans="16:16" x14ac:dyDescent="0.35">
      <c r="P17232" s="8"/>
    </row>
    <row r="17233" spans="16:16" x14ac:dyDescent="0.35">
      <c r="P17233" s="8"/>
    </row>
    <row r="17234" spans="16:16" x14ac:dyDescent="0.35">
      <c r="P17234" s="8"/>
    </row>
    <row r="17235" spans="16:16" x14ac:dyDescent="0.35">
      <c r="P17235" s="8"/>
    </row>
    <row r="17236" spans="16:16" x14ac:dyDescent="0.35">
      <c r="P17236" s="8"/>
    </row>
    <row r="17237" spans="16:16" x14ac:dyDescent="0.35">
      <c r="P17237" s="8"/>
    </row>
    <row r="17238" spans="16:16" x14ac:dyDescent="0.35">
      <c r="P17238" s="8"/>
    </row>
    <row r="17239" spans="16:16" x14ac:dyDescent="0.35">
      <c r="P17239" s="8"/>
    </row>
    <row r="17240" spans="16:16" x14ac:dyDescent="0.35">
      <c r="P17240" s="8"/>
    </row>
    <row r="17241" spans="16:16" x14ac:dyDescent="0.35">
      <c r="P17241" s="8"/>
    </row>
    <row r="17242" spans="16:16" x14ac:dyDescent="0.35">
      <c r="P17242" s="8"/>
    </row>
    <row r="17243" spans="16:16" x14ac:dyDescent="0.35">
      <c r="P17243" s="8"/>
    </row>
    <row r="17244" spans="16:16" x14ac:dyDescent="0.35">
      <c r="P17244" s="8"/>
    </row>
    <row r="17245" spans="16:16" x14ac:dyDescent="0.35">
      <c r="P17245" s="8"/>
    </row>
    <row r="17246" spans="16:16" x14ac:dyDescent="0.35">
      <c r="P17246" s="8"/>
    </row>
    <row r="17247" spans="16:16" x14ac:dyDescent="0.35">
      <c r="P17247" s="8"/>
    </row>
    <row r="17248" spans="16:16" x14ac:dyDescent="0.35">
      <c r="P17248" s="8"/>
    </row>
    <row r="17249" spans="16:16" x14ac:dyDescent="0.35">
      <c r="P17249" s="8"/>
    </row>
    <row r="17250" spans="16:16" x14ac:dyDescent="0.35">
      <c r="P17250" s="8"/>
    </row>
    <row r="17251" spans="16:16" x14ac:dyDescent="0.35">
      <c r="P17251" s="8"/>
    </row>
    <row r="17252" spans="16:16" x14ac:dyDescent="0.35">
      <c r="P17252" s="8"/>
    </row>
    <row r="17253" spans="16:16" x14ac:dyDescent="0.35">
      <c r="P17253" s="8"/>
    </row>
    <row r="17254" spans="16:16" x14ac:dyDescent="0.35">
      <c r="P17254" s="8"/>
    </row>
    <row r="17255" spans="16:16" x14ac:dyDescent="0.35">
      <c r="P17255" s="8"/>
    </row>
    <row r="17256" spans="16:16" x14ac:dyDescent="0.35">
      <c r="P17256" s="8"/>
    </row>
    <row r="17257" spans="16:16" x14ac:dyDescent="0.35">
      <c r="P17257" s="8"/>
    </row>
    <row r="17258" spans="16:16" x14ac:dyDescent="0.35">
      <c r="P17258" s="8"/>
    </row>
    <row r="17259" spans="16:16" x14ac:dyDescent="0.35">
      <c r="P17259" s="8"/>
    </row>
    <row r="17260" spans="16:16" x14ac:dyDescent="0.35">
      <c r="P17260" s="8"/>
    </row>
    <row r="17261" spans="16:16" x14ac:dyDescent="0.35">
      <c r="P17261" s="8"/>
    </row>
    <row r="17262" spans="16:16" x14ac:dyDescent="0.35">
      <c r="P17262" s="8"/>
    </row>
    <row r="17263" spans="16:16" x14ac:dyDescent="0.35">
      <c r="P17263" s="8"/>
    </row>
    <row r="17264" spans="16:16" x14ac:dyDescent="0.35">
      <c r="P17264" s="8"/>
    </row>
    <row r="17265" spans="16:16" x14ac:dyDescent="0.35">
      <c r="P17265" s="8"/>
    </row>
    <row r="17266" spans="16:16" x14ac:dyDescent="0.35">
      <c r="P17266" s="8"/>
    </row>
    <row r="17267" spans="16:16" x14ac:dyDescent="0.35">
      <c r="P17267" s="8"/>
    </row>
    <row r="17268" spans="16:16" x14ac:dyDescent="0.35">
      <c r="P17268" s="8"/>
    </row>
    <row r="17269" spans="16:16" x14ac:dyDescent="0.35">
      <c r="P17269" s="8"/>
    </row>
    <row r="17270" spans="16:16" x14ac:dyDescent="0.35">
      <c r="P17270" s="8"/>
    </row>
    <row r="17271" spans="16:16" x14ac:dyDescent="0.35">
      <c r="P17271" s="8"/>
    </row>
    <row r="17272" spans="16:16" x14ac:dyDescent="0.35">
      <c r="P17272" s="8"/>
    </row>
    <row r="17273" spans="16:16" x14ac:dyDescent="0.35">
      <c r="P17273" s="8"/>
    </row>
    <row r="17274" spans="16:16" x14ac:dyDescent="0.35">
      <c r="P17274" s="8"/>
    </row>
    <row r="17275" spans="16:16" x14ac:dyDescent="0.35">
      <c r="P17275" s="8"/>
    </row>
    <row r="17276" spans="16:16" x14ac:dyDescent="0.35">
      <c r="P17276" s="8"/>
    </row>
    <row r="17277" spans="16:16" x14ac:dyDescent="0.35">
      <c r="P17277" s="8"/>
    </row>
    <row r="17278" spans="16:16" x14ac:dyDescent="0.35">
      <c r="P17278" s="8"/>
    </row>
    <row r="17279" spans="16:16" x14ac:dyDescent="0.35">
      <c r="P17279" s="8"/>
    </row>
    <row r="17280" spans="16:16" x14ac:dyDescent="0.35">
      <c r="P17280" s="8"/>
    </row>
    <row r="17281" spans="16:16" x14ac:dyDescent="0.35">
      <c r="P17281" s="8"/>
    </row>
    <row r="17282" spans="16:16" x14ac:dyDescent="0.35">
      <c r="P17282" s="8"/>
    </row>
    <row r="17283" spans="16:16" x14ac:dyDescent="0.35">
      <c r="P17283" s="8"/>
    </row>
    <row r="17284" spans="16:16" x14ac:dyDescent="0.35">
      <c r="P17284" s="8"/>
    </row>
    <row r="17285" spans="16:16" x14ac:dyDescent="0.35">
      <c r="P17285" s="8"/>
    </row>
    <row r="17286" spans="16:16" x14ac:dyDescent="0.35">
      <c r="P17286" s="8"/>
    </row>
    <row r="17287" spans="16:16" x14ac:dyDescent="0.35">
      <c r="P17287" s="8"/>
    </row>
    <row r="17288" spans="16:16" x14ac:dyDescent="0.35">
      <c r="P17288" s="8"/>
    </row>
    <row r="17289" spans="16:16" x14ac:dyDescent="0.35">
      <c r="P17289" s="8"/>
    </row>
    <row r="17290" spans="16:16" x14ac:dyDescent="0.35">
      <c r="P17290" s="8"/>
    </row>
    <row r="17291" spans="16:16" x14ac:dyDescent="0.35">
      <c r="P17291" s="8"/>
    </row>
    <row r="17292" spans="16:16" x14ac:dyDescent="0.35">
      <c r="P17292" s="8"/>
    </row>
    <row r="17293" spans="16:16" x14ac:dyDescent="0.35">
      <c r="P17293" s="8"/>
    </row>
    <row r="17294" spans="16:16" x14ac:dyDescent="0.35">
      <c r="P17294" s="8"/>
    </row>
    <row r="17295" spans="16:16" x14ac:dyDescent="0.35">
      <c r="P17295" s="8"/>
    </row>
    <row r="17296" spans="16:16" x14ac:dyDescent="0.35">
      <c r="P17296" s="8"/>
    </row>
    <row r="17297" spans="16:16" x14ac:dyDescent="0.35">
      <c r="P17297" s="8"/>
    </row>
    <row r="17298" spans="16:16" x14ac:dyDescent="0.35">
      <c r="P17298" s="8"/>
    </row>
    <row r="17299" spans="16:16" x14ac:dyDescent="0.35">
      <c r="P17299" s="8"/>
    </row>
    <row r="17300" spans="16:16" x14ac:dyDescent="0.35">
      <c r="P17300" s="8"/>
    </row>
    <row r="17301" spans="16:16" x14ac:dyDescent="0.35">
      <c r="P17301" s="8"/>
    </row>
    <row r="17302" spans="16:16" x14ac:dyDescent="0.35">
      <c r="P17302" s="8"/>
    </row>
    <row r="17303" spans="16:16" x14ac:dyDescent="0.35">
      <c r="P17303" s="8"/>
    </row>
    <row r="17304" spans="16:16" x14ac:dyDescent="0.35">
      <c r="P17304" s="8"/>
    </row>
    <row r="17305" spans="16:16" x14ac:dyDescent="0.35">
      <c r="P17305" s="8"/>
    </row>
    <row r="17306" spans="16:16" x14ac:dyDescent="0.35">
      <c r="P17306" s="8"/>
    </row>
    <row r="17307" spans="16:16" x14ac:dyDescent="0.35">
      <c r="P17307" s="8"/>
    </row>
    <row r="17308" spans="16:16" x14ac:dyDescent="0.35">
      <c r="P17308" s="8"/>
    </row>
    <row r="17309" spans="16:16" x14ac:dyDescent="0.35">
      <c r="P17309" s="8"/>
    </row>
    <row r="17310" spans="16:16" x14ac:dyDescent="0.35">
      <c r="P17310" s="8"/>
    </row>
    <row r="17311" spans="16:16" x14ac:dyDescent="0.35">
      <c r="P17311" s="8"/>
    </row>
    <row r="17312" spans="16:16" x14ac:dyDescent="0.35">
      <c r="P17312" s="8"/>
    </row>
    <row r="17313" spans="16:16" x14ac:dyDescent="0.35">
      <c r="P17313" s="8"/>
    </row>
    <row r="17314" spans="16:16" x14ac:dyDescent="0.35">
      <c r="P17314" s="8"/>
    </row>
    <row r="17315" spans="16:16" x14ac:dyDescent="0.35">
      <c r="P17315" s="8"/>
    </row>
    <row r="17316" spans="16:16" x14ac:dyDescent="0.35">
      <c r="P17316" s="8"/>
    </row>
    <row r="17317" spans="16:16" x14ac:dyDescent="0.35">
      <c r="P17317" s="8"/>
    </row>
    <row r="17318" spans="16:16" x14ac:dyDescent="0.35">
      <c r="P17318" s="8"/>
    </row>
    <row r="17319" spans="16:16" x14ac:dyDescent="0.35">
      <c r="P17319" s="8"/>
    </row>
    <row r="17320" spans="16:16" x14ac:dyDescent="0.35">
      <c r="P17320" s="8"/>
    </row>
    <row r="17321" spans="16:16" x14ac:dyDescent="0.35">
      <c r="P17321" s="8"/>
    </row>
    <row r="17322" spans="16:16" x14ac:dyDescent="0.35">
      <c r="P17322" s="8"/>
    </row>
    <row r="17323" spans="16:16" x14ac:dyDescent="0.35">
      <c r="P17323" s="8"/>
    </row>
    <row r="17324" spans="16:16" x14ac:dyDescent="0.35">
      <c r="P17324" s="8"/>
    </row>
    <row r="17325" spans="16:16" x14ac:dyDescent="0.35">
      <c r="P17325" s="8"/>
    </row>
    <row r="17326" spans="16:16" x14ac:dyDescent="0.35">
      <c r="P17326" s="8"/>
    </row>
    <row r="17327" spans="16:16" x14ac:dyDescent="0.35">
      <c r="P17327" s="8"/>
    </row>
    <row r="17328" spans="16:16" x14ac:dyDescent="0.35">
      <c r="P17328" s="8"/>
    </row>
    <row r="17329" spans="16:16" x14ac:dyDescent="0.35">
      <c r="P17329" s="8"/>
    </row>
    <row r="17330" spans="16:16" x14ac:dyDescent="0.35">
      <c r="P17330" s="8"/>
    </row>
    <row r="17331" spans="16:16" x14ac:dyDescent="0.35">
      <c r="P17331" s="8"/>
    </row>
    <row r="17332" spans="16:16" x14ac:dyDescent="0.35">
      <c r="P17332" s="8"/>
    </row>
    <row r="17333" spans="16:16" x14ac:dyDescent="0.35">
      <c r="P17333" s="8"/>
    </row>
    <row r="17334" spans="16:16" x14ac:dyDescent="0.35">
      <c r="P17334" s="8"/>
    </row>
    <row r="17335" spans="16:16" x14ac:dyDescent="0.35">
      <c r="P17335" s="8"/>
    </row>
    <row r="17336" spans="16:16" x14ac:dyDescent="0.35">
      <c r="P17336" s="8"/>
    </row>
    <row r="17337" spans="16:16" x14ac:dyDescent="0.35">
      <c r="P17337" s="8"/>
    </row>
    <row r="17338" spans="16:16" x14ac:dyDescent="0.35">
      <c r="P17338" s="8"/>
    </row>
    <row r="17339" spans="16:16" x14ac:dyDescent="0.35">
      <c r="P17339" s="8"/>
    </row>
    <row r="17340" spans="16:16" x14ac:dyDescent="0.35">
      <c r="P17340" s="8"/>
    </row>
    <row r="17341" spans="16:16" x14ac:dyDescent="0.35">
      <c r="P17341" s="8"/>
    </row>
    <row r="17342" spans="16:16" x14ac:dyDescent="0.35">
      <c r="P17342" s="8"/>
    </row>
    <row r="17343" spans="16:16" x14ac:dyDescent="0.35">
      <c r="P17343" s="8"/>
    </row>
    <row r="17344" spans="16:16" x14ac:dyDescent="0.35">
      <c r="P17344" s="8"/>
    </row>
    <row r="17345" spans="16:16" x14ac:dyDescent="0.35">
      <c r="P17345" s="8"/>
    </row>
    <row r="17346" spans="16:16" x14ac:dyDescent="0.35">
      <c r="P17346" s="8"/>
    </row>
    <row r="17347" spans="16:16" x14ac:dyDescent="0.35">
      <c r="P17347" s="8"/>
    </row>
    <row r="17348" spans="16:16" x14ac:dyDescent="0.35">
      <c r="P17348" s="8"/>
    </row>
    <row r="17349" spans="16:16" x14ac:dyDescent="0.35">
      <c r="P17349" s="8"/>
    </row>
    <row r="17350" spans="16:16" x14ac:dyDescent="0.35">
      <c r="P17350" s="8"/>
    </row>
    <row r="17351" spans="16:16" x14ac:dyDescent="0.35">
      <c r="P17351" s="8"/>
    </row>
    <row r="17352" spans="16:16" x14ac:dyDescent="0.35">
      <c r="P17352" s="8"/>
    </row>
    <row r="17353" spans="16:16" x14ac:dyDescent="0.35">
      <c r="P17353" s="8"/>
    </row>
    <row r="17354" spans="16:16" x14ac:dyDescent="0.35">
      <c r="P17354" s="8"/>
    </row>
    <row r="17355" spans="16:16" x14ac:dyDescent="0.35">
      <c r="P17355" s="8"/>
    </row>
    <row r="17356" spans="16:16" x14ac:dyDescent="0.35">
      <c r="P17356" s="8"/>
    </row>
    <row r="17357" spans="16:16" x14ac:dyDescent="0.35">
      <c r="P17357" s="8"/>
    </row>
    <row r="17358" spans="16:16" x14ac:dyDescent="0.35">
      <c r="P17358" s="8"/>
    </row>
    <row r="17359" spans="16:16" x14ac:dyDescent="0.35">
      <c r="P17359" s="8"/>
    </row>
    <row r="17360" spans="16:16" x14ac:dyDescent="0.35">
      <c r="P17360" s="8"/>
    </row>
    <row r="17361" spans="16:16" x14ac:dyDescent="0.35">
      <c r="P17361" s="8"/>
    </row>
    <row r="17362" spans="16:16" x14ac:dyDescent="0.35">
      <c r="P17362" s="8"/>
    </row>
    <row r="17363" spans="16:16" x14ac:dyDescent="0.35">
      <c r="P17363" s="8"/>
    </row>
    <row r="17364" spans="16:16" x14ac:dyDescent="0.35">
      <c r="P17364" s="8"/>
    </row>
    <row r="17365" spans="16:16" x14ac:dyDescent="0.35">
      <c r="P17365" s="8"/>
    </row>
    <row r="17366" spans="16:16" x14ac:dyDescent="0.35">
      <c r="P17366" s="8"/>
    </row>
    <row r="17367" spans="16:16" x14ac:dyDescent="0.35">
      <c r="P17367" s="8"/>
    </row>
    <row r="17368" spans="16:16" x14ac:dyDescent="0.35">
      <c r="P17368" s="8"/>
    </row>
    <row r="17369" spans="16:16" x14ac:dyDescent="0.35">
      <c r="P17369" s="8"/>
    </row>
    <row r="17370" spans="16:16" x14ac:dyDescent="0.35">
      <c r="P17370" s="8"/>
    </row>
    <row r="17371" spans="16:16" x14ac:dyDescent="0.35">
      <c r="P17371" s="8"/>
    </row>
    <row r="17372" spans="16:16" x14ac:dyDescent="0.35">
      <c r="P17372" s="8"/>
    </row>
    <row r="17373" spans="16:16" x14ac:dyDescent="0.35">
      <c r="P17373" s="8"/>
    </row>
    <row r="17374" spans="16:16" x14ac:dyDescent="0.35">
      <c r="P17374" s="8"/>
    </row>
    <row r="17375" spans="16:16" x14ac:dyDescent="0.35">
      <c r="P17375" s="8"/>
    </row>
    <row r="17376" spans="16:16" x14ac:dyDescent="0.35">
      <c r="P17376" s="8"/>
    </row>
    <row r="17377" spans="16:16" x14ac:dyDescent="0.35">
      <c r="P17377" s="8"/>
    </row>
    <row r="17378" spans="16:16" x14ac:dyDescent="0.35">
      <c r="P17378" s="8"/>
    </row>
    <row r="17379" spans="16:16" x14ac:dyDescent="0.35">
      <c r="P17379" s="8"/>
    </row>
    <row r="17380" spans="16:16" x14ac:dyDescent="0.35">
      <c r="P17380" s="8"/>
    </row>
    <row r="17381" spans="16:16" x14ac:dyDescent="0.35">
      <c r="P17381" s="8"/>
    </row>
    <row r="17382" spans="16:16" x14ac:dyDescent="0.35">
      <c r="P17382" s="8"/>
    </row>
    <row r="17383" spans="16:16" x14ac:dyDescent="0.35">
      <c r="P17383" s="8"/>
    </row>
    <row r="17384" spans="16:16" x14ac:dyDescent="0.35">
      <c r="P17384" s="8"/>
    </row>
    <row r="17385" spans="16:16" x14ac:dyDescent="0.35">
      <c r="P17385" s="8"/>
    </row>
    <row r="17386" spans="16:16" x14ac:dyDescent="0.35">
      <c r="P17386" s="8"/>
    </row>
    <row r="17387" spans="16:16" x14ac:dyDescent="0.35">
      <c r="P17387" s="8"/>
    </row>
    <row r="17388" spans="16:16" x14ac:dyDescent="0.35">
      <c r="P17388" s="8"/>
    </row>
    <row r="17389" spans="16:16" x14ac:dyDescent="0.35">
      <c r="P17389" s="8"/>
    </row>
    <row r="17390" spans="16:16" x14ac:dyDescent="0.35">
      <c r="P17390" s="8"/>
    </row>
    <row r="17391" spans="16:16" x14ac:dyDescent="0.35">
      <c r="P17391" s="8"/>
    </row>
    <row r="17392" spans="16:16" x14ac:dyDescent="0.35">
      <c r="P17392" s="8"/>
    </row>
    <row r="17393" spans="16:16" x14ac:dyDescent="0.35">
      <c r="P17393" s="8"/>
    </row>
    <row r="17394" spans="16:16" x14ac:dyDescent="0.35">
      <c r="P17394" s="8"/>
    </row>
    <row r="17395" spans="16:16" x14ac:dyDescent="0.35">
      <c r="P17395" s="8"/>
    </row>
    <row r="17396" spans="16:16" x14ac:dyDescent="0.35">
      <c r="P17396" s="8"/>
    </row>
    <row r="17397" spans="16:16" x14ac:dyDescent="0.35">
      <c r="P17397" s="8"/>
    </row>
    <row r="17398" spans="16:16" x14ac:dyDescent="0.35">
      <c r="P17398" s="8"/>
    </row>
    <row r="17399" spans="16:16" x14ac:dyDescent="0.35">
      <c r="P17399" s="8"/>
    </row>
    <row r="17400" spans="16:16" x14ac:dyDescent="0.35">
      <c r="P17400" s="8"/>
    </row>
    <row r="17401" spans="16:16" x14ac:dyDescent="0.35">
      <c r="P17401" s="8"/>
    </row>
    <row r="17402" spans="16:16" x14ac:dyDescent="0.35">
      <c r="P17402" s="8"/>
    </row>
    <row r="17403" spans="16:16" x14ac:dyDescent="0.35">
      <c r="P17403" s="8"/>
    </row>
    <row r="17404" spans="16:16" x14ac:dyDescent="0.35">
      <c r="P17404" s="8"/>
    </row>
    <row r="17405" spans="16:16" x14ac:dyDescent="0.35">
      <c r="P17405" s="8"/>
    </row>
    <row r="17406" spans="16:16" x14ac:dyDescent="0.35">
      <c r="P17406" s="8"/>
    </row>
    <row r="17407" spans="16:16" x14ac:dyDescent="0.35">
      <c r="P17407" s="8"/>
    </row>
    <row r="17408" spans="16:16" x14ac:dyDescent="0.35">
      <c r="P17408" s="8"/>
    </row>
    <row r="17409" spans="16:16" x14ac:dyDescent="0.35">
      <c r="P17409" s="8"/>
    </row>
    <row r="17410" spans="16:16" x14ac:dyDescent="0.35">
      <c r="P17410" s="8"/>
    </row>
    <row r="17411" spans="16:16" x14ac:dyDescent="0.35">
      <c r="P17411" s="8"/>
    </row>
    <row r="17412" spans="16:16" x14ac:dyDescent="0.35">
      <c r="P17412" s="8"/>
    </row>
    <row r="17413" spans="16:16" x14ac:dyDescent="0.35">
      <c r="P17413" s="8"/>
    </row>
    <row r="17414" spans="16:16" x14ac:dyDescent="0.35">
      <c r="P17414" s="8"/>
    </row>
    <row r="17415" spans="16:16" x14ac:dyDescent="0.35">
      <c r="P17415" s="8"/>
    </row>
    <row r="17416" spans="16:16" x14ac:dyDescent="0.35">
      <c r="P17416" s="8"/>
    </row>
    <row r="17417" spans="16:16" x14ac:dyDescent="0.35">
      <c r="P17417" s="8"/>
    </row>
    <row r="17418" spans="16:16" x14ac:dyDescent="0.35">
      <c r="P17418" s="8"/>
    </row>
    <row r="17419" spans="16:16" x14ac:dyDescent="0.35">
      <c r="P17419" s="8"/>
    </row>
    <row r="17420" spans="16:16" x14ac:dyDescent="0.35">
      <c r="P17420" s="8"/>
    </row>
    <row r="17421" spans="16:16" x14ac:dyDescent="0.35">
      <c r="P17421" s="8"/>
    </row>
    <row r="17422" spans="16:16" x14ac:dyDescent="0.35">
      <c r="P17422" s="8"/>
    </row>
    <row r="17423" spans="16:16" x14ac:dyDescent="0.35">
      <c r="P17423" s="8"/>
    </row>
    <row r="17424" spans="16:16" x14ac:dyDescent="0.35">
      <c r="P17424" s="8"/>
    </row>
    <row r="17425" spans="16:16" x14ac:dyDescent="0.35">
      <c r="P17425" s="8"/>
    </row>
    <row r="17426" spans="16:16" x14ac:dyDescent="0.35">
      <c r="P17426" s="8"/>
    </row>
    <row r="17427" spans="16:16" x14ac:dyDescent="0.35">
      <c r="P17427" s="8"/>
    </row>
    <row r="17428" spans="16:16" x14ac:dyDescent="0.35">
      <c r="P17428" s="8"/>
    </row>
    <row r="17429" spans="16:16" x14ac:dyDescent="0.35">
      <c r="P17429" s="8"/>
    </row>
    <row r="17430" spans="16:16" x14ac:dyDescent="0.35">
      <c r="P17430" s="8"/>
    </row>
    <row r="17431" spans="16:16" x14ac:dyDescent="0.35">
      <c r="P17431" s="8"/>
    </row>
    <row r="17432" spans="16:16" x14ac:dyDescent="0.35">
      <c r="P17432" s="8"/>
    </row>
    <row r="17433" spans="16:16" x14ac:dyDescent="0.35">
      <c r="P17433" s="8"/>
    </row>
    <row r="17434" spans="16:16" x14ac:dyDescent="0.35">
      <c r="P17434" s="8"/>
    </row>
    <row r="17435" spans="16:16" x14ac:dyDescent="0.35">
      <c r="P17435" s="8"/>
    </row>
    <row r="17436" spans="16:16" x14ac:dyDescent="0.35">
      <c r="P17436" s="8"/>
    </row>
    <row r="17437" spans="16:16" x14ac:dyDescent="0.35">
      <c r="P17437" s="8"/>
    </row>
    <row r="17438" spans="16:16" x14ac:dyDescent="0.35">
      <c r="P17438" s="8"/>
    </row>
    <row r="17439" spans="16:16" x14ac:dyDescent="0.35">
      <c r="P17439" s="8"/>
    </row>
    <row r="17440" spans="16:16" x14ac:dyDescent="0.35">
      <c r="P17440" s="8"/>
    </row>
    <row r="17441" spans="16:16" x14ac:dyDescent="0.35">
      <c r="P17441" s="8"/>
    </row>
    <row r="17442" spans="16:16" x14ac:dyDescent="0.35">
      <c r="P17442" s="8"/>
    </row>
    <row r="17443" spans="16:16" x14ac:dyDescent="0.35">
      <c r="P17443" s="8"/>
    </row>
    <row r="17444" spans="16:16" x14ac:dyDescent="0.35">
      <c r="P17444" s="8"/>
    </row>
    <row r="17445" spans="16:16" x14ac:dyDescent="0.35">
      <c r="P17445" s="8"/>
    </row>
    <row r="17446" spans="16:16" x14ac:dyDescent="0.35">
      <c r="P17446" s="8"/>
    </row>
    <row r="17447" spans="16:16" x14ac:dyDescent="0.35">
      <c r="P17447" s="8"/>
    </row>
    <row r="17448" spans="16:16" x14ac:dyDescent="0.35">
      <c r="P17448" s="8"/>
    </row>
    <row r="17449" spans="16:16" x14ac:dyDescent="0.35">
      <c r="P17449" s="8"/>
    </row>
    <row r="17450" spans="16:16" x14ac:dyDescent="0.35">
      <c r="P17450" s="8"/>
    </row>
    <row r="17451" spans="16:16" x14ac:dyDescent="0.35">
      <c r="P17451" s="8"/>
    </row>
    <row r="17452" spans="16:16" x14ac:dyDescent="0.35">
      <c r="P17452" s="8"/>
    </row>
    <row r="17453" spans="16:16" x14ac:dyDescent="0.35">
      <c r="P17453" s="8"/>
    </row>
    <row r="17454" spans="16:16" x14ac:dyDescent="0.35">
      <c r="P17454" s="8"/>
    </row>
    <row r="17455" spans="16:16" x14ac:dyDescent="0.35">
      <c r="P17455" s="8"/>
    </row>
    <row r="17456" spans="16:16" x14ac:dyDescent="0.35">
      <c r="P17456" s="8"/>
    </row>
    <row r="17457" spans="16:16" x14ac:dyDescent="0.35">
      <c r="P17457" s="8"/>
    </row>
    <row r="17458" spans="16:16" x14ac:dyDescent="0.35">
      <c r="P17458" s="8"/>
    </row>
    <row r="17459" spans="16:16" x14ac:dyDescent="0.35">
      <c r="P17459" s="8"/>
    </row>
    <row r="17460" spans="16:16" x14ac:dyDescent="0.35">
      <c r="P17460" s="8"/>
    </row>
    <row r="17461" spans="16:16" x14ac:dyDescent="0.35">
      <c r="P17461" s="8"/>
    </row>
    <row r="17462" spans="16:16" x14ac:dyDescent="0.35">
      <c r="P17462" s="8"/>
    </row>
    <row r="17463" spans="16:16" x14ac:dyDescent="0.35">
      <c r="P17463" s="8"/>
    </row>
    <row r="17464" spans="16:16" x14ac:dyDescent="0.35">
      <c r="P17464" s="8"/>
    </row>
    <row r="17465" spans="16:16" x14ac:dyDescent="0.35">
      <c r="P17465" s="8"/>
    </row>
    <row r="17466" spans="16:16" x14ac:dyDescent="0.35">
      <c r="P17466" s="8"/>
    </row>
    <row r="17467" spans="16:16" x14ac:dyDescent="0.35">
      <c r="P17467" s="8"/>
    </row>
    <row r="17468" spans="16:16" x14ac:dyDescent="0.35">
      <c r="P17468" s="8"/>
    </row>
    <row r="17469" spans="16:16" x14ac:dyDescent="0.35">
      <c r="P17469" s="8"/>
    </row>
    <row r="17470" spans="16:16" x14ac:dyDescent="0.35">
      <c r="P17470" s="8"/>
    </row>
    <row r="17471" spans="16:16" x14ac:dyDescent="0.35">
      <c r="P17471" s="8"/>
    </row>
    <row r="17472" spans="16:16" x14ac:dyDescent="0.35">
      <c r="P17472" s="8"/>
    </row>
    <row r="17473" spans="16:16" x14ac:dyDescent="0.35">
      <c r="P17473" s="8"/>
    </row>
    <row r="17474" spans="16:16" x14ac:dyDescent="0.35">
      <c r="P17474" s="8"/>
    </row>
    <row r="17475" spans="16:16" x14ac:dyDescent="0.35">
      <c r="P17475" s="8"/>
    </row>
    <row r="17476" spans="16:16" x14ac:dyDescent="0.35">
      <c r="P17476" s="8"/>
    </row>
    <row r="17477" spans="16:16" x14ac:dyDescent="0.35">
      <c r="P17477" s="8"/>
    </row>
    <row r="17478" spans="16:16" x14ac:dyDescent="0.35">
      <c r="P17478" s="8"/>
    </row>
    <row r="17479" spans="16:16" x14ac:dyDescent="0.35">
      <c r="P17479" s="8"/>
    </row>
    <row r="17480" spans="16:16" x14ac:dyDescent="0.35">
      <c r="P17480" s="8"/>
    </row>
    <row r="17481" spans="16:16" x14ac:dyDescent="0.35">
      <c r="P17481" s="8"/>
    </row>
    <row r="17482" spans="16:16" x14ac:dyDescent="0.35">
      <c r="P17482" s="8"/>
    </row>
    <row r="17483" spans="16:16" x14ac:dyDescent="0.35">
      <c r="P17483" s="8"/>
    </row>
    <row r="17484" spans="16:16" x14ac:dyDescent="0.35">
      <c r="P17484" s="8"/>
    </row>
    <row r="17485" spans="16:16" x14ac:dyDescent="0.35">
      <c r="P17485" s="8"/>
    </row>
    <row r="17486" spans="16:16" x14ac:dyDescent="0.35">
      <c r="P17486" s="8"/>
    </row>
    <row r="17487" spans="16:16" x14ac:dyDescent="0.35">
      <c r="P17487" s="8"/>
    </row>
    <row r="17488" spans="16:16" x14ac:dyDescent="0.35">
      <c r="P17488" s="8"/>
    </row>
    <row r="17489" spans="16:16" x14ac:dyDescent="0.35">
      <c r="P17489" s="8"/>
    </row>
    <row r="17490" spans="16:16" x14ac:dyDescent="0.35">
      <c r="P17490" s="8"/>
    </row>
    <row r="17491" spans="16:16" x14ac:dyDescent="0.35">
      <c r="P17491" s="8"/>
    </row>
    <row r="17492" spans="16:16" x14ac:dyDescent="0.35">
      <c r="P17492" s="8"/>
    </row>
    <row r="17493" spans="16:16" x14ac:dyDescent="0.35">
      <c r="P17493" s="8"/>
    </row>
    <row r="17494" spans="16:16" x14ac:dyDescent="0.35">
      <c r="P17494" s="8"/>
    </row>
    <row r="17495" spans="16:16" x14ac:dyDescent="0.35">
      <c r="P17495" s="8"/>
    </row>
    <row r="17496" spans="16:16" x14ac:dyDescent="0.35">
      <c r="P17496" s="8"/>
    </row>
    <row r="17497" spans="16:16" x14ac:dyDescent="0.35">
      <c r="P17497" s="8"/>
    </row>
    <row r="17498" spans="16:16" x14ac:dyDescent="0.35">
      <c r="P17498" s="8"/>
    </row>
    <row r="17499" spans="16:16" x14ac:dyDescent="0.35">
      <c r="P17499" s="8"/>
    </row>
    <row r="17500" spans="16:16" x14ac:dyDescent="0.35">
      <c r="P17500" s="8"/>
    </row>
    <row r="17501" spans="16:16" x14ac:dyDescent="0.35">
      <c r="P17501" s="8"/>
    </row>
    <row r="17502" spans="16:16" x14ac:dyDescent="0.35">
      <c r="P17502" s="8"/>
    </row>
    <row r="17503" spans="16:16" x14ac:dyDescent="0.35">
      <c r="P17503" s="8"/>
    </row>
    <row r="17504" spans="16:16" x14ac:dyDescent="0.35">
      <c r="P17504" s="8"/>
    </row>
    <row r="17505" spans="16:16" x14ac:dyDescent="0.35">
      <c r="P17505" s="8"/>
    </row>
    <row r="17506" spans="16:16" x14ac:dyDescent="0.35">
      <c r="P17506" s="8"/>
    </row>
    <row r="17507" spans="16:16" x14ac:dyDescent="0.35">
      <c r="P17507" s="8"/>
    </row>
    <row r="17508" spans="16:16" x14ac:dyDescent="0.35">
      <c r="P17508" s="8"/>
    </row>
    <row r="17509" spans="16:16" x14ac:dyDescent="0.35">
      <c r="P17509" s="8"/>
    </row>
    <row r="17510" spans="16:16" x14ac:dyDescent="0.35">
      <c r="P17510" s="8"/>
    </row>
    <row r="17511" spans="16:16" x14ac:dyDescent="0.35">
      <c r="P17511" s="8"/>
    </row>
    <row r="17512" spans="16:16" x14ac:dyDescent="0.35">
      <c r="P17512" s="8"/>
    </row>
    <row r="17513" spans="16:16" x14ac:dyDescent="0.35">
      <c r="P17513" s="8"/>
    </row>
    <row r="17514" spans="16:16" x14ac:dyDescent="0.35">
      <c r="P17514" s="8"/>
    </row>
    <row r="17515" spans="16:16" x14ac:dyDescent="0.35">
      <c r="P17515" s="8"/>
    </row>
    <row r="17516" spans="16:16" x14ac:dyDescent="0.35">
      <c r="P17516" s="8"/>
    </row>
    <row r="17517" spans="16:16" x14ac:dyDescent="0.35">
      <c r="P17517" s="8"/>
    </row>
    <row r="17518" spans="16:16" x14ac:dyDescent="0.35">
      <c r="P17518" s="8"/>
    </row>
    <row r="17519" spans="16:16" x14ac:dyDescent="0.35">
      <c r="P17519" s="8"/>
    </row>
    <row r="17520" spans="16:16" x14ac:dyDescent="0.35">
      <c r="P17520" s="8"/>
    </row>
    <row r="17521" spans="16:16" x14ac:dyDescent="0.35">
      <c r="P17521" s="8"/>
    </row>
    <row r="17522" spans="16:16" x14ac:dyDescent="0.35">
      <c r="P17522" s="8"/>
    </row>
    <row r="17523" spans="16:16" x14ac:dyDescent="0.35">
      <c r="P17523" s="8"/>
    </row>
    <row r="17524" spans="16:16" x14ac:dyDescent="0.35">
      <c r="P17524" s="8"/>
    </row>
    <row r="17525" spans="16:16" x14ac:dyDescent="0.35">
      <c r="P17525" s="8"/>
    </row>
    <row r="17526" spans="16:16" x14ac:dyDescent="0.35">
      <c r="P17526" s="8"/>
    </row>
    <row r="17527" spans="16:16" x14ac:dyDescent="0.35">
      <c r="P17527" s="8"/>
    </row>
    <row r="17528" spans="16:16" x14ac:dyDescent="0.35">
      <c r="P17528" s="8"/>
    </row>
    <row r="17529" spans="16:16" x14ac:dyDescent="0.35">
      <c r="P17529" s="8"/>
    </row>
    <row r="17530" spans="16:16" x14ac:dyDescent="0.35">
      <c r="P17530" s="8"/>
    </row>
    <row r="17531" spans="16:16" x14ac:dyDescent="0.35">
      <c r="P17531" s="8"/>
    </row>
    <row r="17532" spans="16:16" x14ac:dyDescent="0.35">
      <c r="P17532" s="8"/>
    </row>
    <row r="17533" spans="16:16" x14ac:dyDescent="0.35">
      <c r="P17533" s="8"/>
    </row>
    <row r="17534" spans="16:16" x14ac:dyDescent="0.35">
      <c r="P17534" s="8"/>
    </row>
    <row r="17535" spans="16:16" x14ac:dyDescent="0.35">
      <c r="P17535" s="8"/>
    </row>
    <row r="17536" spans="16:16" x14ac:dyDescent="0.35">
      <c r="P17536" s="8"/>
    </row>
    <row r="17537" spans="16:16" x14ac:dyDescent="0.35">
      <c r="P17537" s="8"/>
    </row>
    <row r="17538" spans="16:16" x14ac:dyDescent="0.35">
      <c r="P17538" s="8"/>
    </row>
    <row r="17539" spans="16:16" x14ac:dyDescent="0.35">
      <c r="P17539" s="8"/>
    </row>
    <row r="17540" spans="16:16" x14ac:dyDescent="0.35">
      <c r="P17540" s="8"/>
    </row>
    <row r="17541" spans="16:16" x14ac:dyDescent="0.35">
      <c r="P17541" s="8"/>
    </row>
    <row r="17542" spans="16:16" x14ac:dyDescent="0.35">
      <c r="P17542" s="8"/>
    </row>
    <row r="17543" spans="16:16" x14ac:dyDescent="0.35">
      <c r="P17543" s="8"/>
    </row>
    <row r="17544" spans="16:16" x14ac:dyDescent="0.35">
      <c r="P17544" s="8"/>
    </row>
    <row r="17545" spans="16:16" x14ac:dyDescent="0.35">
      <c r="P17545" s="8"/>
    </row>
    <row r="17546" spans="16:16" x14ac:dyDescent="0.35">
      <c r="P17546" s="8"/>
    </row>
    <row r="17547" spans="16:16" x14ac:dyDescent="0.35">
      <c r="P17547" s="8"/>
    </row>
    <row r="17548" spans="16:16" x14ac:dyDescent="0.35">
      <c r="P17548" s="8"/>
    </row>
    <row r="17549" spans="16:16" x14ac:dyDescent="0.35">
      <c r="P17549" s="8"/>
    </row>
    <row r="17550" spans="16:16" x14ac:dyDescent="0.35">
      <c r="P17550" s="8"/>
    </row>
    <row r="17551" spans="16:16" x14ac:dyDescent="0.35">
      <c r="P17551" s="8"/>
    </row>
    <row r="17552" spans="16:16" x14ac:dyDescent="0.35">
      <c r="P17552" s="8"/>
    </row>
    <row r="17553" spans="16:16" x14ac:dyDescent="0.35">
      <c r="P17553" s="8"/>
    </row>
    <row r="17554" spans="16:16" x14ac:dyDescent="0.35">
      <c r="P17554" s="8"/>
    </row>
    <row r="17555" spans="16:16" x14ac:dyDescent="0.35">
      <c r="P17555" s="8"/>
    </row>
    <row r="17556" spans="16:16" x14ac:dyDescent="0.35">
      <c r="P17556" s="8"/>
    </row>
    <row r="17557" spans="16:16" x14ac:dyDescent="0.35">
      <c r="P17557" s="8"/>
    </row>
    <row r="17558" spans="16:16" x14ac:dyDescent="0.35">
      <c r="P17558" s="8"/>
    </row>
    <row r="17559" spans="16:16" x14ac:dyDescent="0.35">
      <c r="P17559" s="8"/>
    </row>
    <row r="17560" spans="16:16" x14ac:dyDescent="0.35">
      <c r="P17560" s="8"/>
    </row>
    <row r="17561" spans="16:16" x14ac:dyDescent="0.35">
      <c r="P17561" s="8"/>
    </row>
    <row r="17562" spans="16:16" x14ac:dyDescent="0.35">
      <c r="P17562" s="8"/>
    </row>
    <row r="17563" spans="16:16" x14ac:dyDescent="0.35">
      <c r="P17563" s="8"/>
    </row>
    <row r="17564" spans="16:16" x14ac:dyDescent="0.35">
      <c r="P17564" s="8"/>
    </row>
    <row r="17565" spans="16:16" x14ac:dyDescent="0.35">
      <c r="P17565" s="8"/>
    </row>
    <row r="17566" spans="16:16" x14ac:dyDescent="0.35">
      <c r="P17566" s="8"/>
    </row>
    <row r="17567" spans="16:16" x14ac:dyDescent="0.35">
      <c r="P17567" s="8"/>
    </row>
    <row r="17568" spans="16:16" x14ac:dyDescent="0.35">
      <c r="P17568" s="8"/>
    </row>
    <row r="17569" spans="16:16" x14ac:dyDescent="0.35">
      <c r="P17569" s="8"/>
    </row>
    <row r="17570" spans="16:16" x14ac:dyDescent="0.35">
      <c r="P17570" s="8"/>
    </row>
    <row r="17571" spans="16:16" x14ac:dyDescent="0.35">
      <c r="P17571" s="8"/>
    </row>
    <row r="17572" spans="16:16" x14ac:dyDescent="0.35">
      <c r="P17572" s="8"/>
    </row>
    <row r="17573" spans="16:16" x14ac:dyDescent="0.35">
      <c r="P17573" s="8"/>
    </row>
    <row r="17574" spans="16:16" x14ac:dyDescent="0.35">
      <c r="P17574" s="8"/>
    </row>
    <row r="17575" spans="16:16" x14ac:dyDescent="0.35">
      <c r="P17575" s="8"/>
    </row>
    <row r="17576" spans="16:16" x14ac:dyDescent="0.35">
      <c r="P17576" s="8"/>
    </row>
    <row r="17577" spans="16:16" x14ac:dyDescent="0.35">
      <c r="P17577" s="8"/>
    </row>
    <row r="17578" spans="16:16" x14ac:dyDescent="0.35">
      <c r="P17578" s="8"/>
    </row>
    <row r="17579" spans="16:16" x14ac:dyDescent="0.35">
      <c r="P17579" s="8"/>
    </row>
    <row r="17580" spans="16:16" x14ac:dyDescent="0.35">
      <c r="P17580" s="8"/>
    </row>
    <row r="17581" spans="16:16" x14ac:dyDescent="0.35">
      <c r="P17581" s="8"/>
    </row>
    <row r="17582" spans="16:16" x14ac:dyDescent="0.35">
      <c r="P17582" s="8"/>
    </row>
    <row r="17583" spans="16:16" x14ac:dyDescent="0.35">
      <c r="P17583" s="8"/>
    </row>
    <row r="17584" spans="16:16" x14ac:dyDescent="0.35">
      <c r="P17584" s="8"/>
    </row>
    <row r="17585" spans="16:16" x14ac:dyDescent="0.35">
      <c r="P17585" s="8"/>
    </row>
    <row r="17586" spans="16:16" x14ac:dyDescent="0.35">
      <c r="P17586" s="8"/>
    </row>
    <row r="17587" spans="16:16" x14ac:dyDescent="0.35">
      <c r="P17587" s="8"/>
    </row>
    <row r="17588" spans="16:16" x14ac:dyDescent="0.35">
      <c r="P17588" s="8"/>
    </row>
    <row r="17589" spans="16:16" x14ac:dyDescent="0.35">
      <c r="P17589" s="8"/>
    </row>
    <row r="17590" spans="16:16" x14ac:dyDescent="0.35">
      <c r="P17590" s="8"/>
    </row>
    <row r="17591" spans="16:16" x14ac:dyDescent="0.35">
      <c r="P17591" s="8"/>
    </row>
    <row r="17592" spans="16:16" x14ac:dyDescent="0.35">
      <c r="P17592" s="8"/>
    </row>
    <row r="17593" spans="16:16" x14ac:dyDescent="0.35">
      <c r="P17593" s="8"/>
    </row>
    <row r="17594" spans="16:16" x14ac:dyDescent="0.35">
      <c r="P17594" s="8"/>
    </row>
    <row r="17595" spans="16:16" x14ac:dyDescent="0.35">
      <c r="P17595" s="8"/>
    </row>
    <row r="17596" spans="16:16" x14ac:dyDescent="0.35">
      <c r="P17596" s="8"/>
    </row>
    <row r="17597" spans="16:16" x14ac:dyDescent="0.35">
      <c r="P17597" s="8"/>
    </row>
    <row r="17598" spans="16:16" x14ac:dyDescent="0.35">
      <c r="P17598" s="8"/>
    </row>
    <row r="17599" spans="16:16" x14ac:dyDescent="0.35">
      <c r="P17599" s="8"/>
    </row>
    <row r="17600" spans="16:16" x14ac:dyDescent="0.35">
      <c r="P17600" s="8"/>
    </row>
    <row r="17601" spans="16:16" x14ac:dyDescent="0.35">
      <c r="P17601" s="8"/>
    </row>
    <row r="17602" spans="16:16" x14ac:dyDescent="0.35">
      <c r="P17602" s="8"/>
    </row>
    <row r="17603" spans="16:16" x14ac:dyDescent="0.35">
      <c r="P17603" s="8"/>
    </row>
    <row r="17604" spans="16:16" x14ac:dyDescent="0.35">
      <c r="P17604" s="8"/>
    </row>
    <row r="17605" spans="16:16" x14ac:dyDescent="0.35">
      <c r="P17605" s="8"/>
    </row>
    <row r="17606" spans="16:16" x14ac:dyDescent="0.35">
      <c r="P17606" s="8"/>
    </row>
    <row r="17607" spans="16:16" x14ac:dyDescent="0.35">
      <c r="P17607" s="8"/>
    </row>
    <row r="17608" spans="16:16" x14ac:dyDescent="0.35">
      <c r="P17608" s="8"/>
    </row>
    <row r="17609" spans="16:16" x14ac:dyDescent="0.35">
      <c r="P17609" s="8"/>
    </row>
    <row r="17610" spans="16:16" x14ac:dyDescent="0.35">
      <c r="P17610" s="8"/>
    </row>
    <row r="17611" spans="16:16" x14ac:dyDescent="0.35">
      <c r="P17611" s="8"/>
    </row>
    <row r="17612" spans="16:16" x14ac:dyDescent="0.35">
      <c r="P17612" s="8"/>
    </row>
    <row r="17613" spans="16:16" x14ac:dyDescent="0.35">
      <c r="P17613" s="8"/>
    </row>
    <row r="17614" spans="16:16" x14ac:dyDescent="0.35">
      <c r="P17614" s="8"/>
    </row>
    <row r="17615" spans="16:16" x14ac:dyDescent="0.35">
      <c r="P17615" s="8"/>
    </row>
    <row r="17616" spans="16:16" x14ac:dyDescent="0.35">
      <c r="P17616" s="8"/>
    </row>
    <row r="17617" spans="16:16" x14ac:dyDescent="0.35">
      <c r="P17617" s="8"/>
    </row>
    <row r="17618" spans="16:16" x14ac:dyDescent="0.35">
      <c r="P17618" s="8"/>
    </row>
    <row r="17619" spans="16:16" x14ac:dyDescent="0.35">
      <c r="P17619" s="8"/>
    </row>
    <row r="17620" spans="16:16" x14ac:dyDescent="0.35">
      <c r="P17620" s="8"/>
    </row>
    <row r="17621" spans="16:16" x14ac:dyDescent="0.35">
      <c r="P17621" s="8"/>
    </row>
    <row r="17622" spans="16:16" x14ac:dyDescent="0.35">
      <c r="P17622" s="8"/>
    </row>
    <row r="17623" spans="16:16" x14ac:dyDescent="0.35">
      <c r="P17623" s="8"/>
    </row>
    <row r="17624" spans="16:16" x14ac:dyDescent="0.35">
      <c r="P17624" s="8"/>
    </row>
    <row r="17625" spans="16:16" x14ac:dyDescent="0.35">
      <c r="P17625" s="8"/>
    </row>
    <row r="17626" spans="16:16" x14ac:dyDescent="0.35">
      <c r="P17626" s="8"/>
    </row>
    <row r="17627" spans="16:16" x14ac:dyDescent="0.35">
      <c r="P17627" s="8"/>
    </row>
    <row r="17628" spans="16:16" x14ac:dyDescent="0.35">
      <c r="P17628" s="8"/>
    </row>
    <row r="17629" spans="16:16" x14ac:dyDescent="0.35">
      <c r="P17629" s="8"/>
    </row>
    <row r="17630" spans="16:16" x14ac:dyDescent="0.35">
      <c r="P17630" s="8"/>
    </row>
    <row r="17631" spans="16:16" x14ac:dyDescent="0.35">
      <c r="P17631" s="8"/>
    </row>
    <row r="17632" spans="16:16" x14ac:dyDescent="0.35">
      <c r="P17632" s="8"/>
    </row>
    <row r="17633" spans="16:16" x14ac:dyDescent="0.35">
      <c r="P17633" s="8"/>
    </row>
    <row r="17634" spans="16:16" x14ac:dyDescent="0.35">
      <c r="P17634" s="8"/>
    </row>
    <row r="17635" spans="16:16" x14ac:dyDescent="0.35">
      <c r="P17635" s="8"/>
    </row>
    <row r="17636" spans="16:16" x14ac:dyDescent="0.35">
      <c r="P17636" s="8"/>
    </row>
    <row r="17637" spans="16:16" x14ac:dyDescent="0.35">
      <c r="P17637" s="8"/>
    </row>
    <row r="17638" spans="16:16" x14ac:dyDescent="0.35">
      <c r="P17638" s="8"/>
    </row>
    <row r="17639" spans="16:16" x14ac:dyDescent="0.35">
      <c r="P17639" s="8"/>
    </row>
    <row r="17640" spans="16:16" x14ac:dyDescent="0.35">
      <c r="P17640" s="8"/>
    </row>
    <row r="17641" spans="16:16" x14ac:dyDescent="0.35">
      <c r="P17641" s="8"/>
    </row>
    <row r="17642" spans="16:16" x14ac:dyDescent="0.35">
      <c r="P17642" s="8"/>
    </row>
    <row r="17643" spans="16:16" x14ac:dyDescent="0.35">
      <c r="P17643" s="8"/>
    </row>
    <row r="17644" spans="16:16" x14ac:dyDescent="0.35">
      <c r="P17644" s="8"/>
    </row>
    <row r="17645" spans="16:16" x14ac:dyDescent="0.35">
      <c r="P17645" s="8"/>
    </row>
    <row r="17646" spans="16:16" x14ac:dyDescent="0.35">
      <c r="P17646" s="8"/>
    </row>
    <row r="17647" spans="16:16" x14ac:dyDescent="0.35">
      <c r="P17647" s="8"/>
    </row>
    <row r="17648" spans="16:16" x14ac:dyDescent="0.35">
      <c r="P17648" s="8"/>
    </row>
    <row r="17649" spans="16:16" x14ac:dyDescent="0.35">
      <c r="P17649" s="8"/>
    </row>
    <row r="17650" spans="16:16" x14ac:dyDescent="0.35">
      <c r="P17650" s="8"/>
    </row>
    <row r="17651" spans="16:16" x14ac:dyDescent="0.35">
      <c r="P17651" s="8"/>
    </row>
    <row r="17652" spans="16:16" x14ac:dyDescent="0.35">
      <c r="P17652" s="8"/>
    </row>
    <row r="17653" spans="16:16" x14ac:dyDescent="0.35">
      <c r="P17653" s="8"/>
    </row>
    <row r="17654" spans="16:16" x14ac:dyDescent="0.35">
      <c r="P17654" s="8"/>
    </row>
    <row r="17655" spans="16:16" x14ac:dyDescent="0.35">
      <c r="P17655" s="8"/>
    </row>
    <row r="17656" spans="16:16" x14ac:dyDescent="0.35">
      <c r="P17656" s="8"/>
    </row>
    <row r="17657" spans="16:16" x14ac:dyDescent="0.35">
      <c r="P17657" s="8"/>
    </row>
    <row r="17658" spans="16:16" x14ac:dyDescent="0.35">
      <c r="P17658" s="8"/>
    </row>
    <row r="17659" spans="16:16" x14ac:dyDescent="0.35">
      <c r="P17659" s="8"/>
    </row>
    <row r="17660" spans="16:16" x14ac:dyDescent="0.35">
      <c r="P17660" s="8"/>
    </row>
    <row r="17661" spans="16:16" x14ac:dyDescent="0.35">
      <c r="P17661" s="8"/>
    </row>
    <row r="17662" spans="16:16" x14ac:dyDescent="0.35">
      <c r="P17662" s="8"/>
    </row>
    <row r="17663" spans="16:16" x14ac:dyDescent="0.35">
      <c r="P17663" s="8"/>
    </row>
    <row r="17664" spans="16:16" x14ac:dyDescent="0.35">
      <c r="P17664" s="8"/>
    </row>
    <row r="17665" spans="16:16" x14ac:dyDescent="0.35">
      <c r="P17665" s="8"/>
    </row>
    <row r="17666" spans="16:16" x14ac:dyDescent="0.35">
      <c r="P17666" s="8"/>
    </row>
    <row r="17667" spans="16:16" x14ac:dyDescent="0.35">
      <c r="P17667" s="8"/>
    </row>
    <row r="17668" spans="16:16" x14ac:dyDescent="0.35">
      <c r="P17668" s="8"/>
    </row>
    <row r="17669" spans="16:16" x14ac:dyDescent="0.35">
      <c r="P17669" s="8"/>
    </row>
    <row r="17670" spans="16:16" x14ac:dyDescent="0.35">
      <c r="P17670" s="8"/>
    </row>
    <row r="17671" spans="16:16" x14ac:dyDescent="0.35">
      <c r="P17671" s="8"/>
    </row>
    <row r="17672" spans="16:16" x14ac:dyDescent="0.35">
      <c r="P17672" s="8"/>
    </row>
    <row r="17673" spans="16:16" x14ac:dyDescent="0.35">
      <c r="P17673" s="8"/>
    </row>
    <row r="17674" spans="16:16" x14ac:dyDescent="0.35">
      <c r="P17674" s="8"/>
    </row>
    <row r="17675" spans="16:16" x14ac:dyDescent="0.35">
      <c r="P17675" s="8"/>
    </row>
    <row r="17676" spans="16:16" x14ac:dyDescent="0.35">
      <c r="P17676" s="8"/>
    </row>
    <row r="17677" spans="16:16" x14ac:dyDescent="0.35">
      <c r="P17677" s="8"/>
    </row>
    <row r="17678" spans="16:16" x14ac:dyDescent="0.35">
      <c r="P17678" s="8"/>
    </row>
    <row r="17679" spans="16:16" x14ac:dyDescent="0.35">
      <c r="P17679" s="8"/>
    </row>
    <row r="17680" spans="16:16" x14ac:dyDescent="0.35">
      <c r="P17680" s="8"/>
    </row>
    <row r="17681" spans="16:16" x14ac:dyDescent="0.35">
      <c r="P17681" s="8"/>
    </row>
    <row r="17682" spans="16:16" x14ac:dyDescent="0.35">
      <c r="P17682" s="8"/>
    </row>
    <row r="17683" spans="16:16" x14ac:dyDescent="0.35">
      <c r="P17683" s="8"/>
    </row>
    <row r="17684" spans="16:16" x14ac:dyDescent="0.35">
      <c r="P17684" s="8"/>
    </row>
    <row r="17685" spans="16:16" x14ac:dyDescent="0.35">
      <c r="P17685" s="8"/>
    </row>
    <row r="17686" spans="16:16" x14ac:dyDescent="0.35">
      <c r="P17686" s="8"/>
    </row>
    <row r="17687" spans="16:16" x14ac:dyDescent="0.35">
      <c r="P17687" s="8"/>
    </row>
    <row r="17688" spans="16:16" x14ac:dyDescent="0.35">
      <c r="P17688" s="8"/>
    </row>
    <row r="17689" spans="16:16" x14ac:dyDescent="0.35">
      <c r="P17689" s="8"/>
    </row>
    <row r="17690" spans="16:16" x14ac:dyDescent="0.35">
      <c r="P17690" s="8"/>
    </row>
    <row r="17691" spans="16:16" x14ac:dyDescent="0.35">
      <c r="P17691" s="8"/>
    </row>
    <row r="17692" spans="16:16" x14ac:dyDescent="0.35">
      <c r="P17692" s="8"/>
    </row>
    <row r="17693" spans="16:16" x14ac:dyDescent="0.35">
      <c r="P17693" s="8"/>
    </row>
    <row r="17694" spans="16:16" x14ac:dyDescent="0.35">
      <c r="P17694" s="8"/>
    </row>
    <row r="17695" spans="16:16" x14ac:dyDescent="0.35">
      <c r="P17695" s="8"/>
    </row>
    <row r="17696" spans="16:16" x14ac:dyDescent="0.35">
      <c r="P17696" s="8"/>
    </row>
    <row r="17697" spans="16:16" x14ac:dyDescent="0.35">
      <c r="P17697" s="8"/>
    </row>
    <row r="17698" spans="16:16" x14ac:dyDescent="0.35">
      <c r="P17698" s="8"/>
    </row>
    <row r="17699" spans="16:16" x14ac:dyDescent="0.35">
      <c r="P17699" s="8"/>
    </row>
    <row r="17700" spans="16:16" x14ac:dyDescent="0.35">
      <c r="P17700" s="8"/>
    </row>
    <row r="17701" spans="16:16" x14ac:dyDescent="0.35">
      <c r="P17701" s="8"/>
    </row>
    <row r="17702" spans="16:16" x14ac:dyDescent="0.35">
      <c r="P17702" s="8"/>
    </row>
    <row r="17703" spans="16:16" x14ac:dyDescent="0.35">
      <c r="P17703" s="8"/>
    </row>
    <row r="17704" spans="16:16" x14ac:dyDescent="0.35">
      <c r="P17704" s="8"/>
    </row>
    <row r="17705" spans="16:16" x14ac:dyDescent="0.35">
      <c r="P17705" s="8"/>
    </row>
    <row r="17706" spans="16:16" x14ac:dyDescent="0.35">
      <c r="P17706" s="8"/>
    </row>
    <row r="17707" spans="16:16" x14ac:dyDescent="0.35">
      <c r="P17707" s="8"/>
    </row>
    <row r="17708" spans="16:16" x14ac:dyDescent="0.35">
      <c r="P17708" s="8"/>
    </row>
    <row r="17709" spans="16:16" x14ac:dyDescent="0.35">
      <c r="P17709" s="8"/>
    </row>
    <row r="17710" spans="16:16" x14ac:dyDescent="0.35">
      <c r="P17710" s="8"/>
    </row>
    <row r="17711" spans="16:16" x14ac:dyDescent="0.35">
      <c r="P17711" s="8"/>
    </row>
    <row r="17712" spans="16:16" x14ac:dyDescent="0.35">
      <c r="P17712" s="8"/>
    </row>
    <row r="17713" spans="16:16" x14ac:dyDescent="0.35">
      <c r="P17713" s="8"/>
    </row>
    <row r="17714" spans="16:16" x14ac:dyDescent="0.35">
      <c r="P17714" s="8"/>
    </row>
    <row r="17715" spans="16:16" x14ac:dyDescent="0.35">
      <c r="P17715" s="8"/>
    </row>
    <row r="17716" spans="16:16" x14ac:dyDescent="0.35">
      <c r="P17716" s="8"/>
    </row>
    <row r="17717" spans="16:16" x14ac:dyDescent="0.35">
      <c r="P17717" s="8"/>
    </row>
    <row r="17718" spans="16:16" x14ac:dyDescent="0.35">
      <c r="P17718" s="8"/>
    </row>
    <row r="17719" spans="16:16" x14ac:dyDescent="0.35">
      <c r="P17719" s="8"/>
    </row>
    <row r="17720" spans="16:16" x14ac:dyDescent="0.35">
      <c r="P17720" s="8"/>
    </row>
    <row r="17721" spans="16:16" x14ac:dyDescent="0.35">
      <c r="P17721" s="8"/>
    </row>
    <row r="17722" spans="16:16" x14ac:dyDescent="0.35">
      <c r="P17722" s="8"/>
    </row>
    <row r="17723" spans="16:16" x14ac:dyDescent="0.35">
      <c r="P17723" s="8"/>
    </row>
    <row r="17724" spans="16:16" x14ac:dyDescent="0.35">
      <c r="P17724" s="8"/>
    </row>
    <row r="17725" spans="16:16" x14ac:dyDescent="0.35">
      <c r="P17725" s="8"/>
    </row>
    <row r="17726" spans="16:16" x14ac:dyDescent="0.35">
      <c r="P17726" s="8"/>
    </row>
    <row r="17727" spans="16:16" x14ac:dyDescent="0.35">
      <c r="P17727" s="8"/>
    </row>
    <row r="17728" spans="16:16" x14ac:dyDescent="0.35">
      <c r="P17728" s="8"/>
    </row>
    <row r="17729" spans="16:16" x14ac:dyDescent="0.35">
      <c r="P17729" s="8"/>
    </row>
    <row r="17730" spans="16:16" x14ac:dyDescent="0.35">
      <c r="P17730" s="8"/>
    </row>
    <row r="17731" spans="16:16" x14ac:dyDescent="0.35">
      <c r="P17731" s="8"/>
    </row>
    <row r="17732" spans="16:16" x14ac:dyDescent="0.35">
      <c r="P17732" s="8"/>
    </row>
    <row r="17733" spans="16:16" x14ac:dyDescent="0.35">
      <c r="P17733" s="8"/>
    </row>
    <row r="17734" spans="16:16" x14ac:dyDescent="0.35">
      <c r="P17734" s="8"/>
    </row>
    <row r="17735" spans="16:16" x14ac:dyDescent="0.35">
      <c r="P17735" s="8"/>
    </row>
    <row r="17736" spans="16:16" x14ac:dyDescent="0.35">
      <c r="P17736" s="8"/>
    </row>
    <row r="17737" spans="16:16" x14ac:dyDescent="0.35">
      <c r="P17737" s="8"/>
    </row>
    <row r="17738" spans="16:16" x14ac:dyDescent="0.35">
      <c r="P17738" s="8"/>
    </row>
    <row r="17739" spans="16:16" x14ac:dyDescent="0.35">
      <c r="P17739" s="8"/>
    </row>
    <row r="17740" spans="16:16" x14ac:dyDescent="0.35">
      <c r="P17740" s="8"/>
    </row>
    <row r="17741" spans="16:16" x14ac:dyDescent="0.35">
      <c r="P17741" s="8"/>
    </row>
    <row r="17742" spans="16:16" x14ac:dyDescent="0.35">
      <c r="P17742" s="8"/>
    </row>
    <row r="17743" spans="16:16" x14ac:dyDescent="0.35">
      <c r="P17743" s="8"/>
    </row>
    <row r="17744" spans="16:16" x14ac:dyDescent="0.35">
      <c r="P17744" s="8"/>
    </row>
    <row r="17745" spans="16:16" x14ac:dyDescent="0.35">
      <c r="P17745" s="8"/>
    </row>
    <row r="17746" spans="16:16" x14ac:dyDescent="0.35">
      <c r="P17746" s="8"/>
    </row>
    <row r="17747" spans="16:16" x14ac:dyDescent="0.35">
      <c r="P17747" s="8"/>
    </row>
    <row r="17748" spans="16:16" x14ac:dyDescent="0.35">
      <c r="P17748" s="8"/>
    </row>
    <row r="17749" spans="16:16" x14ac:dyDescent="0.35">
      <c r="P17749" s="8"/>
    </row>
    <row r="17750" spans="16:16" x14ac:dyDescent="0.35">
      <c r="P17750" s="8"/>
    </row>
    <row r="17751" spans="16:16" x14ac:dyDescent="0.35">
      <c r="P17751" s="8"/>
    </row>
    <row r="17752" spans="16:16" x14ac:dyDescent="0.35">
      <c r="P17752" s="8"/>
    </row>
    <row r="17753" spans="16:16" x14ac:dyDescent="0.35">
      <c r="P17753" s="8"/>
    </row>
    <row r="17754" spans="16:16" x14ac:dyDescent="0.35">
      <c r="P17754" s="8"/>
    </row>
    <row r="17755" spans="16:16" x14ac:dyDescent="0.35">
      <c r="P17755" s="8"/>
    </row>
    <row r="17756" spans="16:16" x14ac:dyDescent="0.35">
      <c r="P17756" s="8"/>
    </row>
    <row r="17757" spans="16:16" x14ac:dyDescent="0.35">
      <c r="P17757" s="8"/>
    </row>
    <row r="17758" spans="16:16" x14ac:dyDescent="0.35">
      <c r="P17758" s="8"/>
    </row>
    <row r="17759" spans="16:16" x14ac:dyDescent="0.35">
      <c r="P17759" s="8"/>
    </row>
    <row r="17760" spans="16:16" x14ac:dyDescent="0.35">
      <c r="P17760" s="8"/>
    </row>
    <row r="17761" spans="16:16" x14ac:dyDescent="0.35">
      <c r="P17761" s="8"/>
    </row>
    <row r="17762" spans="16:16" x14ac:dyDescent="0.35">
      <c r="P17762" s="8"/>
    </row>
    <row r="17763" spans="16:16" x14ac:dyDescent="0.35">
      <c r="P17763" s="8"/>
    </row>
    <row r="17764" spans="16:16" x14ac:dyDescent="0.35">
      <c r="P17764" s="8"/>
    </row>
    <row r="17765" spans="16:16" x14ac:dyDescent="0.35">
      <c r="P17765" s="8"/>
    </row>
    <row r="17766" spans="16:16" x14ac:dyDescent="0.35">
      <c r="P17766" s="8"/>
    </row>
    <row r="17767" spans="16:16" x14ac:dyDescent="0.35">
      <c r="P17767" s="8"/>
    </row>
    <row r="17768" spans="16:16" x14ac:dyDescent="0.35">
      <c r="P17768" s="8"/>
    </row>
    <row r="17769" spans="16:16" x14ac:dyDescent="0.35">
      <c r="P17769" s="8"/>
    </row>
    <row r="17770" spans="16:16" x14ac:dyDescent="0.35">
      <c r="P17770" s="8"/>
    </row>
    <row r="17771" spans="16:16" x14ac:dyDescent="0.35">
      <c r="P17771" s="8"/>
    </row>
    <row r="17772" spans="16:16" x14ac:dyDescent="0.35">
      <c r="P17772" s="8"/>
    </row>
    <row r="17773" spans="16:16" x14ac:dyDescent="0.35">
      <c r="P17773" s="8"/>
    </row>
    <row r="17774" spans="16:16" x14ac:dyDescent="0.35">
      <c r="P17774" s="8"/>
    </row>
    <row r="17775" spans="16:16" x14ac:dyDescent="0.35">
      <c r="P17775" s="8"/>
    </row>
    <row r="17776" spans="16:16" x14ac:dyDescent="0.35">
      <c r="P17776" s="8"/>
    </row>
    <row r="17777" spans="16:16" x14ac:dyDescent="0.35">
      <c r="P17777" s="8"/>
    </row>
    <row r="17778" spans="16:16" x14ac:dyDescent="0.35">
      <c r="P17778" s="8"/>
    </row>
    <row r="17779" spans="16:16" x14ac:dyDescent="0.35">
      <c r="P17779" s="8"/>
    </row>
    <row r="17780" spans="16:16" x14ac:dyDescent="0.35">
      <c r="P17780" s="8"/>
    </row>
    <row r="17781" spans="16:16" x14ac:dyDescent="0.35">
      <c r="P17781" s="8"/>
    </row>
    <row r="17782" spans="16:16" x14ac:dyDescent="0.35">
      <c r="P17782" s="8"/>
    </row>
    <row r="17783" spans="16:16" x14ac:dyDescent="0.35">
      <c r="P17783" s="8"/>
    </row>
    <row r="17784" spans="16:16" x14ac:dyDescent="0.35">
      <c r="P17784" s="8"/>
    </row>
    <row r="17785" spans="16:16" x14ac:dyDescent="0.35">
      <c r="P17785" s="8"/>
    </row>
    <row r="17786" spans="16:16" x14ac:dyDescent="0.35">
      <c r="P17786" s="8"/>
    </row>
    <row r="17787" spans="16:16" x14ac:dyDescent="0.35">
      <c r="P17787" s="8"/>
    </row>
    <row r="17788" spans="16:16" x14ac:dyDescent="0.35">
      <c r="P17788" s="8"/>
    </row>
    <row r="17789" spans="16:16" x14ac:dyDescent="0.35">
      <c r="P17789" s="8"/>
    </row>
    <row r="17790" spans="16:16" x14ac:dyDescent="0.35">
      <c r="P17790" s="8"/>
    </row>
    <row r="17791" spans="16:16" x14ac:dyDescent="0.35">
      <c r="P17791" s="8"/>
    </row>
    <row r="17792" spans="16:16" x14ac:dyDescent="0.35">
      <c r="P17792" s="8"/>
    </row>
    <row r="17793" spans="16:16" x14ac:dyDescent="0.35">
      <c r="P17793" s="8"/>
    </row>
    <row r="17794" spans="16:16" x14ac:dyDescent="0.35">
      <c r="P17794" s="8"/>
    </row>
    <row r="17795" spans="16:16" x14ac:dyDescent="0.35">
      <c r="P17795" s="8"/>
    </row>
    <row r="17796" spans="16:16" x14ac:dyDescent="0.35">
      <c r="P17796" s="8"/>
    </row>
    <row r="17797" spans="16:16" x14ac:dyDescent="0.35">
      <c r="P17797" s="8"/>
    </row>
    <row r="17798" spans="16:16" x14ac:dyDescent="0.35">
      <c r="P17798" s="8"/>
    </row>
    <row r="17799" spans="16:16" x14ac:dyDescent="0.35">
      <c r="P17799" s="8"/>
    </row>
    <row r="17800" spans="16:16" x14ac:dyDescent="0.35">
      <c r="P17800" s="8"/>
    </row>
    <row r="17801" spans="16:16" x14ac:dyDescent="0.35">
      <c r="P17801" s="8"/>
    </row>
    <row r="17802" spans="16:16" x14ac:dyDescent="0.35">
      <c r="P17802" s="8"/>
    </row>
    <row r="17803" spans="16:16" x14ac:dyDescent="0.35">
      <c r="P17803" s="8"/>
    </row>
    <row r="17804" spans="16:16" x14ac:dyDescent="0.35">
      <c r="P17804" s="8"/>
    </row>
    <row r="17805" spans="16:16" x14ac:dyDescent="0.35">
      <c r="P17805" s="8"/>
    </row>
    <row r="17806" spans="16:16" x14ac:dyDescent="0.35">
      <c r="P17806" s="8"/>
    </row>
    <row r="17807" spans="16:16" x14ac:dyDescent="0.35">
      <c r="P17807" s="8"/>
    </row>
    <row r="17808" spans="16:16" x14ac:dyDescent="0.35">
      <c r="P17808" s="8"/>
    </row>
    <row r="17809" spans="16:16" x14ac:dyDescent="0.35">
      <c r="P17809" s="8"/>
    </row>
    <row r="17810" spans="16:16" x14ac:dyDescent="0.35">
      <c r="P17810" s="8"/>
    </row>
    <row r="17811" spans="16:16" x14ac:dyDescent="0.35">
      <c r="P17811" s="8"/>
    </row>
    <row r="17812" spans="16:16" x14ac:dyDescent="0.35">
      <c r="P17812" s="8"/>
    </row>
    <row r="17813" spans="16:16" x14ac:dyDescent="0.35">
      <c r="P17813" s="8"/>
    </row>
    <row r="17814" spans="16:16" x14ac:dyDescent="0.35">
      <c r="P17814" s="8"/>
    </row>
    <row r="17815" spans="16:16" x14ac:dyDescent="0.35">
      <c r="P17815" s="8"/>
    </row>
    <row r="17816" spans="16:16" x14ac:dyDescent="0.35">
      <c r="P17816" s="8"/>
    </row>
    <row r="17817" spans="16:16" x14ac:dyDescent="0.35">
      <c r="P17817" s="8"/>
    </row>
    <row r="17818" spans="16:16" x14ac:dyDescent="0.35">
      <c r="P17818" s="8"/>
    </row>
    <row r="17819" spans="16:16" x14ac:dyDescent="0.35">
      <c r="P17819" s="8"/>
    </row>
    <row r="17820" spans="16:16" x14ac:dyDescent="0.35">
      <c r="P17820" s="8"/>
    </row>
    <row r="17821" spans="16:16" x14ac:dyDescent="0.35">
      <c r="P17821" s="8"/>
    </row>
    <row r="17822" spans="16:16" x14ac:dyDescent="0.35">
      <c r="P17822" s="8"/>
    </row>
    <row r="17823" spans="16:16" x14ac:dyDescent="0.35">
      <c r="P17823" s="8"/>
    </row>
    <row r="17824" spans="16:16" x14ac:dyDescent="0.35">
      <c r="P17824" s="8"/>
    </row>
    <row r="17825" spans="16:16" x14ac:dyDescent="0.35">
      <c r="P17825" s="8"/>
    </row>
    <row r="17826" spans="16:16" x14ac:dyDescent="0.35">
      <c r="P17826" s="8"/>
    </row>
    <row r="17827" spans="16:16" x14ac:dyDescent="0.35">
      <c r="P17827" s="8"/>
    </row>
    <row r="17828" spans="16:16" x14ac:dyDescent="0.35">
      <c r="P17828" s="8"/>
    </row>
    <row r="17829" spans="16:16" x14ac:dyDescent="0.35">
      <c r="P17829" s="8"/>
    </row>
    <row r="17830" spans="16:16" x14ac:dyDescent="0.35">
      <c r="P17830" s="8"/>
    </row>
    <row r="17831" spans="16:16" x14ac:dyDescent="0.35">
      <c r="P17831" s="8"/>
    </row>
    <row r="17832" spans="16:16" x14ac:dyDescent="0.35">
      <c r="P17832" s="8"/>
    </row>
    <row r="17833" spans="16:16" x14ac:dyDescent="0.35">
      <c r="P17833" s="8"/>
    </row>
    <row r="17834" spans="16:16" x14ac:dyDescent="0.35">
      <c r="P17834" s="8"/>
    </row>
    <row r="17835" spans="16:16" x14ac:dyDescent="0.35">
      <c r="P17835" s="8"/>
    </row>
    <row r="17836" spans="16:16" x14ac:dyDescent="0.35">
      <c r="P17836" s="8"/>
    </row>
    <row r="17837" spans="16:16" x14ac:dyDescent="0.35">
      <c r="P17837" s="8"/>
    </row>
    <row r="17838" spans="16:16" x14ac:dyDescent="0.35">
      <c r="P17838" s="8"/>
    </row>
    <row r="17839" spans="16:16" x14ac:dyDescent="0.35">
      <c r="P17839" s="8"/>
    </row>
    <row r="17840" spans="16:16" x14ac:dyDescent="0.35">
      <c r="P17840" s="8"/>
    </row>
    <row r="17841" spans="16:16" x14ac:dyDescent="0.35">
      <c r="P17841" s="8"/>
    </row>
    <row r="17842" spans="16:16" x14ac:dyDescent="0.35">
      <c r="P17842" s="8"/>
    </row>
    <row r="17843" spans="16:16" x14ac:dyDescent="0.35">
      <c r="P17843" s="8"/>
    </row>
    <row r="17844" spans="16:16" x14ac:dyDescent="0.35">
      <c r="P17844" s="8"/>
    </row>
    <row r="17845" spans="16:16" x14ac:dyDescent="0.35">
      <c r="P17845" s="8"/>
    </row>
    <row r="17846" spans="16:16" x14ac:dyDescent="0.35">
      <c r="P17846" s="8"/>
    </row>
    <row r="17847" spans="16:16" x14ac:dyDescent="0.35">
      <c r="P17847" s="8"/>
    </row>
    <row r="17848" spans="16:16" x14ac:dyDescent="0.35">
      <c r="P17848" s="8"/>
    </row>
    <row r="17849" spans="16:16" x14ac:dyDescent="0.35">
      <c r="P17849" s="8"/>
    </row>
    <row r="17850" spans="16:16" x14ac:dyDescent="0.35">
      <c r="P17850" s="8"/>
    </row>
    <row r="17851" spans="16:16" x14ac:dyDescent="0.35">
      <c r="P17851" s="8"/>
    </row>
    <row r="17852" spans="16:16" x14ac:dyDescent="0.35">
      <c r="P17852" s="8"/>
    </row>
    <row r="17853" spans="16:16" x14ac:dyDescent="0.35">
      <c r="P17853" s="8"/>
    </row>
    <row r="17854" spans="16:16" x14ac:dyDescent="0.35">
      <c r="P17854" s="8"/>
    </row>
    <row r="17855" spans="16:16" x14ac:dyDescent="0.35">
      <c r="P17855" s="8"/>
    </row>
    <row r="17856" spans="16:16" x14ac:dyDescent="0.35">
      <c r="P17856" s="8"/>
    </row>
    <row r="17857" spans="16:16" x14ac:dyDescent="0.35">
      <c r="P17857" s="8"/>
    </row>
    <row r="17858" spans="16:16" x14ac:dyDescent="0.35">
      <c r="P17858" s="8"/>
    </row>
    <row r="17859" spans="16:16" x14ac:dyDescent="0.35">
      <c r="P17859" s="8"/>
    </row>
    <row r="17860" spans="16:16" x14ac:dyDescent="0.35">
      <c r="P17860" s="8"/>
    </row>
    <row r="17861" spans="16:16" x14ac:dyDescent="0.35">
      <c r="P17861" s="8"/>
    </row>
    <row r="17862" spans="16:16" x14ac:dyDescent="0.35">
      <c r="P17862" s="8"/>
    </row>
    <row r="17863" spans="16:16" x14ac:dyDescent="0.35">
      <c r="P17863" s="8"/>
    </row>
    <row r="17864" spans="16:16" x14ac:dyDescent="0.35">
      <c r="P17864" s="8"/>
    </row>
    <row r="17865" spans="16:16" x14ac:dyDescent="0.35">
      <c r="P17865" s="8"/>
    </row>
    <row r="17866" spans="16:16" x14ac:dyDescent="0.35">
      <c r="P17866" s="8"/>
    </row>
    <row r="17867" spans="16:16" x14ac:dyDescent="0.35">
      <c r="P17867" s="8"/>
    </row>
    <row r="17868" spans="16:16" x14ac:dyDescent="0.35">
      <c r="P17868" s="8"/>
    </row>
    <row r="17869" spans="16:16" x14ac:dyDescent="0.35">
      <c r="P17869" s="8"/>
    </row>
    <row r="17870" spans="16:16" x14ac:dyDescent="0.35">
      <c r="P17870" s="8"/>
    </row>
    <row r="17871" spans="16:16" x14ac:dyDescent="0.35">
      <c r="P17871" s="8"/>
    </row>
    <row r="17872" spans="16:16" x14ac:dyDescent="0.35">
      <c r="P17872" s="8"/>
    </row>
    <row r="17873" spans="16:16" x14ac:dyDescent="0.35">
      <c r="P17873" s="8"/>
    </row>
    <row r="17874" spans="16:16" x14ac:dyDescent="0.35">
      <c r="P17874" s="8"/>
    </row>
    <row r="17875" spans="16:16" x14ac:dyDescent="0.35">
      <c r="P17875" s="8"/>
    </row>
    <row r="17876" spans="16:16" x14ac:dyDescent="0.35">
      <c r="P17876" s="8"/>
    </row>
    <row r="17877" spans="16:16" x14ac:dyDescent="0.35">
      <c r="P17877" s="8"/>
    </row>
    <row r="17878" spans="16:16" x14ac:dyDescent="0.35">
      <c r="P17878" s="8"/>
    </row>
    <row r="17879" spans="16:16" x14ac:dyDescent="0.35">
      <c r="P17879" s="8"/>
    </row>
    <row r="17880" spans="16:16" x14ac:dyDescent="0.35">
      <c r="P17880" s="8"/>
    </row>
    <row r="17881" spans="16:16" x14ac:dyDescent="0.35">
      <c r="P17881" s="8"/>
    </row>
    <row r="17882" spans="16:16" x14ac:dyDescent="0.35">
      <c r="P17882" s="8"/>
    </row>
    <row r="17883" spans="16:16" x14ac:dyDescent="0.35">
      <c r="P17883" s="8"/>
    </row>
    <row r="17884" spans="16:16" x14ac:dyDescent="0.35">
      <c r="P17884" s="8"/>
    </row>
    <row r="17885" spans="16:16" x14ac:dyDescent="0.35">
      <c r="P17885" s="8"/>
    </row>
    <row r="17886" spans="16:16" x14ac:dyDescent="0.35">
      <c r="P17886" s="8"/>
    </row>
    <row r="17887" spans="16:16" x14ac:dyDescent="0.35">
      <c r="P17887" s="8"/>
    </row>
    <row r="17888" spans="16:16" x14ac:dyDescent="0.35">
      <c r="P17888" s="8"/>
    </row>
    <row r="17889" spans="16:16" x14ac:dyDescent="0.35">
      <c r="P17889" s="8"/>
    </row>
    <row r="17890" spans="16:16" x14ac:dyDescent="0.35">
      <c r="P17890" s="8"/>
    </row>
    <row r="17891" spans="16:16" x14ac:dyDescent="0.35">
      <c r="P17891" s="8"/>
    </row>
    <row r="17892" spans="16:16" x14ac:dyDescent="0.35">
      <c r="P17892" s="8"/>
    </row>
    <row r="17893" spans="16:16" x14ac:dyDescent="0.35">
      <c r="P17893" s="8"/>
    </row>
    <row r="17894" spans="16:16" x14ac:dyDescent="0.35">
      <c r="P17894" s="8"/>
    </row>
    <row r="17895" spans="16:16" x14ac:dyDescent="0.35">
      <c r="P17895" s="8"/>
    </row>
    <row r="17896" spans="16:16" x14ac:dyDescent="0.35">
      <c r="P17896" s="8"/>
    </row>
    <row r="17897" spans="16:16" x14ac:dyDescent="0.35">
      <c r="P17897" s="8"/>
    </row>
    <row r="17898" spans="16:16" x14ac:dyDescent="0.35">
      <c r="P17898" s="8"/>
    </row>
    <row r="17899" spans="16:16" x14ac:dyDescent="0.35">
      <c r="P17899" s="8"/>
    </row>
    <row r="17900" spans="16:16" x14ac:dyDescent="0.35">
      <c r="P17900" s="8"/>
    </row>
    <row r="17901" spans="16:16" x14ac:dyDescent="0.35">
      <c r="P17901" s="8"/>
    </row>
    <row r="17902" spans="16:16" x14ac:dyDescent="0.35">
      <c r="P17902" s="8"/>
    </row>
    <row r="17903" spans="16:16" x14ac:dyDescent="0.35">
      <c r="P17903" s="8"/>
    </row>
    <row r="17904" spans="16:16" x14ac:dyDescent="0.35">
      <c r="P17904" s="8"/>
    </row>
    <row r="17905" spans="16:16" x14ac:dyDescent="0.35">
      <c r="P17905" s="8"/>
    </row>
    <row r="17906" spans="16:16" x14ac:dyDescent="0.35">
      <c r="P17906" s="8"/>
    </row>
    <row r="17907" spans="16:16" x14ac:dyDescent="0.35">
      <c r="P17907" s="8"/>
    </row>
    <row r="17908" spans="16:16" x14ac:dyDescent="0.35">
      <c r="P17908" s="8"/>
    </row>
    <row r="17909" spans="16:16" x14ac:dyDescent="0.35">
      <c r="P17909" s="8"/>
    </row>
    <row r="17910" spans="16:16" x14ac:dyDescent="0.35">
      <c r="P17910" s="8"/>
    </row>
    <row r="17911" spans="16:16" x14ac:dyDescent="0.35">
      <c r="P17911" s="8"/>
    </row>
    <row r="17912" spans="16:16" x14ac:dyDescent="0.35">
      <c r="P17912" s="8"/>
    </row>
    <row r="17913" spans="16:16" x14ac:dyDescent="0.35">
      <c r="P17913" s="8"/>
    </row>
    <row r="17914" spans="16:16" x14ac:dyDescent="0.35">
      <c r="P17914" s="8"/>
    </row>
    <row r="17915" spans="16:16" x14ac:dyDescent="0.35">
      <c r="P17915" s="8"/>
    </row>
    <row r="17916" spans="16:16" x14ac:dyDescent="0.35">
      <c r="P17916" s="8"/>
    </row>
    <row r="17917" spans="16:16" x14ac:dyDescent="0.35">
      <c r="P17917" s="8"/>
    </row>
    <row r="17918" spans="16:16" x14ac:dyDescent="0.35">
      <c r="P17918" s="8"/>
    </row>
    <row r="17919" spans="16:16" x14ac:dyDescent="0.35">
      <c r="P17919" s="8"/>
    </row>
    <row r="17920" spans="16:16" x14ac:dyDescent="0.35">
      <c r="P17920" s="8"/>
    </row>
    <row r="17921" spans="16:16" x14ac:dyDescent="0.35">
      <c r="P17921" s="8"/>
    </row>
    <row r="17922" spans="16:16" x14ac:dyDescent="0.35">
      <c r="P17922" s="8"/>
    </row>
    <row r="17923" spans="16:16" x14ac:dyDescent="0.35">
      <c r="P17923" s="8"/>
    </row>
    <row r="17924" spans="16:16" x14ac:dyDescent="0.35">
      <c r="P17924" s="8"/>
    </row>
    <row r="17925" spans="16:16" x14ac:dyDescent="0.35">
      <c r="P17925" s="8"/>
    </row>
    <row r="17926" spans="16:16" x14ac:dyDescent="0.35">
      <c r="P17926" s="8"/>
    </row>
    <row r="17927" spans="16:16" x14ac:dyDescent="0.35">
      <c r="P17927" s="8"/>
    </row>
    <row r="17928" spans="16:16" x14ac:dyDescent="0.35">
      <c r="P17928" s="8"/>
    </row>
    <row r="17929" spans="16:16" x14ac:dyDescent="0.35">
      <c r="P17929" s="8"/>
    </row>
    <row r="17930" spans="16:16" x14ac:dyDescent="0.35">
      <c r="P17930" s="8"/>
    </row>
    <row r="17931" spans="16:16" x14ac:dyDescent="0.35">
      <c r="P17931" s="8"/>
    </row>
    <row r="17932" spans="16:16" x14ac:dyDescent="0.35">
      <c r="P17932" s="8"/>
    </row>
    <row r="17933" spans="16:16" x14ac:dyDescent="0.35">
      <c r="P17933" s="8"/>
    </row>
    <row r="17934" spans="16:16" x14ac:dyDescent="0.35">
      <c r="P17934" s="8"/>
    </row>
    <row r="17935" spans="16:16" x14ac:dyDescent="0.35">
      <c r="P17935" s="8"/>
    </row>
    <row r="17936" spans="16:16" x14ac:dyDescent="0.35">
      <c r="P17936" s="8"/>
    </row>
    <row r="17937" spans="16:16" x14ac:dyDescent="0.35">
      <c r="P17937" s="8"/>
    </row>
    <row r="17938" spans="16:16" x14ac:dyDescent="0.35">
      <c r="P17938" s="8"/>
    </row>
    <row r="17939" spans="16:16" x14ac:dyDescent="0.35">
      <c r="P17939" s="8"/>
    </row>
    <row r="17940" spans="16:16" x14ac:dyDescent="0.35">
      <c r="P17940" s="8"/>
    </row>
    <row r="17941" spans="16:16" x14ac:dyDescent="0.35">
      <c r="P17941" s="8"/>
    </row>
    <row r="17942" spans="16:16" x14ac:dyDescent="0.35">
      <c r="P17942" s="8"/>
    </row>
    <row r="17943" spans="16:16" x14ac:dyDescent="0.35">
      <c r="P17943" s="8"/>
    </row>
    <row r="17944" spans="16:16" x14ac:dyDescent="0.35">
      <c r="P17944" s="8"/>
    </row>
    <row r="17945" spans="16:16" x14ac:dyDescent="0.35">
      <c r="P17945" s="8"/>
    </row>
    <row r="17946" spans="16:16" x14ac:dyDescent="0.35">
      <c r="P17946" s="8"/>
    </row>
    <row r="17947" spans="16:16" x14ac:dyDescent="0.35">
      <c r="P17947" s="8"/>
    </row>
    <row r="17948" spans="16:16" x14ac:dyDescent="0.35">
      <c r="P17948" s="8"/>
    </row>
    <row r="17949" spans="16:16" x14ac:dyDescent="0.35">
      <c r="P17949" s="8"/>
    </row>
    <row r="17950" spans="16:16" x14ac:dyDescent="0.35">
      <c r="P17950" s="8"/>
    </row>
    <row r="17951" spans="16:16" x14ac:dyDescent="0.35">
      <c r="P17951" s="8"/>
    </row>
    <row r="17952" spans="16:16" x14ac:dyDescent="0.35">
      <c r="P17952" s="8"/>
    </row>
    <row r="17953" spans="16:16" x14ac:dyDescent="0.35">
      <c r="P17953" s="8"/>
    </row>
    <row r="17954" spans="16:16" x14ac:dyDescent="0.35">
      <c r="P17954" s="8"/>
    </row>
    <row r="17955" spans="16:16" x14ac:dyDescent="0.35">
      <c r="P17955" s="8"/>
    </row>
    <row r="17956" spans="16:16" x14ac:dyDescent="0.35">
      <c r="P17956" s="8"/>
    </row>
    <row r="17957" spans="16:16" x14ac:dyDescent="0.35">
      <c r="P17957" s="8"/>
    </row>
    <row r="17958" spans="16:16" x14ac:dyDescent="0.35">
      <c r="P17958" s="8"/>
    </row>
    <row r="17959" spans="16:16" x14ac:dyDescent="0.35">
      <c r="P17959" s="8"/>
    </row>
    <row r="17960" spans="16:16" x14ac:dyDescent="0.35">
      <c r="P17960" s="8"/>
    </row>
    <row r="17961" spans="16:16" x14ac:dyDescent="0.35">
      <c r="P17961" s="8"/>
    </row>
    <row r="17962" spans="16:16" x14ac:dyDescent="0.35">
      <c r="P17962" s="8"/>
    </row>
    <row r="17963" spans="16:16" x14ac:dyDescent="0.35">
      <c r="P17963" s="8"/>
    </row>
    <row r="17964" spans="16:16" x14ac:dyDescent="0.35">
      <c r="P17964" s="8"/>
    </row>
    <row r="17965" spans="16:16" x14ac:dyDescent="0.35">
      <c r="P17965" s="8"/>
    </row>
    <row r="17966" spans="16:16" x14ac:dyDescent="0.35">
      <c r="P17966" s="8"/>
    </row>
    <row r="17967" spans="16:16" x14ac:dyDescent="0.35">
      <c r="P17967" s="8"/>
    </row>
    <row r="17968" spans="16:16" x14ac:dyDescent="0.35">
      <c r="P17968" s="8"/>
    </row>
    <row r="17969" spans="16:16" x14ac:dyDescent="0.35">
      <c r="P17969" s="8"/>
    </row>
    <row r="17970" spans="16:16" x14ac:dyDescent="0.35">
      <c r="P17970" s="8"/>
    </row>
    <row r="17971" spans="16:16" x14ac:dyDescent="0.35">
      <c r="P17971" s="8"/>
    </row>
    <row r="17972" spans="16:16" x14ac:dyDescent="0.35">
      <c r="P17972" s="8"/>
    </row>
    <row r="17973" spans="16:16" x14ac:dyDescent="0.35">
      <c r="P17973" s="8"/>
    </row>
    <row r="17974" spans="16:16" x14ac:dyDescent="0.35">
      <c r="P17974" s="8"/>
    </row>
    <row r="17975" spans="16:16" x14ac:dyDescent="0.35">
      <c r="P17975" s="8"/>
    </row>
    <row r="17976" spans="16:16" x14ac:dyDescent="0.35">
      <c r="P17976" s="8"/>
    </row>
    <row r="17977" spans="16:16" x14ac:dyDescent="0.35">
      <c r="P17977" s="8"/>
    </row>
    <row r="17978" spans="16:16" x14ac:dyDescent="0.35">
      <c r="P17978" s="8"/>
    </row>
    <row r="17979" spans="16:16" x14ac:dyDescent="0.35">
      <c r="P17979" s="8"/>
    </row>
    <row r="17980" spans="16:16" x14ac:dyDescent="0.35">
      <c r="P17980" s="8"/>
    </row>
    <row r="17981" spans="16:16" x14ac:dyDescent="0.35">
      <c r="P17981" s="8"/>
    </row>
    <row r="17982" spans="16:16" x14ac:dyDescent="0.35">
      <c r="P17982" s="8"/>
    </row>
    <row r="17983" spans="16:16" x14ac:dyDescent="0.35">
      <c r="P17983" s="8"/>
    </row>
    <row r="17984" spans="16:16" x14ac:dyDescent="0.35">
      <c r="P17984" s="8"/>
    </row>
    <row r="17985" spans="16:16" x14ac:dyDescent="0.35">
      <c r="P17985" s="8"/>
    </row>
    <row r="17986" spans="16:16" x14ac:dyDescent="0.35">
      <c r="P17986" s="8"/>
    </row>
    <row r="17987" spans="16:16" x14ac:dyDescent="0.35">
      <c r="P17987" s="8"/>
    </row>
    <row r="17988" spans="16:16" x14ac:dyDescent="0.35">
      <c r="P17988" s="8"/>
    </row>
    <row r="17989" spans="16:16" x14ac:dyDescent="0.35">
      <c r="P17989" s="8"/>
    </row>
    <row r="17990" spans="16:16" x14ac:dyDescent="0.35">
      <c r="P17990" s="8"/>
    </row>
    <row r="17991" spans="16:16" x14ac:dyDescent="0.35">
      <c r="P17991" s="8"/>
    </row>
    <row r="17992" spans="16:16" x14ac:dyDescent="0.35">
      <c r="P17992" s="8"/>
    </row>
    <row r="17993" spans="16:16" x14ac:dyDescent="0.35">
      <c r="P17993" s="8"/>
    </row>
    <row r="17994" spans="16:16" x14ac:dyDescent="0.35">
      <c r="P17994" s="8"/>
    </row>
    <row r="17995" spans="16:16" x14ac:dyDescent="0.35">
      <c r="P17995" s="8"/>
    </row>
    <row r="17996" spans="16:16" x14ac:dyDescent="0.35">
      <c r="P17996" s="8"/>
    </row>
    <row r="17997" spans="16:16" x14ac:dyDescent="0.35">
      <c r="P17997" s="8"/>
    </row>
    <row r="17998" spans="16:16" x14ac:dyDescent="0.35">
      <c r="P17998" s="8"/>
    </row>
    <row r="17999" spans="16:16" x14ac:dyDescent="0.35">
      <c r="P17999" s="8"/>
    </row>
    <row r="18000" spans="16:16" x14ac:dyDescent="0.35">
      <c r="P18000" s="8"/>
    </row>
    <row r="18001" spans="16:16" x14ac:dyDescent="0.35">
      <c r="P18001" s="8"/>
    </row>
    <row r="18002" spans="16:16" x14ac:dyDescent="0.35">
      <c r="P18002" s="8"/>
    </row>
    <row r="18003" spans="16:16" x14ac:dyDescent="0.35">
      <c r="P18003" s="8"/>
    </row>
    <row r="18004" spans="16:16" x14ac:dyDescent="0.35">
      <c r="P18004" s="8"/>
    </row>
    <row r="18005" spans="16:16" x14ac:dyDescent="0.35">
      <c r="P18005" s="8"/>
    </row>
    <row r="18006" spans="16:16" x14ac:dyDescent="0.35">
      <c r="P18006" s="8"/>
    </row>
    <row r="18007" spans="16:16" x14ac:dyDescent="0.35">
      <c r="P18007" s="8"/>
    </row>
    <row r="18008" spans="16:16" x14ac:dyDescent="0.35">
      <c r="P18008" s="8"/>
    </row>
    <row r="18009" spans="16:16" x14ac:dyDescent="0.35">
      <c r="P18009" s="8"/>
    </row>
    <row r="18010" spans="16:16" x14ac:dyDescent="0.35">
      <c r="P18010" s="8"/>
    </row>
    <row r="18011" spans="16:16" x14ac:dyDescent="0.35">
      <c r="P18011" s="8"/>
    </row>
    <row r="18012" spans="16:16" x14ac:dyDescent="0.35">
      <c r="P18012" s="8"/>
    </row>
    <row r="18013" spans="16:16" x14ac:dyDescent="0.35">
      <c r="P18013" s="8"/>
    </row>
    <row r="18014" spans="16:16" x14ac:dyDescent="0.35">
      <c r="P18014" s="8"/>
    </row>
    <row r="18015" spans="16:16" x14ac:dyDescent="0.35">
      <c r="P18015" s="8"/>
    </row>
    <row r="18016" spans="16:16" x14ac:dyDescent="0.35">
      <c r="P18016" s="8"/>
    </row>
    <row r="18017" spans="16:16" x14ac:dyDescent="0.35">
      <c r="P18017" s="8"/>
    </row>
    <row r="18018" spans="16:16" x14ac:dyDescent="0.35">
      <c r="P18018" s="8"/>
    </row>
    <row r="18019" spans="16:16" x14ac:dyDescent="0.35">
      <c r="P18019" s="8"/>
    </row>
    <row r="18020" spans="16:16" x14ac:dyDescent="0.35">
      <c r="P18020" s="8"/>
    </row>
    <row r="18021" spans="16:16" x14ac:dyDescent="0.35">
      <c r="P18021" s="8"/>
    </row>
    <row r="18022" spans="16:16" x14ac:dyDescent="0.35">
      <c r="P18022" s="8"/>
    </row>
    <row r="18023" spans="16:16" x14ac:dyDescent="0.35">
      <c r="P18023" s="8"/>
    </row>
    <row r="18024" spans="16:16" x14ac:dyDescent="0.35">
      <c r="P18024" s="8"/>
    </row>
    <row r="18025" spans="16:16" x14ac:dyDescent="0.35">
      <c r="P18025" s="8"/>
    </row>
    <row r="18026" spans="16:16" x14ac:dyDescent="0.35">
      <c r="P18026" s="8"/>
    </row>
    <row r="18027" spans="16:16" x14ac:dyDescent="0.35">
      <c r="P18027" s="8"/>
    </row>
    <row r="18028" spans="16:16" x14ac:dyDescent="0.35">
      <c r="P18028" s="8"/>
    </row>
    <row r="18029" spans="16:16" x14ac:dyDescent="0.35">
      <c r="P18029" s="8"/>
    </row>
    <row r="18030" spans="16:16" x14ac:dyDescent="0.35">
      <c r="P18030" s="8"/>
    </row>
    <row r="18031" spans="16:16" x14ac:dyDescent="0.35">
      <c r="P18031" s="8"/>
    </row>
    <row r="18032" spans="16:16" x14ac:dyDescent="0.35">
      <c r="P18032" s="8"/>
    </row>
    <row r="18033" spans="16:16" x14ac:dyDescent="0.35">
      <c r="P18033" s="8"/>
    </row>
    <row r="18034" spans="16:16" x14ac:dyDescent="0.35">
      <c r="P18034" s="8"/>
    </row>
    <row r="18035" spans="16:16" x14ac:dyDescent="0.35">
      <c r="P18035" s="8"/>
    </row>
    <row r="18036" spans="16:16" x14ac:dyDescent="0.35">
      <c r="P18036" s="8"/>
    </row>
    <row r="18037" spans="16:16" x14ac:dyDescent="0.35">
      <c r="P18037" s="8"/>
    </row>
    <row r="18038" spans="16:16" x14ac:dyDescent="0.35">
      <c r="P18038" s="8"/>
    </row>
    <row r="18039" spans="16:16" x14ac:dyDescent="0.35">
      <c r="P18039" s="8"/>
    </row>
    <row r="18040" spans="16:16" x14ac:dyDescent="0.35">
      <c r="P18040" s="8"/>
    </row>
    <row r="18041" spans="16:16" x14ac:dyDescent="0.35">
      <c r="P18041" s="8"/>
    </row>
    <row r="18042" spans="16:16" x14ac:dyDescent="0.35">
      <c r="P18042" s="8"/>
    </row>
    <row r="18043" spans="16:16" x14ac:dyDescent="0.35">
      <c r="P18043" s="8"/>
    </row>
    <row r="18044" spans="16:16" x14ac:dyDescent="0.35">
      <c r="P18044" s="8"/>
    </row>
    <row r="18045" spans="16:16" x14ac:dyDescent="0.35">
      <c r="P18045" s="8"/>
    </row>
    <row r="18046" spans="16:16" x14ac:dyDescent="0.35">
      <c r="P18046" s="8"/>
    </row>
    <row r="18047" spans="16:16" x14ac:dyDescent="0.35">
      <c r="P18047" s="8"/>
    </row>
    <row r="18048" spans="16:16" x14ac:dyDescent="0.35">
      <c r="P18048" s="8"/>
    </row>
    <row r="18049" spans="16:16" x14ac:dyDescent="0.35">
      <c r="P18049" s="8"/>
    </row>
    <row r="18050" spans="16:16" x14ac:dyDescent="0.35">
      <c r="P18050" s="8"/>
    </row>
    <row r="18051" spans="16:16" x14ac:dyDescent="0.35">
      <c r="P18051" s="8"/>
    </row>
    <row r="18052" spans="16:16" x14ac:dyDescent="0.35">
      <c r="P18052" s="8"/>
    </row>
    <row r="18053" spans="16:16" x14ac:dyDescent="0.35">
      <c r="P18053" s="8"/>
    </row>
    <row r="18054" spans="16:16" x14ac:dyDescent="0.35">
      <c r="P18054" s="8"/>
    </row>
    <row r="18055" spans="16:16" x14ac:dyDescent="0.35">
      <c r="P18055" s="8"/>
    </row>
    <row r="18056" spans="16:16" x14ac:dyDescent="0.35">
      <c r="P18056" s="8"/>
    </row>
    <row r="18057" spans="16:16" x14ac:dyDescent="0.35">
      <c r="P18057" s="8"/>
    </row>
    <row r="18058" spans="16:16" x14ac:dyDescent="0.35">
      <c r="P18058" s="8"/>
    </row>
    <row r="18059" spans="16:16" x14ac:dyDescent="0.35">
      <c r="P18059" s="8"/>
    </row>
    <row r="18060" spans="16:16" x14ac:dyDescent="0.35">
      <c r="P18060" s="8"/>
    </row>
    <row r="18061" spans="16:16" x14ac:dyDescent="0.35">
      <c r="P18061" s="8"/>
    </row>
    <row r="18062" spans="16:16" x14ac:dyDescent="0.35">
      <c r="P18062" s="8"/>
    </row>
    <row r="18063" spans="16:16" x14ac:dyDescent="0.35">
      <c r="P18063" s="8"/>
    </row>
    <row r="18064" spans="16:16" x14ac:dyDescent="0.35">
      <c r="P18064" s="8"/>
    </row>
    <row r="18065" spans="16:16" x14ac:dyDescent="0.35">
      <c r="P18065" s="8"/>
    </row>
    <row r="18066" spans="16:16" x14ac:dyDescent="0.35">
      <c r="P18066" s="8"/>
    </row>
    <row r="18067" spans="16:16" x14ac:dyDescent="0.35">
      <c r="P18067" s="8"/>
    </row>
    <row r="18068" spans="16:16" x14ac:dyDescent="0.35">
      <c r="P18068" s="8"/>
    </row>
    <row r="18069" spans="16:16" x14ac:dyDescent="0.35">
      <c r="P18069" s="8"/>
    </row>
    <row r="18070" spans="16:16" x14ac:dyDescent="0.35">
      <c r="P18070" s="8"/>
    </row>
    <row r="18071" spans="16:16" x14ac:dyDescent="0.35">
      <c r="P18071" s="8"/>
    </row>
    <row r="18072" spans="16:16" x14ac:dyDescent="0.35">
      <c r="P18072" s="8"/>
    </row>
    <row r="18073" spans="16:16" x14ac:dyDescent="0.35">
      <c r="P18073" s="8"/>
    </row>
    <row r="18074" spans="16:16" x14ac:dyDescent="0.35">
      <c r="P18074" s="8"/>
    </row>
    <row r="18075" spans="16:16" x14ac:dyDescent="0.35">
      <c r="P18075" s="8"/>
    </row>
    <row r="18076" spans="16:16" x14ac:dyDescent="0.35">
      <c r="P18076" s="8"/>
    </row>
    <row r="18077" spans="16:16" x14ac:dyDescent="0.35">
      <c r="P18077" s="8"/>
    </row>
    <row r="18078" spans="16:16" x14ac:dyDescent="0.35">
      <c r="P18078" s="8"/>
    </row>
    <row r="18079" spans="16:16" x14ac:dyDescent="0.35">
      <c r="P18079" s="8"/>
    </row>
    <row r="18080" spans="16:16" x14ac:dyDescent="0.35">
      <c r="P18080" s="8"/>
    </row>
    <row r="18081" spans="16:16" x14ac:dyDescent="0.35">
      <c r="P18081" s="8"/>
    </row>
    <row r="18082" spans="16:16" x14ac:dyDescent="0.35">
      <c r="P18082" s="8"/>
    </row>
    <row r="18083" spans="16:16" x14ac:dyDescent="0.35">
      <c r="P18083" s="8"/>
    </row>
    <row r="18084" spans="16:16" x14ac:dyDescent="0.35">
      <c r="P18084" s="8"/>
    </row>
    <row r="18085" spans="16:16" x14ac:dyDescent="0.35">
      <c r="P18085" s="8"/>
    </row>
    <row r="18086" spans="16:16" x14ac:dyDescent="0.35">
      <c r="P18086" s="8"/>
    </row>
    <row r="18087" spans="16:16" x14ac:dyDescent="0.35">
      <c r="P18087" s="8"/>
    </row>
    <row r="18088" spans="16:16" x14ac:dyDescent="0.35">
      <c r="P18088" s="8"/>
    </row>
    <row r="18089" spans="16:16" x14ac:dyDescent="0.35">
      <c r="P18089" s="8"/>
    </row>
    <row r="18090" spans="16:16" x14ac:dyDescent="0.35">
      <c r="P18090" s="8"/>
    </row>
    <row r="18091" spans="16:16" x14ac:dyDescent="0.35">
      <c r="P18091" s="8"/>
    </row>
    <row r="18092" spans="16:16" x14ac:dyDescent="0.35">
      <c r="P18092" s="8"/>
    </row>
    <row r="18093" spans="16:16" x14ac:dyDescent="0.35">
      <c r="P18093" s="8"/>
    </row>
    <row r="18094" spans="16:16" x14ac:dyDescent="0.35">
      <c r="P18094" s="8"/>
    </row>
    <row r="18095" spans="16:16" x14ac:dyDescent="0.35">
      <c r="P18095" s="8"/>
    </row>
    <row r="18096" spans="16:16" x14ac:dyDescent="0.35">
      <c r="P18096" s="8"/>
    </row>
    <row r="18097" spans="16:16" x14ac:dyDescent="0.35">
      <c r="P18097" s="8"/>
    </row>
    <row r="18098" spans="16:16" x14ac:dyDescent="0.35">
      <c r="P18098" s="8"/>
    </row>
    <row r="18099" spans="16:16" x14ac:dyDescent="0.35">
      <c r="P18099" s="8"/>
    </row>
    <row r="18100" spans="16:16" x14ac:dyDescent="0.35">
      <c r="P18100" s="8"/>
    </row>
    <row r="18101" spans="16:16" x14ac:dyDescent="0.35">
      <c r="P18101" s="8"/>
    </row>
    <row r="18102" spans="16:16" x14ac:dyDescent="0.35">
      <c r="P18102" s="8"/>
    </row>
    <row r="18103" spans="16:16" x14ac:dyDescent="0.35">
      <c r="P18103" s="8"/>
    </row>
    <row r="18104" spans="16:16" x14ac:dyDescent="0.35">
      <c r="P18104" s="8"/>
    </row>
    <row r="18105" spans="16:16" x14ac:dyDescent="0.35">
      <c r="P18105" s="8"/>
    </row>
    <row r="18106" spans="16:16" x14ac:dyDescent="0.35">
      <c r="P18106" s="8"/>
    </row>
    <row r="18107" spans="16:16" x14ac:dyDescent="0.35">
      <c r="P18107" s="8"/>
    </row>
    <row r="18108" spans="16:16" x14ac:dyDescent="0.35">
      <c r="P18108" s="8"/>
    </row>
    <row r="18109" spans="16:16" x14ac:dyDescent="0.35">
      <c r="P18109" s="8"/>
    </row>
    <row r="18110" spans="16:16" x14ac:dyDescent="0.35">
      <c r="P18110" s="8"/>
    </row>
    <row r="18111" spans="16:16" x14ac:dyDescent="0.35">
      <c r="P18111" s="8"/>
    </row>
    <row r="18112" spans="16:16" x14ac:dyDescent="0.35">
      <c r="P18112" s="8"/>
    </row>
    <row r="18113" spans="16:16" x14ac:dyDescent="0.35">
      <c r="P18113" s="8"/>
    </row>
    <row r="18114" spans="16:16" x14ac:dyDescent="0.35">
      <c r="P18114" s="8"/>
    </row>
    <row r="18115" spans="16:16" x14ac:dyDescent="0.35">
      <c r="P18115" s="8"/>
    </row>
    <row r="18116" spans="16:16" x14ac:dyDescent="0.35">
      <c r="P18116" s="8"/>
    </row>
    <row r="18117" spans="16:16" x14ac:dyDescent="0.35">
      <c r="P18117" s="8"/>
    </row>
    <row r="18118" spans="16:16" x14ac:dyDescent="0.35">
      <c r="P18118" s="8"/>
    </row>
    <row r="18119" spans="16:16" x14ac:dyDescent="0.35">
      <c r="P18119" s="8"/>
    </row>
    <row r="18120" spans="16:16" x14ac:dyDescent="0.35">
      <c r="P18120" s="8"/>
    </row>
    <row r="18121" spans="16:16" x14ac:dyDescent="0.35">
      <c r="P18121" s="8"/>
    </row>
    <row r="18122" spans="16:16" x14ac:dyDescent="0.35">
      <c r="P18122" s="8"/>
    </row>
    <row r="18123" spans="16:16" x14ac:dyDescent="0.35">
      <c r="P18123" s="8"/>
    </row>
    <row r="18124" spans="16:16" x14ac:dyDescent="0.35">
      <c r="P18124" s="8"/>
    </row>
    <row r="18125" spans="16:16" x14ac:dyDescent="0.35">
      <c r="P18125" s="8"/>
    </row>
    <row r="18126" spans="16:16" x14ac:dyDescent="0.35">
      <c r="P18126" s="8"/>
    </row>
    <row r="18127" spans="16:16" x14ac:dyDescent="0.35">
      <c r="P18127" s="8"/>
    </row>
    <row r="18128" spans="16:16" x14ac:dyDescent="0.35">
      <c r="P18128" s="8"/>
    </row>
    <row r="18129" spans="16:16" x14ac:dyDescent="0.35">
      <c r="P18129" s="8"/>
    </row>
    <row r="18130" spans="16:16" x14ac:dyDescent="0.35">
      <c r="P18130" s="8"/>
    </row>
    <row r="18131" spans="16:16" x14ac:dyDescent="0.35">
      <c r="P18131" s="8"/>
    </row>
    <row r="18132" spans="16:16" x14ac:dyDescent="0.35">
      <c r="P18132" s="8"/>
    </row>
    <row r="18133" spans="16:16" x14ac:dyDescent="0.35">
      <c r="P18133" s="8"/>
    </row>
    <row r="18134" spans="16:16" x14ac:dyDescent="0.35">
      <c r="P18134" s="8"/>
    </row>
    <row r="18135" spans="16:16" x14ac:dyDescent="0.35">
      <c r="P18135" s="8"/>
    </row>
    <row r="18136" spans="16:16" x14ac:dyDescent="0.35">
      <c r="P18136" s="8"/>
    </row>
    <row r="18137" spans="16:16" x14ac:dyDescent="0.35">
      <c r="P18137" s="8"/>
    </row>
    <row r="18138" spans="16:16" x14ac:dyDescent="0.35">
      <c r="P18138" s="8"/>
    </row>
    <row r="18139" spans="16:16" x14ac:dyDescent="0.35">
      <c r="P18139" s="8"/>
    </row>
    <row r="18140" spans="16:16" x14ac:dyDescent="0.35">
      <c r="P18140" s="8"/>
    </row>
    <row r="18141" spans="16:16" x14ac:dyDescent="0.35">
      <c r="P18141" s="8"/>
    </row>
    <row r="18142" spans="16:16" x14ac:dyDescent="0.35">
      <c r="P18142" s="8"/>
    </row>
    <row r="18143" spans="16:16" x14ac:dyDescent="0.35">
      <c r="P18143" s="8"/>
    </row>
    <row r="18144" spans="16:16" x14ac:dyDescent="0.35">
      <c r="P18144" s="8"/>
    </row>
    <row r="18145" spans="16:16" x14ac:dyDescent="0.35">
      <c r="P18145" s="8"/>
    </row>
    <row r="18146" spans="16:16" x14ac:dyDescent="0.35">
      <c r="P18146" s="8"/>
    </row>
    <row r="18147" spans="16:16" x14ac:dyDescent="0.35">
      <c r="P18147" s="8"/>
    </row>
    <row r="18148" spans="16:16" x14ac:dyDescent="0.35">
      <c r="P18148" s="8"/>
    </row>
    <row r="18149" spans="16:16" x14ac:dyDescent="0.35">
      <c r="P18149" s="8"/>
    </row>
    <row r="18150" spans="16:16" x14ac:dyDescent="0.35">
      <c r="P18150" s="8"/>
    </row>
    <row r="18151" spans="16:16" x14ac:dyDescent="0.35">
      <c r="P18151" s="8"/>
    </row>
    <row r="18152" spans="16:16" x14ac:dyDescent="0.35">
      <c r="P18152" s="8"/>
    </row>
    <row r="18153" spans="16:16" x14ac:dyDescent="0.35">
      <c r="P18153" s="8"/>
    </row>
    <row r="18154" spans="16:16" x14ac:dyDescent="0.35">
      <c r="P18154" s="8"/>
    </row>
    <row r="18155" spans="16:16" x14ac:dyDescent="0.35">
      <c r="P18155" s="8"/>
    </row>
    <row r="18156" spans="16:16" x14ac:dyDescent="0.35">
      <c r="P18156" s="8"/>
    </row>
    <row r="18157" spans="16:16" x14ac:dyDescent="0.35">
      <c r="P18157" s="8"/>
    </row>
    <row r="18158" spans="16:16" x14ac:dyDescent="0.35">
      <c r="P18158" s="8"/>
    </row>
    <row r="18159" spans="16:16" x14ac:dyDescent="0.35">
      <c r="P18159" s="8"/>
    </row>
    <row r="18160" spans="16:16" x14ac:dyDescent="0.35">
      <c r="P18160" s="8"/>
    </row>
    <row r="18161" spans="16:16" x14ac:dyDescent="0.35">
      <c r="P18161" s="8"/>
    </row>
    <row r="18162" spans="16:16" x14ac:dyDescent="0.35">
      <c r="P18162" s="8"/>
    </row>
    <row r="18163" spans="16:16" x14ac:dyDescent="0.35">
      <c r="P18163" s="8"/>
    </row>
    <row r="18164" spans="16:16" x14ac:dyDescent="0.35">
      <c r="P18164" s="8"/>
    </row>
    <row r="18165" spans="16:16" x14ac:dyDescent="0.35">
      <c r="P18165" s="8"/>
    </row>
    <row r="18166" spans="16:16" x14ac:dyDescent="0.35">
      <c r="P18166" s="8"/>
    </row>
    <row r="18167" spans="16:16" x14ac:dyDescent="0.35">
      <c r="P18167" s="8"/>
    </row>
    <row r="18168" spans="16:16" x14ac:dyDescent="0.35">
      <c r="P18168" s="8"/>
    </row>
    <row r="18169" spans="16:16" x14ac:dyDescent="0.35">
      <c r="P18169" s="8"/>
    </row>
    <row r="18170" spans="16:16" x14ac:dyDescent="0.35">
      <c r="P18170" s="8"/>
    </row>
    <row r="18171" spans="16:16" x14ac:dyDescent="0.35">
      <c r="P18171" s="8"/>
    </row>
    <row r="18172" spans="16:16" x14ac:dyDescent="0.35">
      <c r="P18172" s="8"/>
    </row>
    <row r="18173" spans="16:16" x14ac:dyDescent="0.35">
      <c r="P18173" s="8"/>
    </row>
    <row r="18174" spans="16:16" x14ac:dyDescent="0.35">
      <c r="P18174" s="8"/>
    </row>
    <row r="18175" spans="16:16" x14ac:dyDescent="0.35">
      <c r="P18175" s="8"/>
    </row>
    <row r="18176" spans="16:16" x14ac:dyDescent="0.35">
      <c r="P18176" s="8"/>
    </row>
    <row r="18177" spans="16:16" x14ac:dyDescent="0.35">
      <c r="P18177" s="8"/>
    </row>
    <row r="18178" spans="16:16" x14ac:dyDescent="0.35">
      <c r="P18178" s="8"/>
    </row>
    <row r="18179" spans="16:16" x14ac:dyDescent="0.35">
      <c r="P18179" s="8"/>
    </row>
    <row r="18180" spans="16:16" x14ac:dyDescent="0.35">
      <c r="P18180" s="8"/>
    </row>
    <row r="18181" spans="16:16" x14ac:dyDescent="0.35">
      <c r="P18181" s="8"/>
    </row>
    <row r="18182" spans="16:16" x14ac:dyDescent="0.35">
      <c r="P18182" s="8"/>
    </row>
    <row r="18183" spans="16:16" x14ac:dyDescent="0.35">
      <c r="P18183" s="8"/>
    </row>
    <row r="18184" spans="16:16" x14ac:dyDescent="0.35">
      <c r="P18184" s="8"/>
    </row>
    <row r="18185" spans="16:16" x14ac:dyDescent="0.35">
      <c r="P18185" s="8"/>
    </row>
    <row r="18186" spans="16:16" x14ac:dyDescent="0.35">
      <c r="P18186" s="8"/>
    </row>
    <row r="18187" spans="16:16" x14ac:dyDescent="0.35">
      <c r="P18187" s="8"/>
    </row>
    <row r="18188" spans="16:16" x14ac:dyDescent="0.35">
      <c r="P18188" s="8"/>
    </row>
    <row r="18189" spans="16:16" x14ac:dyDescent="0.35">
      <c r="P18189" s="8"/>
    </row>
    <row r="18190" spans="16:16" x14ac:dyDescent="0.35">
      <c r="P18190" s="8"/>
    </row>
    <row r="18191" spans="16:16" x14ac:dyDescent="0.35">
      <c r="P18191" s="8"/>
    </row>
    <row r="18192" spans="16:16" x14ac:dyDescent="0.35">
      <c r="P18192" s="8"/>
    </row>
    <row r="18193" spans="16:16" x14ac:dyDescent="0.35">
      <c r="P18193" s="8"/>
    </row>
    <row r="18194" spans="16:16" x14ac:dyDescent="0.35">
      <c r="P18194" s="8"/>
    </row>
    <row r="18195" spans="16:16" x14ac:dyDescent="0.35">
      <c r="P18195" s="8"/>
    </row>
    <row r="18196" spans="16:16" x14ac:dyDescent="0.35">
      <c r="P18196" s="8"/>
    </row>
    <row r="18197" spans="16:16" x14ac:dyDescent="0.35">
      <c r="P18197" s="8"/>
    </row>
    <row r="18198" spans="16:16" x14ac:dyDescent="0.35">
      <c r="P18198" s="8"/>
    </row>
    <row r="18199" spans="16:16" x14ac:dyDescent="0.35">
      <c r="P18199" s="8"/>
    </row>
    <row r="18200" spans="16:16" x14ac:dyDescent="0.35">
      <c r="P18200" s="8"/>
    </row>
    <row r="18201" spans="16:16" x14ac:dyDescent="0.35">
      <c r="P18201" s="8"/>
    </row>
    <row r="18202" spans="16:16" x14ac:dyDescent="0.35">
      <c r="P18202" s="8"/>
    </row>
    <row r="18203" spans="16:16" x14ac:dyDescent="0.35">
      <c r="P18203" s="8"/>
    </row>
    <row r="18204" spans="16:16" x14ac:dyDescent="0.35">
      <c r="P18204" s="8"/>
    </row>
    <row r="18205" spans="16:16" x14ac:dyDescent="0.35">
      <c r="P18205" s="8"/>
    </row>
    <row r="18206" spans="16:16" x14ac:dyDescent="0.35">
      <c r="P18206" s="8"/>
    </row>
    <row r="18207" spans="16:16" x14ac:dyDescent="0.35">
      <c r="P18207" s="8"/>
    </row>
    <row r="18208" spans="16:16" x14ac:dyDescent="0.35">
      <c r="P18208" s="8"/>
    </row>
    <row r="18209" spans="16:16" x14ac:dyDescent="0.35">
      <c r="P18209" s="8"/>
    </row>
    <row r="18210" spans="16:16" x14ac:dyDescent="0.35">
      <c r="P18210" s="8"/>
    </row>
    <row r="18211" spans="16:16" x14ac:dyDescent="0.35">
      <c r="P18211" s="8"/>
    </row>
    <row r="18212" spans="16:16" x14ac:dyDescent="0.35">
      <c r="P18212" s="8"/>
    </row>
    <row r="18213" spans="16:16" x14ac:dyDescent="0.35">
      <c r="P18213" s="8"/>
    </row>
    <row r="18214" spans="16:16" x14ac:dyDescent="0.35">
      <c r="P18214" s="8"/>
    </row>
    <row r="18215" spans="16:16" x14ac:dyDescent="0.35">
      <c r="P18215" s="8"/>
    </row>
    <row r="18216" spans="16:16" x14ac:dyDescent="0.35">
      <c r="P18216" s="8"/>
    </row>
    <row r="18217" spans="16:16" x14ac:dyDescent="0.35">
      <c r="P18217" s="8"/>
    </row>
    <row r="18218" spans="16:16" x14ac:dyDescent="0.35">
      <c r="P18218" s="8"/>
    </row>
    <row r="18219" spans="16:16" x14ac:dyDescent="0.35">
      <c r="P18219" s="8"/>
    </row>
    <row r="18220" spans="16:16" x14ac:dyDescent="0.35">
      <c r="P18220" s="8"/>
    </row>
    <row r="18221" spans="16:16" x14ac:dyDescent="0.35">
      <c r="P18221" s="8"/>
    </row>
    <row r="18222" spans="16:16" x14ac:dyDescent="0.35">
      <c r="P18222" s="8"/>
    </row>
    <row r="18223" spans="16:16" x14ac:dyDescent="0.35">
      <c r="P18223" s="8"/>
    </row>
    <row r="18224" spans="16:16" x14ac:dyDescent="0.35">
      <c r="P18224" s="8"/>
    </row>
    <row r="18225" spans="16:16" x14ac:dyDescent="0.35">
      <c r="P18225" s="8"/>
    </row>
    <row r="18226" spans="16:16" x14ac:dyDescent="0.35">
      <c r="P18226" s="8"/>
    </row>
    <row r="18227" spans="16:16" x14ac:dyDescent="0.35">
      <c r="P18227" s="8"/>
    </row>
    <row r="18228" spans="16:16" x14ac:dyDescent="0.35">
      <c r="P18228" s="8"/>
    </row>
    <row r="18229" spans="16:16" x14ac:dyDescent="0.35">
      <c r="P18229" s="8"/>
    </row>
    <row r="18230" spans="16:16" x14ac:dyDescent="0.35">
      <c r="P18230" s="8"/>
    </row>
    <row r="18231" spans="16:16" x14ac:dyDescent="0.35">
      <c r="P18231" s="8"/>
    </row>
    <row r="18232" spans="16:16" x14ac:dyDescent="0.35">
      <c r="P18232" s="8"/>
    </row>
    <row r="18233" spans="16:16" x14ac:dyDescent="0.35">
      <c r="P18233" s="8"/>
    </row>
    <row r="18234" spans="16:16" x14ac:dyDescent="0.35">
      <c r="P18234" s="8"/>
    </row>
    <row r="18235" spans="16:16" x14ac:dyDescent="0.35">
      <c r="P18235" s="8"/>
    </row>
    <row r="18236" spans="16:16" x14ac:dyDescent="0.35">
      <c r="P18236" s="8"/>
    </row>
    <row r="18237" spans="16:16" x14ac:dyDescent="0.35">
      <c r="P18237" s="8"/>
    </row>
    <row r="18238" spans="16:16" x14ac:dyDescent="0.35">
      <c r="P18238" s="8"/>
    </row>
    <row r="18239" spans="16:16" x14ac:dyDescent="0.35">
      <c r="P18239" s="8"/>
    </row>
    <row r="18240" spans="16:16" x14ac:dyDescent="0.35">
      <c r="P18240" s="8"/>
    </row>
    <row r="18241" spans="16:16" x14ac:dyDescent="0.35">
      <c r="P18241" s="8"/>
    </row>
    <row r="18242" spans="16:16" x14ac:dyDescent="0.35">
      <c r="P18242" s="8"/>
    </row>
    <row r="18243" spans="16:16" x14ac:dyDescent="0.35">
      <c r="P18243" s="8"/>
    </row>
    <row r="18244" spans="16:16" x14ac:dyDescent="0.35">
      <c r="P18244" s="8"/>
    </row>
    <row r="18245" spans="16:16" x14ac:dyDescent="0.35">
      <c r="P18245" s="8"/>
    </row>
    <row r="18246" spans="16:16" x14ac:dyDescent="0.35">
      <c r="P18246" s="8"/>
    </row>
    <row r="18247" spans="16:16" x14ac:dyDescent="0.35">
      <c r="P18247" s="8"/>
    </row>
    <row r="18248" spans="16:16" x14ac:dyDescent="0.35">
      <c r="P18248" s="8"/>
    </row>
    <row r="18249" spans="16:16" x14ac:dyDescent="0.35">
      <c r="P18249" s="8"/>
    </row>
    <row r="18250" spans="16:16" x14ac:dyDescent="0.35">
      <c r="P18250" s="8"/>
    </row>
    <row r="18251" spans="16:16" x14ac:dyDescent="0.35">
      <c r="P18251" s="8"/>
    </row>
    <row r="18252" spans="16:16" x14ac:dyDescent="0.35">
      <c r="P18252" s="8"/>
    </row>
    <row r="18253" spans="16:16" x14ac:dyDescent="0.35">
      <c r="P18253" s="8"/>
    </row>
    <row r="18254" spans="16:16" x14ac:dyDescent="0.35">
      <c r="P18254" s="8"/>
    </row>
    <row r="18255" spans="16:16" x14ac:dyDescent="0.35">
      <c r="P18255" s="8"/>
    </row>
    <row r="18256" spans="16:16" x14ac:dyDescent="0.35">
      <c r="P18256" s="8"/>
    </row>
    <row r="18257" spans="16:16" x14ac:dyDescent="0.35">
      <c r="P18257" s="8"/>
    </row>
    <row r="18258" spans="16:16" x14ac:dyDescent="0.35">
      <c r="P18258" s="8"/>
    </row>
    <row r="18259" spans="16:16" x14ac:dyDescent="0.35">
      <c r="P18259" s="8"/>
    </row>
    <row r="18260" spans="16:16" x14ac:dyDescent="0.35">
      <c r="P18260" s="8"/>
    </row>
    <row r="18261" spans="16:16" x14ac:dyDescent="0.35">
      <c r="P18261" s="8"/>
    </row>
    <row r="18262" spans="16:16" x14ac:dyDescent="0.35">
      <c r="P18262" s="8"/>
    </row>
    <row r="18263" spans="16:16" x14ac:dyDescent="0.35">
      <c r="P18263" s="8"/>
    </row>
    <row r="18264" spans="16:16" x14ac:dyDescent="0.35">
      <c r="P18264" s="8"/>
    </row>
    <row r="18265" spans="16:16" x14ac:dyDescent="0.35">
      <c r="P18265" s="8"/>
    </row>
    <row r="18266" spans="16:16" x14ac:dyDescent="0.35">
      <c r="P18266" s="8"/>
    </row>
    <row r="18267" spans="16:16" x14ac:dyDescent="0.35">
      <c r="P18267" s="8"/>
    </row>
    <row r="18268" spans="16:16" x14ac:dyDescent="0.35">
      <c r="P18268" s="8"/>
    </row>
    <row r="18269" spans="16:16" x14ac:dyDescent="0.35">
      <c r="P18269" s="8"/>
    </row>
    <row r="18270" spans="16:16" x14ac:dyDescent="0.35">
      <c r="P18270" s="8"/>
    </row>
    <row r="18271" spans="16:16" x14ac:dyDescent="0.35">
      <c r="P18271" s="8"/>
    </row>
    <row r="18272" spans="16:16" x14ac:dyDescent="0.35">
      <c r="P18272" s="8"/>
    </row>
    <row r="18273" spans="16:16" x14ac:dyDescent="0.35">
      <c r="P18273" s="8"/>
    </row>
    <row r="18274" spans="16:16" x14ac:dyDescent="0.35">
      <c r="P18274" s="8"/>
    </row>
    <row r="18275" spans="16:16" x14ac:dyDescent="0.35">
      <c r="P18275" s="8"/>
    </row>
    <row r="18276" spans="16:16" x14ac:dyDescent="0.35">
      <c r="P18276" s="8"/>
    </row>
    <row r="18277" spans="16:16" x14ac:dyDescent="0.35">
      <c r="P18277" s="8"/>
    </row>
    <row r="18278" spans="16:16" x14ac:dyDescent="0.35">
      <c r="P18278" s="8"/>
    </row>
    <row r="18279" spans="16:16" x14ac:dyDescent="0.35">
      <c r="P18279" s="8"/>
    </row>
    <row r="18280" spans="16:16" x14ac:dyDescent="0.35">
      <c r="P18280" s="8"/>
    </row>
    <row r="18281" spans="16:16" x14ac:dyDescent="0.35">
      <c r="P18281" s="8"/>
    </row>
    <row r="18282" spans="16:16" x14ac:dyDescent="0.35">
      <c r="P18282" s="8"/>
    </row>
    <row r="18283" spans="16:16" x14ac:dyDescent="0.35">
      <c r="P18283" s="8"/>
    </row>
    <row r="18284" spans="16:16" x14ac:dyDescent="0.35">
      <c r="P18284" s="8"/>
    </row>
    <row r="18285" spans="16:16" x14ac:dyDescent="0.35">
      <c r="P18285" s="8"/>
    </row>
    <row r="18286" spans="16:16" x14ac:dyDescent="0.35">
      <c r="P18286" s="8"/>
    </row>
    <row r="18287" spans="16:16" x14ac:dyDescent="0.35">
      <c r="P18287" s="8"/>
    </row>
    <row r="18288" spans="16:16" x14ac:dyDescent="0.35">
      <c r="P18288" s="8"/>
    </row>
    <row r="18289" spans="16:16" x14ac:dyDescent="0.35">
      <c r="P18289" s="8"/>
    </row>
    <row r="18290" spans="16:16" x14ac:dyDescent="0.35">
      <c r="P18290" s="8"/>
    </row>
    <row r="18291" spans="16:16" x14ac:dyDescent="0.35">
      <c r="P18291" s="8"/>
    </row>
    <row r="18292" spans="16:16" x14ac:dyDescent="0.35">
      <c r="P18292" s="8"/>
    </row>
    <row r="18293" spans="16:16" x14ac:dyDescent="0.35">
      <c r="P18293" s="8"/>
    </row>
    <row r="18294" spans="16:16" x14ac:dyDescent="0.35">
      <c r="P18294" s="8"/>
    </row>
    <row r="18295" spans="16:16" x14ac:dyDescent="0.35">
      <c r="P18295" s="8"/>
    </row>
    <row r="18296" spans="16:16" x14ac:dyDescent="0.35">
      <c r="P18296" s="8"/>
    </row>
    <row r="18297" spans="16:16" x14ac:dyDescent="0.35">
      <c r="P18297" s="8"/>
    </row>
    <row r="18298" spans="16:16" x14ac:dyDescent="0.35">
      <c r="P18298" s="8"/>
    </row>
    <row r="18299" spans="16:16" x14ac:dyDescent="0.35">
      <c r="P18299" s="8"/>
    </row>
    <row r="18300" spans="16:16" x14ac:dyDescent="0.35">
      <c r="P18300" s="8"/>
    </row>
    <row r="18301" spans="16:16" x14ac:dyDescent="0.35">
      <c r="P18301" s="8"/>
    </row>
    <row r="18302" spans="16:16" x14ac:dyDescent="0.35">
      <c r="P18302" s="8"/>
    </row>
    <row r="18303" spans="16:16" x14ac:dyDescent="0.35">
      <c r="P18303" s="8"/>
    </row>
    <row r="18304" spans="16:16" x14ac:dyDescent="0.35">
      <c r="P18304" s="8"/>
    </row>
    <row r="18305" spans="16:16" x14ac:dyDescent="0.35">
      <c r="P18305" s="8"/>
    </row>
    <row r="18306" spans="16:16" x14ac:dyDescent="0.35">
      <c r="P18306" s="8"/>
    </row>
    <row r="18307" spans="16:16" x14ac:dyDescent="0.35">
      <c r="P18307" s="8"/>
    </row>
    <row r="18308" spans="16:16" x14ac:dyDescent="0.35">
      <c r="P18308" s="8"/>
    </row>
    <row r="18309" spans="16:16" x14ac:dyDescent="0.35">
      <c r="P18309" s="8"/>
    </row>
    <row r="18310" spans="16:16" x14ac:dyDescent="0.35">
      <c r="P18310" s="8"/>
    </row>
    <row r="18311" spans="16:16" x14ac:dyDescent="0.35">
      <c r="P18311" s="8"/>
    </row>
    <row r="18312" spans="16:16" x14ac:dyDescent="0.35">
      <c r="P18312" s="8"/>
    </row>
    <row r="18313" spans="16:16" x14ac:dyDescent="0.35">
      <c r="P18313" s="8"/>
    </row>
    <row r="18314" spans="16:16" x14ac:dyDescent="0.35">
      <c r="P18314" s="8"/>
    </row>
    <row r="18315" spans="16:16" x14ac:dyDescent="0.35">
      <c r="P18315" s="8"/>
    </row>
    <row r="18316" spans="16:16" x14ac:dyDescent="0.35">
      <c r="P18316" s="8"/>
    </row>
    <row r="18317" spans="16:16" x14ac:dyDescent="0.35">
      <c r="P18317" s="8"/>
    </row>
    <row r="18318" spans="16:16" x14ac:dyDescent="0.35">
      <c r="P18318" s="8"/>
    </row>
    <row r="18319" spans="16:16" x14ac:dyDescent="0.35">
      <c r="P18319" s="8"/>
    </row>
    <row r="18320" spans="16:16" x14ac:dyDescent="0.35">
      <c r="P18320" s="8"/>
    </row>
    <row r="18321" spans="16:16" x14ac:dyDescent="0.35">
      <c r="P18321" s="8"/>
    </row>
    <row r="18322" spans="16:16" x14ac:dyDescent="0.35">
      <c r="P18322" s="8"/>
    </row>
    <row r="18323" spans="16:16" x14ac:dyDescent="0.35">
      <c r="P18323" s="8"/>
    </row>
    <row r="18324" spans="16:16" x14ac:dyDescent="0.35">
      <c r="P18324" s="8"/>
    </row>
    <row r="18325" spans="16:16" x14ac:dyDescent="0.35">
      <c r="P18325" s="8"/>
    </row>
    <row r="18326" spans="16:16" x14ac:dyDescent="0.35">
      <c r="P18326" s="8"/>
    </row>
    <row r="18327" spans="16:16" x14ac:dyDescent="0.35">
      <c r="P18327" s="8"/>
    </row>
    <row r="18328" spans="16:16" x14ac:dyDescent="0.35">
      <c r="P18328" s="8"/>
    </row>
    <row r="18329" spans="16:16" x14ac:dyDescent="0.35">
      <c r="P18329" s="8"/>
    </row>
    <row r="18330" spans="16:16" x14ac:dyDescent="0.35">
      <c r="P18330" s="8"/>
    </row>
    <row r="18331" spans="16:16" x14ac:dyDescent="0.35">
      <c r="P18331" s="8"/>
    </row>
    <row r="18332" spans="16:16" x14ac:dyDescent="0.35">
      <c r="P18332" s="8"/>
    </row>
    <row r="18333" spans="16:16" x14ac:dyDescent="0.35">
      <c r="P18333" s="8"/>
    </row>
    <row r="18334" spans="16:16" x14ac:dyDescent="0.35">
      <c r="P18334" s="8"/>
    </row>
    <row r="18335" spans="16:16" x14ac:dyDescent="0.35">
      <c r="P18335" s="8"/>
    </row>
    <row r="18336" spans="16:16" x14ac:dyDescent="0.35">
      <c r="P18336" s="8"/>
    </row>
    <row r="18337" spans="16:16" x14ac:dyDescent="0.35">
      <c r="P18337" s="8"/>
    </row>
    <row r="18338" spans="16:16" x14ac:dyDescent="0.35">
      <c r="P18338" s="8"/>
    </row>
    <row r="18339" spans="16:16" x14ac:dyDescent="0.35">
      <c r="P18339" s="8"/>
    </row>
    <row r="18340" spans="16:16" x14ac:dyDescent="0.35">
      <c r="P18340" s="8"/>
    </row>
    <row r="18341" spans="16:16" x14ac:dyDescent="0.35">
      <c r="P18341" s="8"/>
    </row>
    <row r="18342" spans="16:16" x14ac:dyDescent="0.35">
      <c r="P18342" s="8"/>
    </row>
    <row r="18343" spans="16:16" x14ac:dyDescent="0.35">
      <c r="P18343" s="8"/>
    </row>
    <row r="18344" spans="16:16" x14ac:dyDescent="0.35">
      <c r="P18344" s="8"/>
    </row>
    <row r="18345" spans="16:16" x14ac:dyDescent="0.35">
      <c r="P18345" s="8"/>
    </row>
    <row r="18346" spans="16:16" x14ac:dyDescent="0.35">
      <c r="P18346" s="8"/>
    </row>
    <row r="18347" spans="16:16" x14ac:dyDescent="0.35">
      <c r="P18347" s="8"/>
    </row>
    <row r="18348" spans="16:16" x14ac:dyDescent="0.35">
      <c r="P18348" s="8"/>
    </row>
    <row r="18349" spans="16:16" x14ac:dyDescent="0.35">
      <c r="P18349" s="8"/>
    </row>
    <row r="18350" spans="16:16" x14ac:dyDescent="0.35">
      <c r="P18350" s="8"/>
    </row>
    <row r="18351" spans="16:16" x14ac:dyDescent="0.35">
      <c r="P18351" s="8"/>
    </row>
    <row r="18352" spans="16:16" x14ac:dyDescent="0.35">
      <c r="P18352" s="8"/>
    </row>
    <row r="18353" spans="16:16" x14ac:dyDescent="0.35">
      <c r="P18353" s="8"/>
    </row>
    <row r="18354" spans="16:16" x14ac:dyDescent="0.35">
      <c r="P18354" s="8"/>
    </row>
    <row r="18355" spans="16:16" x14ac:dyDescent="0.35">
      <c r="P18355" s="8"/>
    </row>
    <row r="18356" spans="16:16" x14ac:dyDescent="0.35">
      <c r="P18356" s="8"/>
    </row>
    <row r="18357" spans="16:16" x14ac:dyDescent="0.35">
      <c r="P18357" s="8"/>
    </row>
    <row r="18358" spans="16:16" x14ac:dyDescent="0.35">
      <c r="P18358" s="8"/>
    </row>
    <row r="18359" spans="16:16" x14ac:dyDescent="0.35">
      <c r="P18359" s="8"/>
    </row>
    <row r="18360" spans="16:16" x14ac:dyDescent="0.35">
      <c r="P18360" s="8"/>
    </row>
    <row r="18361" spans="16:16" x14ac:dyDescent="0.35">
      <c r="P18361" s="8"/>
    </row>
    <row r="18362" spans="16:16" x14ac:dyDescent="0.35">
      <c r="P18362" s="8"/>
    </row>
    <row r="18363" spans="16:16" x14ac:dyDescent="0.35">
      <c r="P18363" s="8"/>
    </row>
    <row r="18364" spans="16:16" x14ac:dyDescent="0.35">
      <c r="P18364" s="8"/>
    </row>
    <row r="18365" spans="16:16" x14ac:dyDescent="0.35">
      <c r="P18365" s="8"/>
    </row>
    <row r="18366" spans="16:16" x14ac:dyDescent="0.35">
      <c r="P18366" s="8"/>
    </row>
    <row r="18367" spans="16:16" x14ac:dyDescent="0.35">
      <c r="P18367" s="8"/>
    </row>
    <row r="18368" spans="16:16" x14ac:dyDescent="0.35">
      <c r="P18368" s="8"/>
    </row>
    <row r="18369" spans="16:16" x14ac:dyDescent="0.35">
      <c r="P18369" s="8"/>
    </row>
    <row r="18370" spans="16:16" x14ac:dyDescent="0.35">
      <c r="P18370" s="8"/>
    </row>
    <row r="18371" spans="16:16" x14ac:dyDescent="0.35">
      <c r="P18371" s="8"/>
    </row>
    <row r="18372" spans="16:16" x14ac:dyDescent="0.35">
      <c r="P18372" s="8"/>
    </row>
    <row r="18373" spans="16:16" x14ac:dyDescent="0.35">
      <c r="P18373" s="8"/>
    </row>
    <row r="18374" spans="16:16" x14ac:dyDescent="0.35">
      <c r="P18374" s="8"/>
    </row>
    <row r="18375" spans="16:16" x14ac:dyDescent="0.35">
      <c r="P18375" s="8"/>
    </row>
    <row r="18376" spans="16:16" x14ac:dyDescent="0.35">
      <c r="P18376" s="8"/>
    </row>
    <row r="18377" spans="16:16" x14ac:dyDescent="0.35">
      <c r="P18377" s="8"/>
    </row>
    <row r="18378" spans="16:16" x14ac:dyDescent="0.35">
      <c r="P18378" s="8"/>
    </row>
    <row r="18379" spans="16:16" x14ac:dyDescent="0.35">
      <c r="P18379" s="8"/>
    </row>
    <row r="18380" spans="16:16" x14ac:dyDescent="0.35">
      <c r="P18380" s="8"/>
    </row>
    <row r="18381" spans="16:16" x14ac:dyDescent="0.35">
      <c r="P18381" s="8"/>
    </row>
    <row r="18382" spans="16:16" x14ac:dyDescent="0.35">
      <c r="P18382" s="8"/>
    </row>
    <row r="18383" spans="16:16" x14ac:dyDescent="0.35">
      <c r="P18383" s="8"/>
    </row>
    <row r="18384" spans="16:16" x14ac:dyDescent="0.35">
      <c r="P18384" s="8"/>
    </row>
    <row r="18385" spans="16:16" x14ac:dyDescent="0.35">
      <c r="P18385" s="8"/>
    </row>
    <row r="18386" spans="16:16" x14ac:dyDescent="0.35">
      <c r="P18386" s="8"/>
    </row>
    <row r="18387" spans="16:16" x14ac:dyDescent="0.35">
      <c r="P18387" s="8"/>
    </row>
    <row r="18388" spans="16:16" x14ac:dyDescent="0.35">
      <c r="P18388" s="8"/>
    </row>
    <row r="18389" spans="16:16" x14ac:dyDescent="0.35">
      <c r="P18389" s="8"/>
    </row>
    <row r="18390" spans="16:16" x14ac:dyDescent="0.35">
      <c r="P18390" s="8"/>
    </row>
    <row r="18391" spans="16:16" x14ac:dyDescent="0.35">
      <c r="P18391" s="8"/>
    </row>
    <row r="18392" spans="16:16" x14ac:dyDescent="0.35">
      <c r="P18392" s="8"/>
    </row>
    <row r="18393" spans="16:16" x14ac:dyDescent="0.35">
      <c r="P18393" s="8"/>
    </row>
    <row r="18394" spans="16:16" x14ac:dyDescent="0.35">
      <c r="P18394" s="8"/>
    </row>
    <row r="18395" spans="16:16" x14ac:dyDescent="0.35">
      <c r="P18395" s="8"/>
    </row>
    <row r="18396" spans="16:16" x14ac:dyDescent="0.35">
      <c r="P18396" s="8"/>
    </row>
    <row r="18397" spans="16:16" x14ac:dyDescent="0.35">
      <c r="P18397" s="8"/>
    </row>
    <row r="18398" spans="16:16" x14ac:dyDescent="0.35">
      <c r="P18398" s="8"/>
    </row>
    <row r="18399" spans="16:16" x14ac:dyDescent="0.35">
      <c r="P18399" s="8"/>
    </row>
    <row r="18400" spans="16:16" x14ac:dyDescent="0.35">
      <c r="P18400" s="8"/>
    </row>
    <row r="18401" spans="16:16" x14ac:dyDescent="0.35">
      <c r="P18401" s="8"/>
    </row>
    <row r="18402" spans="16:16" x14ac:dyDescent="0.35">
      <c r="P18402" s="8"/>
    </row>
    <row r="18403" spans="16:16" x14ac:dyDescent="0.35">
      <c r="P18403" s="8"/>
    </row>
    <row r="18404" spans="16:16" x14ac:dyDescent="0.35">
      <c r="P18404" s="8"/>
    </row>
    <row r="18405" spans="16:16" x14ac:dyDescent="0.35">
      <c r="P18405" s="8"/>
    </row>
    <row r="18406" spans="16:16" x14ac:dyDescent="0.35">
      <c r="P18406" s="8"/>
    </row>
    <row r="18407" spans="16:16" x14ac:dyDescent="0.35">
      <c r="P18407" s="8"/>
    </row>
    <row r="18408" spans="16:16" x14ac:dyDescent="0.35">
      <c r="P18408" s="8"/>
    </row>
    <row r="18409" spans="16:16" x14ac:dyDescent="0.35">
      <c r="P18409" s="8"/>
    </row>
    <row r="18410" spans="16:16" x14ac:dyDescent="0.35">
      <c r="P18410" s="8"/>
    </row>
    <row r="18411" spans="16:16" x14ac:dyDescent="0.35">
      <c r="P18411" s="8"/>
    </row>
    <row r="18412" spans="16:16" x14ac:dyDescent="0.35">
      <c r="P18412" s="8"/>
    </row>
    <row r="18413" spans="16:16" x14ac:dyDescent="0.35">
      <c r="P18413" s="8"/>
    </row>
    <row r="18414" spans="16:16" x14ac:dyDescent="0.35">
      <c r="P18414" s="8"/>
    </row>
    <row r="18415" spans="16:16" x14ac:dyDescent="0.35">
      <c r="P18415" s="8"/>
    </row>
    <row r="18416" spans="16:16" x14ac:dyDescent="0.35">
      <c r="P18416" s="8"/>
    </row>
    <row r="18417" spans="16:16" x14ac:dyDescent="0.35">
      <c r="P18417" s="8"/>
    </row>
    <row r="18418" spans="16:16" x14ac:dyDescent="0.35">
      <c r="P18418" s="8"/>
    </row>
    <row r="18419" spans="16:16" x14ac:dyDescent="0.35">
      <c r="P18419" s="8"/>
    </row>
    <row r="18420" spans="16:16" x14ac:dyDescent="0.35">
      <c r="P18420" s="8"/>
    </row>
    <row r="18421" spans="16:16" x14ac:dyDescent="0.35">
      <c r="P18421" s="8"/>
    </row>
    <row r="18422" spans="16:16" x14ac:dyDescent="0.35">
      <c r="P18422" s="8"/>
    </row>
    <row r="18423" spans="16:16" x14ac:dyDescent="0.35">
      <c r="P18423" s="8"/>
    </row>
    <row r="18424" spans="16:16" x14ac:dyDescent="0.35">
      <c r="P18424" s="8"/>
    </row>
    <row r="18425" spans="16:16" x14ac:dyDescent="0.35">
      <c r="P18425" s="8"/>
    </row>
    <row r="18426" spans="16:16" x14ac:dyDescent="0.35">
      <c r="P18426" s="8"/>
    </row>
    <row r="18427" spans="16:16" x14ac:dyDescent="0.35">
      <c r="P18427" s="8"/>
    </row>
    <row r="18428" spans="16:16" x14ac:dyDescent="0.35">
      <c r="P18428" s="8"/>
    </row>
    <row r="18429" spans="16:16" x14ac:dyDescent="0.35">
      <c r="P18429" s="8"/>
    </row>
    <row r="18430" spans="16:16" x14ac:dyDescent="0.35">
      <c r="P18430" s="8"/>
    </row>
    <row r="18431" spans="16:16" x14ac:dyDescent="0.35">
      <c r="P18431" s="8"/>
    </row>
    <row r="18432" spans="16:16" x14ac:dyDescent="0.35">
      <c r="P18432" s="8"/>
    </row>
    <row r="18433" spans="16:16" x14ac:dyDescent="0.35">
      <c r="P18433" s="8"/>
    </row>
    <row r="18434" spans="16:16" x14ac:dyDescent="0.35">
      <c r="P18434" s="8"/>
    </row>
    <row r="18435" spans="16:16" x14ac:dyDescent="0.35">
      <c r="P18435" s="8"/>
    </row>
    <row r="18436" spans="16:16" x14ac:dyDescent="0.35">
      <c r="P18436" s="8"/>
    </row>
    <row r="18437" spans="16:16" x14ac:dyDescent="0.35">
      <c r="P18437" s="8"/>
    </row>
    <row r="18438" spans="16:16" x14ac:dyDescent="0.35">
      <c r="P18438" s="8"/>
    </row>
    <row r="18439" spans="16:16" x14ac:dyDescent="0.35">
      <c r="P18439" s="8"/>
    </row>
    <row r="18440" spans="16:16" x14ac:dyDescent="0.35">
      <c r="P18440" s="8"/>
    </row>
    <row r="18441" spans="16:16" x14ac:dyDescent="0.35">
      <c r="P18441" s="8"/>
    </row>
    <row r="18442" spans="16:16" x14ac:dyDescent="0.35">
      <c r="P18442" s="8"/>
    </row>
    <row r="18443" spans="16:16" x14ac:dyDescent="0.35">
      <c r="P18443" s="8"/>
    </row>
    <row r="18444" spans="16:16" x14ac:dyDescent="0.35">
      <c r="P18444" s="8"/>
    </row>
    <row r="18445" spans="16:16" x14ac:dyDescent="0.35">
      <c r="P18445" s="8"/>
    </row>
    <row r="18446" spans="16:16" x14ac:dyDescent="0.35">
      <c r="P18446" s="8"/>
    </row>
    <row r="18447" spans="16:16" x14ac:dyDescent="0.35">
      <c r="P18447" s="8"/>
    </row>
    <row r="18448" spans="16:16" x14ac:dyDescent="0.35">
      <c r="P18448" s="8"/>
    </row>
    <row r="18449" spans="16:16" x14ac:dyDescent="0.35">
      <c r="P18449" s="8"/>
    </row>
    <row r="18450" spans="16:16" x14ac:dyDescent="0.35">
      <c r="P18450" s="8"/>
    </row>
    <row r="18451" spans="16:16" x14ac:dyDescent="0.35">
      <c r="P18451" s="8"/>
    </row>
    <row r="18452" spans="16:16" x14ac:dyDescent="0.35">
      <c r="P18452" s="8"/>
    </row>
    <row r="18453" spans="16:16" x14ac:dyDescent="0.35">
      <c r="P18453" s="8"/>
    </row>
    <row r="18454" spans="16:16" x14ac:dyDescent="0.35">
      <c r="P18454" s="8"/>
    </row>
    <row r="18455" spans="16:16" x14ac:dyDescent="0.35">
      <c r="P18455" s="8"/>
    </row>
    <row r="18456" spans="16:16" x14ac:dyDescent="0.35">
      <c r="P18456" s="8"/>
    </row>
    <row r="18457" spans="16:16" x14ac:dyDescent="0.35">
      <c r="P18457" s="8"/>
    </row>
    <row r="18458" spans="16:16" x14ac:dyDescent="0.35">
      <c r="P18458" s="8"/>
    </row>
    <row r="18459" spans="16:16" x14ac:dyDescent="0.35">
      <c r="P18459" s="8"/>
    </row>
    <row r="18460" spans="16:16" x14ac:dyDescent="0.35">
      <c r="P18460" s="8"/>
    </row>
    <row r="18461" spans="16:16" x14ac:dyDescent="0.35">
      <c r="P18461" s="8"/>
    </row>
    <row r="18462" spans="16:16" x14ac:dyDescent="0.35">
      <c r="P18462" s="8"/>
    </row>
    <row r="18463" spans="16:16" x14ac:dyDescent="0.35">
      <c r="P18463" s="8"/>
    </row>
    <row r="18464" spans="16:16" x14ac:dyDescent="0.35">
      <c r="P18464" s="8"/>
    </row>
    <row r="18465" spans="16:16" x14ac:dyDescent="0.35">
      <c r="P18465" s="8"/>
    </row>
    <row r="18466" spans="16:16" x14ac:dyDescent="0.35">
      <c r="P18466" s="8"/>
    </row>
    <row r="18467" spans="16:16" x14ac:dyDescent="0.35">
      <c r="P18467" s="8"/>
    </row>
    <row r="18468" spans="16:16" x14ac:dyDescent="0.35">
      <c r="P18468" s="8"/>
    </row>
    <row r="18469" spans="16:16" x14ac:dyDescent="0.35">
      <c r="P18469" s="8"/>
    </row>
    <row r="18470" spans="16:16" x14ac:dyDescent="0.35">
      <c r="P18470" s="8"/>
    </row>
    <row r="18471" spans="16:16" x14ac:dyDescent="0.35">
      <c r="P18471" s="8"/>
    </row>
    <row r="18472" spans="16:16" x14ac:dyDescent="0.35">
      <c r="P18472" s="8"/>
    </row>
    <row r="18473" spans="16:16" x14ac:dyDescent="0.35">
      <c r="P18473" s="8"/>
    </row>
    <row r="18474" spans="16:16" x14ac:dyDescent="0.35">
      <c r="P18474" s="8"/>
    </row>
    <row r="18475" spans="16:16" x14ac:dyDescent="0.35">
      <c r="P18475" s="8"/>
    </row>
    <row r="18476" spans="16:16" x14ac:dyDescent="0.35">
      <c r="P18476" s="8"/>
    </row>
    <row r="18477" spans="16:16" x14ac:dyDescent="0.35">
      <c r="P18477" s="8"/>
    </row>
    <row r="18478" spans="16:16" x14ac:dyDescent="0.35">
      <c r="P18478" s="8"/>
    </row>
    <row r="18479" spans="16:16" x14ac:dyDescent="0.35">
      <c r="P18479" s="8"/>
    </row>
    <row r="18480" spans="16:16" x14ac:dyDescent="0.35">
      <c r="P18480" s="8"/>
    </row>
    <row r="18481" spans="16:16" x14ac:dyDescent="0.35">
      <c r="P18481" s="8"/>
    </row>
    <row r="18482" spans="16:16" x14ac:dyDescent="0.35">
      <c r="P18482" s="8"/>
    </row>
    <row r="18483" spans="16:16" x14ac:dyDescent="0.35">
      <c r="P18483" s="8"/>
    </row>
    <row r="18484" spans="16:16" x14ac:dyDescent="0.35">
      <c r="P18484" s="8"/>
    </row>
    <row r="18485" spans="16:16" x14ac:dyDescent="0.35">
      <c r="P18485" s="8"/>
    </row>
    <row r="18486" spans="16:16" x14ac:dyDescent="0.35">
      <c r="P18486" s="8"/>
    </row>
    <row r="18487" spans="16:16" x14ac:dyDescent="0.35">
      <c r="P18487" s="8"/>
    </row>
    <row r="18488" spans="16:16" x14ac:dyDescent="0.35">
      <c r="P18488" s="8"/>
    </row>
    <row r="18489" spans="16:16" x14ac:dyDescent="0.35">
      <c r="P18489" s="8"/>
    </row>
    <row r="18490" spans="16:16" x14ac:dyDescent="0.35">
      <c r="P18490" s="8"/>
    </row>
    <row r="18491" spans="16:16" x14ac:dyDescent="0.35">
      <c r="P18491" s="8"/>
    </row>
    <row r="18492" spans="16:16" x14ac:dyDescent="0.35">
      <c r="P18492" s="8"/>
    </row>
    <row r="18493" spans="16:16" x14ac:dyDescent="0.35">
      <c r="P18493" s="8"/>
    </row>
    <row r="18494" spans="16:16" x14ac:dyDescent="0.35">
      <c r="P18494" s="8"/>
    </row>
    <row r="18495" spans="16:16" x14ac:dyDescent="0.35">
      <c r="P18495" s="8"/>
    </row>
    <row r="18496" spans="16:16" x14ac:dyDescent="0.35">
      <c r="P18496" s="8"/>
    </row>
    <row r="18497" spans="16:16" x14ac:dyDescent="0.35">
      <c r="P18497" s="8"/>
    </row>
    <row r="18498" spans="16:16" x14ac:dyDescent="0.35">
      <c r="P18498" s="8"/>
    </row>
    <row r="18499" spans="16:16" x14ac:dyDescent="0.35">
      <c r="P18499" s="8"/>
    </row>
    <row r="18500" spans="16:16" x14ac:dyDescent="0.35">
      <c r="P18500" s="8"/>
    </row>
    <row r="18501" spans="16:16" x14ac:dyDescent="0.35">
      <c r="P18501" s="8"/>
    </row>
    <row r="18502" spans="16:16" x14ac:dyDescent="0.35">
      <c r="P18502" s="8"/>
    </row>
    <row r="18503" spans="16:16" x14ac:dyDescent="0.35">
      <c r="P18503" s="8"/>
    </row>
    <row r="18504" spans="16:16" x14ac:dyDescent="0.35">
      <c r="P18504" s="8"/>
    </row>
    <row r="18505" spans="16:16" x14ac:dyDescent="0.35">
      <c r="P18505" s="8"/>
    </row>
    <row r="18506" spans="16:16" x14ac:dyDescent="0.35">
      <c r="P18506" s="8"/>
    </row>
    <row r="18507" spans="16:16" x14ac:dyDescent="0.35">
      <c r="P18507" s="8"/>
    </row>
    <row r="18508" spans="16:16" x14ac:dyDescent="0.35">
      <c r="P18508" s="8"/>
    </row>
    <row r="18509" spans="16:16" x14ac:dyDescent="0.35">
      <c r="P18509" s="8"/>
    </row>
    <row r="18510" spans="16:16" x14ac:dyDescent="0.35">
      <c r="P18510" s="8"/>
    </row>
    <row r="18511" spans="16:16" x14ac:dyDescent="0.35">
      <c r="P18511" s="8"/>
    </row>
    <row r="18512" spans="16:16" x14ac:dyDescent="0.35">
      <c r="P18512" s="8"/>
    </row>
    <row r="18513" spans="16:16" x14ac:dyDescent="0.35">
      <c r="P18513" s="8"/>
    </row>
    <row r="18514" spans="16:16" x14ac:dyDescent="0.35">
      <c r="P18514" s="8"/>
    </row>
    <row r="18515" spans="16:16" x14ac:dyDescent="0.35">
      <c r="P18515" s="8"/>
    </row>
    <row r="18516" spans="16:16" x14ac:dyDescent="0.35">
      <c r="P18516" s="8"/>
    </row>
    <row r="18517" spans="16:16" x14ac:dyDescent="0.35">
      <c r="P18517" s="8"/>
    </row>
    <row r="18518" spans="16:16" x14ac:dyDescent="0.35">
      <c r="P18518" s="8"/>
    </row>
    <row r="18519" spans="16:16" x14ac:dyDescent="0.35">
      <c r="P18519" s="8"/>
    </row>
    <row r="18520" spans="16:16" x14ac:dyDescent="0.35">
      <c r="P18520" s="8"/>
    </row>
    <row r="18521" spans="16:16" x14ac:dyDescent="0.35">
      <c r="P18521" s="8"/>
    </row>
    <row r="18522" spans="16:16" x14ac:dyDescent="0.35">
      <c r="P18522" s="8"/>
    </row>
    <row r="18523" spans="16:16" x14ac:dyDescent="0.35">
      <c r="P18523" s="8"/>
    </row>
    <row r="18524" spans="16:16" x14ac:dyDescent="0.35">
      <c r="P18524" s="8"/>
    </row>
    <row r="18525" spans="16:16" x14ac:dyDescent="0.35">
      <c r="P18525" s="8"/>
    </row>
    <row r="18526" spans="16:16" x14ac:dyDescent="0.35">
      <c r="P18526" s="8"/>
    </row>
    <row r="18527" spans="16:16" x14ac:dyDescent="0.35">
      <c r="P18527" s="8"/>
    </row>
    <row r="18528" spans="16:16" x14ac:dyDescent="0.35">
      <c r="P18528" s="8"/>
    </row>
    <row r="18529" spans="16:16" x14ac:dyDescent="0.35">
      <c r="P18529" s="8"/>
    </row>
    <row r="18530" spans="16:16" x14ac:dyDescent="0.35">
      <c r="P18530" s="8"/>
    </row>
    <row r="18531" spans="16:16" x14ac:dyDescent="0.35">
      <c r="P18531" s="8"/>
    </row>
    <row r="18532" spans="16:16" x14ac:dyDescent="0.35">
      <c r="P18532" s="8"/>
    </row>
    <row r="18533" spans="16:16" x14ac:dyDescent="0.35">
      <c r="P18533" s="8"/>
    </row>
    <row r="18534" spans="16:16" x14ac:dyDescent="0.35">
      <c r="P18534" s="8"/>
    </row>
    <row r="18535" spans="16:16" x14ac:dyDescent="0.35">
      <c r="P18535" s="8"/>
    </row>
    <row r="18536" spans="16:16" x14ac:dyDescent="0.35">
      <c r="P18536" s="8"/>
    </row>
    <row r="18537" spans="16:16" x14ac:dyDescent="0.35">
      <c r="P18537" s="8"/>
    </row>
    <row r="18538" spans="16:16" x14ac:dyDescent="0.35">
      <c r="P18538" s="8"/>
    </row>
    <row r="18539" spans="16:16" x14ac:dyDescent="0.35">
      <c r="P18539" s="8"/>
    </row>
    <row r="18540" spans="16:16" x14ac:dyDescent="0.35">
      <c r="P18540" s="8"/>
    </row>
    <row r="18541" spans="16:16" x14ac:dyDescent="0.35">
      <c r="P18541" s="8"/>
    </row>
    <row r="18542" spans="16:16" x14ac:dyDescent="0.35">
      <c r="P18542" s="8"/>
    </row>
    <row r="18543" spans="16:16" x14ac:dyDescent="0.35">
      <c r="P18543" s="8"/>
    </row>
    <row r="18544" spans="16:16" x14ac:dyDescent="0.35">
      <c r="P18544" s="8"/>
    </row>
    <row r="18545" spans="16:16" x14ac:dyDescent="0.35">
      <c r="P18545" s="8"/>
    </row>
    <row r="18546" spans="16:16" x14ac:dyDescent="0.35">
      <c r="P18546" s="8"/>
    </row>
    <row r="18547" spans="16:16" x14ac:dyDescent="0.35">
      <c r="P18547" s="8"/>
    </row>
    <row r="18548" spans="16:16" x14ac:dyDescent="0.35">
      <c r="P18548" s="8"/>
    </row>
    <row r="18549" spans="16:16" x14ac:dyDescent="0.35">
      <c r="P18549" s="8"/>
    </row>
    <row r="18550" spans="16:16" x14ac:dyDescent="0.35">
      <c r="P18550" s="8"/>
    </row>
    <row r="18551" spans="16:16" x14ac:dyDescent="0.35">
      <c r="P18551" s="8"/>
    </row>
    <row r="18552" spans="16:16" x14ac:dyDescent="0.35">
      <c r="P18552" s="8"/>
    </row>
    <row r="18553" spans="16:16" x14ac:dyDescent="0.35">
      <c r="P18553" s="8"/>
    </row>
    <row r="18554" spans="16:16" x14ac:dyDescent="0.35">
      <c r="P18554" s="8"/>
    </row>
    <row r="18555" spans="16:16" x14ac:dyDescent="0.35">
      <c r="P18555" s="8"/>
    </row>
    <row r="18556" spans="16:16" x14ac:dyDescent="0.35">
      <c r="P18556" s="8"/>
    </row>
    <row r="18557" spans="16:16" x14ac:dyDescent="0.35">
      <c r="P18557" s="8"/>
    </row>
    <row r="18558" spans="16:16" x14ac:dyDescent="0.35">
      <c r="P18558" s="8"/>
    </row>
    <row r="18559" spans="16:16" x14ac:dyDescent="0.35">
      <c r="P18559" s="8"/>
    </row>
    <row r="18560" spans="16:16" x14ac:dyDescent="0.35">
      <c r="P18560" s="8"/>
    </row>
    <row r="18561" spans="16:16" x14ac:dyDescent="0.35">
      <c r="P18561" s="8"/>
    </row>
    <row r="18562" spans="16:16" x14ac:dyDescent="0.35">
      <c r="P18562" s="8"/>
    </row>
    <row r="18563" spans="16:16" x14ac:dyDescent="0.35">
      <c r="P18563" s="8"/>
    </row>
    <row r="18564" spans="16:16" x14ac:dyDescent="0.35">
      <c r="P18564" s="8"/>
    </row>
    <row r="18565" spans="16:16" x14ac:dyDescent="0.35">
      <c r="P18565" s="8"/>
    </row>
    <row r="18566" spans="16:16" x14ac:dyDescent="0.35">
      <c r="P18566" s="8"/>
    </row>
    <row r="18567" spans="16:16" x14ac:dyDescent="0.35">
      <c r="P18567" s="8"/>
    </row>
    <row r="18568" spans="16:16" x14ac:dyDescent="0.35">
      <c r="P18568" s="8"/>
    </row>
    <row r="18569" spans="16:16" x14ac:dyDescent="0.35">
      <c r="P18569" s="8"/>
    </row>
    <row r="18570" spans="16:16" x14ac:dyDescent="0.35">
      <c r="P18570" s="8"/>
    </row>
    <row r="18571" spans="16:16" x14ac:dyDescent="0.35">
      <c r="P18571" s="8"/>
    </row>
    <row r="18572" spans="16:16" x14ac:dyDescent="0.35">
      <c r="P18572" s="8"/>
    </row>
    <row r="18573" spans="16:16" x14ac:dyDescent="0.35">
      <c r="P18573" s="8"/>
    </row>
    <row r="18574" spans="16:16" x14ac:dyDescent="0.35">
      <c r="P18574" s="8"/>
    </row>
    <row r="18575" spans="16:16" x14ac:dyDescent="0.35">
      <c r="P18575" s="8"/>
    </row>
    <row r="18576" spans="16:16" x14ac:dyDescent="0.35">
      <c r="P18576" s="8"/>
    </row>
    <row r="18577" spans="16:16" x14ac:dyDescent="0.35">
      <c r="P18577" s="8"/>
    </row>
    <row r="18578" spans="16:16" x14ac:dyDescent="0.35">
      <c r="P18578" s="8"/>
    </row>
    <row r="18579" spans="16:16" x14ac:dyDescent="0.35">
      <c r="P18579" s="8"/>
    </row>
    <row r="18580" spans="16:16" x14ac:dyDescent="0.35">
      <c r="P18580" s="8"/>
    </row>
    <row r="18581" spans="16:16" x14ac:dyDescent="0.35">
      <c r="P18581" s="8"/>
    </row>
    <row r="18582" spans="16:16" x14ac:dyDescent="0.35">
      <c r="P18582" s="8"/>
    </row>
    <row r="18583" spans="16:16" x14ac:dyDescent="0.35">
      <c r="P18583" s="8"/>
    </row>
    <row r="18584" spans="16:16" x14ac:dyDescent="0.35">
      <c r="P18584" s="8"/>
    </row>
  </sheetData>
  <pageMargins left="0.7" right="0.7" top="0.75" bottom="0.75" header="0.3" footer="0.3"/>
  <ignoredErrors>
    <ignoredError sqref="R379:R380 R382:R396 R398:R405 R407:R4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3DC6-5732-483A-8A26-0D2E2F0AE3DF}">
  <dimension ref="A1:L1001"/>
  <sheetViews>
    <sheetView workbookViewId="0">
      <selection activeCell="B5" sqref="B5"/>
    </sheetView>
  </sheetViews>
  <sheetFormatPr defaultRowHeight="14.5" x14ac:dyDescent="0.35"/>
  <cols>
    <col min="1" max="1" width="12.08984375" style="8" bestFit="1" customWidth="1"/>
    <col min="2" max="2" width="19.54296875" style="2" customWidth="1"/>
    <col min="3" max="3" width="15.6328125" style="2" customWidth="1"/>
    <col min="4" max="4" width="8.7265625" style="8"/>
    <col min="5" max="5" width="14.90625" style="2" customWidth="1"/>
    <col min="6" max="6" width="12" style="8" customWidth="1"/>
    <col min="7" max="7" width="22.26953125" style="8" customWidth="1"/>
    <col min="8" max="8" width="18" style="8" customWidth="1"/>
    <col min="9" max="9" width="17.453125" style="9" customWidth="1"/>
    <col min="10" max="10" width="8.7265625" style="8"/>
    <col min="12" max="12" width="17.26953125" style="12" customWidth="1"/>
  </cols>
  <sheetData>
    <row r="1" spans="1:12" x14ac:dyDescent="0.35">
      <c r="A1" s="5" t="s">
        <v>2052</v>
      </c>
      <c r="B1" s="3" t="s">
        <v>2053</v>
      </c>
      <c r="C1" s="3" t="s">
        <v>2054</v>
      </c>
      <c r="D1" s="5" t="s">
        <v>2055</v>
      </c>
      <c r="E1" s="3" t="s">
        <v>2057</v>
      </c>
      <c r="F1" s="5" t="s">
        <v>2058</v>
      </c>
      <c r="G1" s="5" t="s">
        <v>2059</v>
      </c>
      <c r="H1" s="5" t="s">
        <v>2060</v>
      </c>
      <c r="I1" s="6" t="s">
        <v>2061</v>
      </c>
      <c r="J1" s="5" t="s">
        <v>2062</v>
      </c>
      <c r="K1" s="5" t="s">
        <v>2063</v>
      </c>
      <c r="L1" s="7" t="s">
        <v>2064</v>
      </c>
    </row>
    <row r="2" spans="1:12" x14ac:dyDescent="0.35">
      <c r="A2" s="8" t="s">
        <v>0</v>
      </c>
      <c r="B2" s="2" t="str">
        <f>_xlfn.XLOOKUP(A2,Sheet1!A:A,Sheet1!B:B)</f>
        <v>Nicole Kidd</v>
      </c>
      <c r="C2" s="2" t="str">
        <f>_xlfn.XLOOKUP(A:A,Sheet1!A:A,Sheet1!D:D)</f>
        <v>Female</v>
      </c>
      <c r="D2" s="8">
        <f>_xlfn.XLOOKUP(A:A,Sheet1!A:A,Sheet1!F:F)</f>
        <v>52</v>
      </c>
      <c r="E2" s="2" t="str">
        <f>_xlfn.XLOOKUP(A:A,Sheet1!A:A,Sheet1!G:G)</f>
        <v>Italy</v>
      </c>
      <c r="F2" s="8" t="str">
        <f>_xlfn.XLOOKUP(A:A,Sheet1!A:A,Sheet1!H:H)</f>
        <v>Italian</v>
      </c>
      <c r="G2" s="8" t="str">
        <f>_xlfn.XLOOKUP(A:A,Sheet1!A:A,Sheet1!I:I)</f>
        <v>Blockchain Development</v>
      </c>
      <c r="H2" s="8">
        <f>_xlfn.XLOOKUP(A:A,Sheet1!A:A,Sheet1!K:K)</f>
        <v>11</v>
      </c>
      <c r="I2" s="9">
        <f>_xlfn.XLOOKUP(A:A,Sheet1!A:A,Sheet1!M:M)</f>
        <v>100</v>
      </c>
      <c r="J2" s="10">
        <f>_xlfn.XLOOKUP(A:A,Sheet1!A:A,Sheet1!O:O)</f>
        <v>2.5125695216907653</v>
      </c>
      <c r="K2" t="str">
        <f>_xlfn.XLOOKUP(A:A,Sheet1!A:A,Sheet1!P:P)</f>
        <v>No</v>
      </c>
      <c r="L2" s="12">
        <f>_xlfn.XLOOKUP(A:A,Sheet1!A:A,Sheet1!S:S)</f>
        <v>0.79269417475728277</v>
      </c>
    </row>
    <row r="3" spans="1:12" x14ac:dyDescent="0.35">
      <c r="A3" s="8" t="s">
        <v>5</v>
      </c>
      <c r="B3" s="2" t="str">
        <f>_xlfn.XLOOKUP(A3,Sheet1!A:A,Sheet1!B:B)</f>
        <v>Vanessa Garcia</v>
      </c>
      <c r="C3" s="2" t="str">
        <f>_xlfn.XLOOKUP(A:A,Sheet1!A:A,Sheet1!D:D)</f>
        <v>Female</v>
      </c>
      <c r="D3" s="8">
        <f>_xlfn.XLOOKUP(A:A,Sheet1!A:A,Sheet1!F:F)</f>
        <v>52</v>
      </c>
      <c r="E3" s="2" t="str">
        <f>_xlfn.XLOOKUP(A:A,Sheet1!A:A,Sheet1!G:G)</f>
        <v>Australia</v>
      </c>
      <c r="F3" s="8" t="str">
        <f>_xlfn.XLOOKUP(A:A,Sheet1!A:A,Sheet1!H:H)</f>
        <v>English</v>
      </c>
      <c r="G3" s="8" t="str">
        <f>_xlfn.XLOOKUP(A:A,Sheet1!A:A,Sheet1!I:I)</f>
        <v>Mobile Apps</v>
      </c>
      <c r="H3" s="8">
        <f>_xlfn.XLOOKUP(A:A,Sheet1!A:A,Sheet1!K:K)</f>
        <v>34</v>
      </c>
      <c r="I3" s="9">
        <f>_xlfn.XLOOKUP(A:A,Sheet1!A:A,Sheet1!M:M)</f>
        <v>100</v>
      </c>
      <c r="J3" s="10">
        <f>_xlfn.XLOOKUP(A:A,Sheet1!A:A,Sheet1!O:O)</f>
        <v>3.3</v>
      </c>
      <c r="K3" t="str">
        <f>_xlfn.XLOOKUP(A:A,Sheet1!A:A,Sheet1!P:P)</f>
        <v>Yes</v>
      </c>
      <c r="L3" s="12">
        <f>_xlfn.XLOOKUP(A:A,Sheet1!A:A,Sheet1!S:S)</f>
        <v>0.84</v>
      </c>
    </row>
    <row r="4" spans="1:12" x14ac:dyDescent="0.35">
      <c r="A4" s="8" t="s">
        <v>11</v>
      </c>
      <c r="B4" s="2" t="str">
        <f>_xlfn.XLOOKUP(A4,Sheet1!A:A,Sheet1!B:B)</f>
        <v>Juan Nelson</v>
      </c>
      <c r="C4" s="2" t="str">
        <f>_xlfn.XLOOKUP(A:A,Sheet1!A:A,Sheet1!D:D)</f>
        <v>Male</v>
      </c>
      <c r="D4" s="8">
        <f>_xlfn.XLOOKUP(A:A,Sheet1!A:A,Sheet1!F:F)</f>
        <v>53</v>
      </c>
      <c r="E4" s="2" t="str">
        <f>_xlfn.XLOOKUP(A:A,Sheet1!A:A,Sheet1!G:G)</f>
        <v>Germany</v>
      </c>
      <c r="F4" s="8" t="str">
        <f>_xlfn.XLOOKUP(A:A,Sheet1!A:A,Sheet1!H:H)</f>
        <v>German</v>
      </c>
      <c r="G4" s="8" t="str">
        <f>_xlfn.XLOOKUP(A:A,Sheet1!A:A,Sheet1!I:I)</f>
        <v>Graphic Design</v>
      </c>
      <c r="H4" s="8">
        <f>_xlfn.XLOOKUP(A:A,Sheet1!A:A,Sheet1!K:K)</f>
        <v>31</v>
      </c>
      <c r="I4" s="9">
        <f>_xlfn.XLOOKUP(A:A,Sheet1!A:A,Sheet1!M:M)</f>
        <v>50</v>
      </c>
      <c r="J4" s="11">
        <v>0</v>
      </c>
      <c r="K4" t="str">
        <f>_xlfn.XLOOKUP(A:A,Sheet1!A:A,Sheet1!P:P)</f>
        <v>No</v>
      </c>
      <c r="L4" s="12">
        <f>_xlfn.XLOOKUP(A:A,Sheet1!A:A,Sheet1!S:S)</f>
        <v>0.71</v>
      </c>
    </row>
    <row r="5" spans="1:12" x14ac:dyDescent="0.35">
      <c r="A5" s="8" t="s">
        <v>17</v>
      </c>
      <c r="B5" s="2" t="str">
        <f>_xlfn.XLOOKUP(A5,Sheet1!A:A,Sheet1!B:B)</f>
        <v>Amanda Spencer</v>
      </c>
      <c r="C5" s="2" t="str">
        <f>_xlfn.XLOOKUP(A:A,Sheet1!A:A,Sheet1!D:D)</f>
        <v>Female</v>
      </c>
      <c r="D5" s="8">
        <f>_xlfn.XLOOKUP(A:A,Sheet1!A:A,Sheet1!F:F)</f>
        <v>38</v>
      </c>
      <c r="E5" s="2" t="str">
        <f>_xlfn.XLOOKUP(A:A,Sheet1!A:A,Sheet1!G:G)</f>
        <v>Australia</v>
      </c>
      <c r="F5" s="8" t="str">
        <f>_xlfn.XLOOKUP(A:A,Sheet1!A:A,Sheet1!H:H)</f>
        <v>English</v>
      </c>
      <c r="G5" s="8" t="str">
        <f>_xlfn.XLOOKUP(A:A,Sheet1!A:A,Sheet1!I:I)</f>
        <v>Web Development</v>
      </c>
      <c r="H5" s="8">
        <f>_xlfn.XLOOKUP(A:A,Sheet1!A:A,Sheet1!K:K)</f>
        <v>4</v>
      </c>
      <c r="I5" s="9">
        <f>_xlfn.XLOOKUP(A:A,Sheet1!A:A,Sheet1!M:M)</f>
        <v>40</v>
      </c>
      <c r="J5" s="10">
        <f>_xlfn.XLOOKUP(A:A,Sheet1!A:A,Sheet1!O:O)</f>
        <v>1.5</v>
      </c>
      <c r="K5" t="str">
        <f>_xlfn.XLOOKUP(A:A,Sheet1!A:A,Sheet1!P:P)</f>
        <v>No</v>
      </c>
      <c r="L5" s="12">
        <f>_xlfn.XLOOKUP(A:A,Sheet1!A:A,Sheet1!S:S)</f>
        <v>0.9</v>
      </c>
    </row>
    <row r="6" spans="1:12" x14ac:dyDescent="0.35">
      <c r="A6" s="8" t="s">
        <v>21</v>
      </c>
      <c r="B6" s="2" t="str">
        <f>_xlfn.XLOOKUP(A6,Sheet1!A:A,Sheet1!B:B)</f>
        <v xml:space="preserve">Lynn Curtis </v>
      </c>
      <c r="C6" s="2" t="str">
        <f>_xlfn.XLOOKUP(A:A,Sheet1!A:A,Sheet1!D:D)</f>
        <v>Female</v>
      </c>
      <c r="D6" s="8">
        <f>_xlfn.XLOOKUP(A:A,Sheet1!A:A,Sheet1!F:F)</f>
        <v>53</v>
      </c>
      <c r="E6" s="2" t="str">
        <f>_xlfn.XLOOKUP(A:A,Sheet1!A:A,Sheet1!G:G)</f>
        <v>Germany</v>
      </c>
      <c r="F6" s="8" t="str">
        <f>_xlfn.XLOOKUP(A:A,Sheet1!A:A,Sheet1!H:H)</f>
        <v>German</v>
      </c>
      <c r="G6" s="8" t="str">
        <f>_xlfn.XLOOKUP(A:A,Sheet1!A:A,Sheet1!I:I)</f>
        <v>Web Development</v>
      </c>
      <c r="H6" s="8">
        <f>_xlfn.XLOOKUP(A:A,Sheet1!A:A,Sheet1!K:K)</f>
        <v>27</v>
      </c>
      <c r="I6" s="9">
        <f>_xlfn.XLOOKUP(A:A,Sheet1!A:A,Sheet1!M:M)</f>
        <v>30</v>
      </c>
      <c r="J6" s="10">
        <f>_xlfn.XLOOKUP(A:A,Sheet1!A:A,Sheet1!O:O)</f>
        <v>4.8</v>
      </c>
      <c r="K6" t="str">
        <f>_xlfn.XLOOKUP(A:A,Sheet1!A:A,Sheet1!P:P)</f>
        <v>No</v>
      </c>
      <c r="L6" s="12">
        <f>_xlfn.XLOOKUP(A:A,Sheet1!A:A,Sheet1!S:S)</f>
        <v>0.83</v>
      </c>
    </row>
    <row r="7" spans="1:12" x14ac:dyDescent="0.35">
      <c r="A7" s="8" t="s">
        <v>23</v>
      </c>
      <c r="B7" s="2" t="str">
        <f>_xlfn.XLOOKUP(A7,Sheet1!A:A,Sheet1!B:B)</f>
        <v>Lisa Johnson</v>
      </c>
      <c r="C7" s="2" t="str">
        <f>_xlfn.XLOOKUP(A:A,Sheet1!A:A,Sheet1!D:D)</f>
        <v>Female</v>
      </c>
      <c r="D7" s="8">
        <f>_xlfn.XLOOKUP(A:A,Sheet1!A:A,Sheet1!F:F)</f>
        <v>59</v>
      </c>
      <c r="E7" s="2" t="str">
        <f>_xlfn.XLOOKUP(A:A,Sheet1!A:A,Sheet1!G:G)</f>
        <v>Netherlands</v>
      </c>
      <c r="F7" s="8" t="str">
        <f>_xlfn.XLOOKUP(A:A,Sheet1!A:A,Sheet1!H:H)</f>
        <v>Dutch</v>
      </c>
      <c r="G7" s="8" t="str">
        <f>_xlfn.XLOOKUP(A:A,Sheet1!A:A,Sheet1!I:I)</f>
        <v>AI</v>
      </c>
      <c r="H7" s="8">
        <f>_xlfn.XLOOKUP(A:A,Sheet1!A:A,Sheet1!K:K)</f>
        <v>14</v>
      </c>
      <c r="I7" s="9">
        <f>_xlfn.XLOOKUP(A:A,Sheet1!A:A,Sheet1!M:M)</f>
        <v>30</v>
      </c>
      <c r="J7" s="10">
        <f>_xlfn.XLOOKUP(A:A,Sheet1!A:A,Sheet1!O:O)</f>
        <v>2.4</v>
      </c>
      <c r="K7" t="str">
        <f>_xlfn.XLOOKUP(A:A,Sheet1!A:A,Sheet1!P:P)</f>
        <v>No</v>
      </c>
      <c r="L7" s="12">
        <f>_xlfn.XLOOKUP(A:A,Sheet1!A:A,Sheet1!S:S)</f>
        <v>0.79269417475728277</v>
      </c>
    </row>
    <row r="8" spans="1:12" x14ac:dyDescent="0.35">
      <c r="A8" s="8" t="s">
        <v>28</v>
      </c>
      <c r="B8" s="2" t="str">
        <f>_xlfn.XLOOKUP(A8,Sheet1!A:A,Sheet1!B:B)</f>
        <v>Eric Myers</v>
      </c>
      <c r="C8" s="2" t="str">
        <f>_xlfn.XLOOKUP(A:A,Sheet1!A:A,Sheet1!D:D)</f>
        <v>Male</v>
      </c>
      <c r="D8" s="8">
        <f>_xlfn.XLOOKUP(A:A,Sheet1!A:A,Sheet1!F:F)</f>
        <v>52</v>
      </c>
      <c r="E8" s="2" t="str">
        <f>_xlfn.XLOOKUP(A:A,Sheet1!A:A,Sheet1!G:G)</f>
        <v>Indonesia</v>
      </c>
      <c r="F8" s="8" t="str">
        <f>_xlfn.XLOOKUP(A:A,Sheet1!A:A,Sheet1!H:H)</f>
        <v>Indonesian</v>
      </c>
      <c r="G8" s="8" t="str">
        <f>_xlfn.XLOOKUP(A:A,Sheet1!A:A,Sheet1!I:I)</f>
        <v>Data Analysis</v>
      </c>
      <c r="H8" s="8">
        <f>_xlfn.XLOOKUP(A:A,Sheet1!A:A,Sheet1!K:K)</f>
        <v>10</v>
      </c>
      <c r="I8" s="9">
        <f>_xlfn.XLOOKUP(A:A,Sheet1!A:A,Sheet1!M:M)</f>
        <v>75</v>
      </c>
      <c r="J8" s="10">
        <f>_xlfn.XLOOKUP(A:A,Sheet1!A:A,Sheet1!O:O)</f>
        <v>3.1</v>
      </c>
      <c r="K8" t="str">
        <f>_xlfn.XLOOKUP(A:A,Sheet1!A:A,Sheet1!P:P)</f>
        <v>No</v>
      </c>
      <c r="L8" s="12">
        <f>_xlfn.XLOOKUP(A:A,Sheet1!A:A,Sheet1!S:S)</f>
        <v>0.94</v>
      </c>
    </row>
    <row r="9" spans="1:12" x14ac:dyDescent="0.35">
      <c r="A9" s="8" t="s">
        <v>34</v>
      </c>
      <c r="B9" s="2" t="str">
        <f>_xlfn.XLOOKUP(A9,Sheet1!A:A,Sheet1!B:B)</f>
        <v>Ricky Graham</v>
      </c>
      <c r="C9" s="2" t="str">
        <f>_xlfn.XLOOKUP(A:A,Sheet1!A:A,Sheet1!D:D)</f>
        <v>Male</v>
      </c>
      <c r="D9" s="8">
        <f>_xlfn.XLOOKUP(A:A,Sheet1!A:A,Sheet1!F:F)</f>
        <v>43</v>
      </c>
      <c r="E9" s="2" t="str">
        <f>_xlfn.XLOOKUP(A:A,Sheet1!A:A,Sheet1!G:G)</f>
        <v>Italy</v>
      </c>
      <c r="F9" s="8" t="str">
        <f>_xlfn.XLOOKUP(A:A,Sheet1!A:A,Sheet1!H:H)</f>
        <v>Italian</v>
      </c>
      <c r="G9" s="8" t="str">
        <f>_xlfn.XLOOKUP(A:A,Sheet1!A:A,Sheet1!I:I)</f>
        <v>Blockchain Development</v>
      </c>
      <c r="H9" s="8">
        <f>_xlfn.XLOOKUP(A:A,Sheet1!A:A,Sheet1!K:K)</f>
        <v>14</v>
      </c>
      <c r="I9" s="9">
        <f>_xlfn.XLOOKUP(A:A,Sheet1!A:A,Sheet1!M:M)</f>
        <v>40</v>
      </c>
      <c r="J9" s="10">
        <f>_xlfn.XLOOKUP(A:A,Sheet1!A:A,Sheet1!O:O)</f>
        <v>4.5999999999999996</v>
      </c>
      <c r="K9" t="str">
        <f>_xlfn.XLOOKUP(A:A,Sheet1!A:A,Sheet1!P:P)</f>
        <v>No</v>
      </c>
      <c r="L9" s="12">
        <f>_xlfn.XLOOKUP(A:A,Sheet1!A:A,Sheet1!S:S)</f>
        <v>0.94</v>
      </c>
    </row>
    <row r="10" spans="1:12" x14ac:dyDescent="0.35">
      <c r="A10" s="8" t="s">
        <v>36</v>
      </c>
      <c r="B10" s="2" t="str">
        <f>_xlfn.XLOOKUP(A10,Sheet1!A:A,Sheet1!B:B)</f>
        <v>Sean Martin</v>
      </c>
      <c r="C10" s="2" t="str">
        <f>_xlfn.XLOOKUP(A:A,Sheet1!A:A,Sheet1!D:D)</f>
        <v>Male</v>
      </c>
      <c r="D10" s="8">
        <f>_xlfn.XLOOKUP(A:A,Sheet1!A:A,Sheet1!F:F)</f>
        <v>26</v>
      </c>
      <c r="E10" s="2" t="str">
        <f>_xlfn.XLOOKUP(A:A,Sheet1!A:A,Sheet1!G:G)</f>
        <v>United States</v>
      </c>
      <c r="F10" s="8" t="str">
        <f>_xlfn.XLOOKUP(A:A,Sheet1!A:A,Sheet1!H:H)</f>
        <v>English</v>
      </c>
      <c r="G10" s="8" t="str">
        <f>_xlfn.XLOOKUP(A:A,Sheet1!A:A,Sheet1!I:I)</f>
        <v>Blockchain Development</v>
      </c>
      <c r="H10" s="8">
        <f>_xlfn.XLOOKUP(A:A,Sheet1!A:A,Sheet1!K:K)</f>
        <v>4</v>
      </c>
      <c r="I10" s="9">
        <f>_xlfn.XLOOKUP(A:A,Sheet1!A:A,Sheet1!M:M)</f>
        <v>40</v>
      </c>
      <c r="J10" s="10">
        <f>_xlfn.XLOOKUP(A:A,Sheet1!A:A,Sheet1!O:O)</f>
        <v>4</v>
      </c>
      <c r="K10" t="str">
        <f>_xlfn.XLOOKUP(A:A,Sheet1!A:A,Sheet1!P:P)</f>
        <v>Yes</v>
      </c>
      <c r="L10" s="12">
        <f>_xlfn.XLOOKUP(A:A,Sheet1!A:A,Sheet1!S:S)</f>
        <v>0.76</v>
      </c>
    </row>
    <row r="11" spans="1:12" x14ac:dyDescent="0.35">
      <c r="A11" s="8" t="s">
        <v>39</v>
      </c>
      <c r="B11" s="2" t="str">
        <f>_xlfn.XLOOKUP(A11,Sheet1!A:A,Sheet1!B:B)</f>
        <v>Matthew Lloyd</v>
      </c>
      <c r="C11" s="2" t="str">
        <f>_xlfn.XLOOKUP(A:A,Sheet1!A:A,Sheet1!D:D)</f>
        <v>Male</v>
      </c>
      <c r="D11" s="8">
        <f>_xlfn.XLOOKUP(A:A,Sheet1!A:A,Sheet1!F:F)</f>
        <v>52</v>
      </c>
      <c r="E11" s="2" t="str">
        <f>_xlfn.XLOOKUP(A:A,Sheet1!A:A,Sheet1!G:G)</f>
        <v>Turkey</v>
      </c>
      <c r="F11" s="8" t="str">
        <f>_xlfn.XLOOKUP(A:A,Sheet1!A:A,Sheet1!H:H)</f>
        <v>Turkish</v>
      </c>
      <c r="G11" s="8" t="str">
        <f>_xlfn.XLOOKUP(A:A,Sheet1!A:A,Sheet1!I:I)</f>
        <v>AI</v>
      </c>
      <c r="H11" s="8">
        <f>_xlfn.XLOOKUP(A:A,Sheet1!A:A,Sheet1!K:K)</f>
        <v>22</v>
      </c>
      <c r="I11" s="9">
        <f>_xlfn.XLOOKUP(A:A,Sheet1!A:A,Sheet1!M:M)</f>
        <v>50</v>
      </c>
      <c r="J11" s="10">
        <f>_xlfn.XLOOKUP(A:A,Sheet1!A:A,Sheet1!O:O)</f>
        <v>2.5125695216907653</v>
      </c>
      <c r="K11" t="str">
        <f>_xlfn.XLOOKUP(A:A,Sheet1!A:A,Sheet1!P:P)</f>
        <v>Yes</v>
      </c>
      <c r="L11" s="12">
        <f>_xlfn.XLOOKUP(A:A,Sheet1!A:A,Sheet1!S:S)</f>
        <v>0.79269417475728277</v>
      </c>
    </row>
    <row r="12" spans="1:12" x14ac:dyDescent="0.35">
      <c r="A12" s="8" t="s">
        <v>44</v>
      </c>
      <c r="B12" s="2" t="str">
        <f>_xlfn.XLOOKUP(A12,Sheet1!A:A,Sheet1!B:B)</f>
        <v>Gavin Randall</v>
      </c>
      <c r="C12" s="2" t="str">
        <f>_xlfn.XLOOKUP(A:A,Sheet1!A:A,Sheet1!D:D)</f>
        <v>Male</v>
      </c>
      <c r="D12" s="8">
        <f>_xlfn.XLOOKUP(A:A,Sheet1!A:A,Sheet1!F:F)</f>
        <v>40</v>
      </c>
      <c r="E12" s="2" t="str">
        <f>_xlfn.XLOOKUP(A:A,Sheet1!A:A,Sheet1!G:G)</f>
        <v>United Kingdom</v>
      </c>
      <c r="F12" s="8" t="str">
        <f>_xlfn.XLOOKUP(A:A,Sheet1!A:A,Sheet1!H:H)</f>
        <v>English</v>
      </c>
      <c r="G12" s="8" t="str">
        <f>_xlfn.XLOOKUP(A:A,Sheet1!A:A,Sheet1!I:I)</f>
        <v>Data Analysis</v>
      </c>
      <c r="H12" s="8">
        <f>_xlfn.XLOOKUP(A:A,Sheet1!A:A,Sheet1!K:K)</f>
        <v>17</v>
      </c>
      <c r="I12" s="9">
        <f>_xlfn.XLOOKUP(A:A,Sheet1!A:A,Sheet1!M:M)</f>
        <v>40</v>
      </c>
      <c r="J12" s="10">
        <f>_xlfn.XLOOKUP(A:A,Sheet1!A:A,Sheet1!O:O)</f>
        <v>3.6</v>
      </c>
      <c r="K12" t="str">
        <f>_xlfn.XLOOKUP(A:A,Sheet1!A:A,Sheet1!P:P)</f>
        <v>Yes</v>
      </c>
      <c r="L12" s="12">
        <f>_xlfn.XLOOKUP(A:A,Sheet1!A:A,Sheet1!S:S)</f>
        <v>0.77</v>
      </c>
    </row>
    <row r="13" spans="1:12" x14ac:dyDescent="0.35">
      <c r="A13" s="8" t="s">
        <v>48</v>
      </c>
      <c r="B13" s="2" t="str">
        <f>_xlfn.XLOOKUP(A13,Sheet1!A:A,Sheet1!B:B)</f>
        <v>Michelle Curtis</v>
      </c>
      <c r="C13" s="2" t="str">
        <f>_xlfn.XLOOKUP(A:A,Sheet1!A:A,Sheet1!D:D)</f>
        <v>Female</v>
      </c>
      <c r="D13" s="8">
        <f>_xlfn.XLOOKUP(A:A,Sheet1!A:A,Sheet1!F:F)</f>
        <v>55</v>
      </c>
      <c r="E13" s="2" t="str">
        <f>_xlfn.XLOOKUP(A:A,Sheet1!A:A,Sheet1!G:G)</f>
        <v>Argentina</v>
      </c>
      <c r="F13" s="8" t="str">
        <f>_xlfn.XLOOKUP(A:A,Sheet1!A:A,Sheet1!H:H)</f>
        <v>Spanish</v>
      </c>
      <c r="G13" s="8" t="str">
        <f>_xlfn.XLOOKUP(A:A,Sheet1!A:A,Sheet1!I:I)</f>
        <v>UI/UX Design</v>
      </c>
      <c r="H13" s="8">
        <f>_xlfn.XLOOKUP(A:A,Sheet1!A:A,Sheet1!K:K)</f>
        <v>15</v>
      </c>
      <c r="I13" s="9">
        <f>_xlfn.XLOOKUP(A:A,Sheet1!A:A,Sheet1!M:M)</f>
        <v>40</v>
      </c>
      <c r="J13" s="10">
        <f>_xlfn.XLOOKUP(A:A,Sheet1!A:A,Sheet1!O:O)</f>
        <v>2.5125695216907653</v>
      </c>
      <c r="K13" t="str">
        <f>_xlfn.XLOOKUP(A:A,Sheet1!A:A,Sheet1!P:P)</f>
        <v>Yes</v>
      </c>
      <c r="L13" s="12">
        <f>_xlfn.XLOOKUP(A:A,Sheet1!A:A,Sheet1!S:S)</f>
        <v>0.86</v>
      </c>
    </row>
    <row r="14" spans="1:12" x14ac:dyDescent="0.35">
      <c r="A14" s="8" t="s">
        <v>53</v>
      </c>
      <c r="B14" s="2" t="str">
        <f>_xlfn.XLOOKUP(A14,Sheet1!A:A,Sheet1!B:B)</f>
        <v>Alice Schneider</v>
      </c>
      <c r="C14" s="2" t="str">
        <f>_xlfn.XLOOKUP(A:A,Sheet1!A:A,Sheet1!D:D)</f>
        <v>Female</v>
      </c>
      <c r="D14" s="8">
        <f>_xlfn.XLOOKUP(A:A,Sheet1!A:A,Sheet1!F:F)</f>
        <v>57</v>
      </c>
      <c r="E14" s="2" t="str">
        <f>_xlfn.XLOOKUP(A:A,Sheet1!A:A,Sheet1!G:G)</f>
        <v>United Kingdom</v>
      </c>
      <c r="F14" s="8" t="str">
        <f>_xlfn.XLOOKUP(A:A,Sheet1!A:A,Sheet1!H:H)</f>
        <v>English</v>
      </c>
      <c r="G14" s="8" t="str">
        <f>_xlfn.XLOOKUP(A:A,Sheet1!A:A,Sheet1!I:I)</f>
        <v>Cybersecurity</v>
      </c>
      <c r="H14" s="8">
        <f>_xlfn.XLOOKUP(A:A,Sheet1!A:A,Sheet1!K:K)</f>
        <v>18</v>
      </c>
      <c r="I14" s="9">
        <f>_xlfn.XLOOKUP(A:A,Sheet1!A:A,Sheet1!M:M)</f>
        <v>40</v>
      </c>
      <c r="J14" s="10">
        <f>_xlfn.XLOOKUP(A:A,Sheet1!A:A,Sheet1!O:O)</f>
        <v>2</v>
      </c>
      <c r="K14" t="str">
        <f>_xlfn.XLOOKUP(A:A,Sheet1!A:A,Sheet1!P:P)</f>
        <v>No</v>
      </c>
      <c r="L14" s="12">
        <f>_xlfn.XLOOKUP(A:A,Sheet1!A:A,Sheet1!S:S)</f>
        <v>0.86</v>
      </c>
    </row>
    <row r="15" spans="1:12" x14ac:dyDescent="0.35">
      <c r="A15" s="8" t="s">
        <v>57</v>
      </c>
      <c r="B15" s="2" t="str">
        <f>_xlfn.XLOOKUP(A15,Sheet1!A:A,Sheet1!B:B)</f>
        <v>Phillip Shelton</v>
      </c>
      <c r="C15" s="2" t="str">
        <f>_xlfn.XLOOKUP(A:A,Sheet1!A:A,Sheet1!D:D)</f>
        <v>Male</v>
      </c>
      <c r="D15" s="8">
        <f>_xlfn.XLOOKUP(A:A,Sheet1!A:A,Sheet1!F:F)</f>
        <v>38</v>
      </c>
      <c r="E15" s="2" t="str">
        <f>_xlfn.XLOOKUP(A:A,Sheet1!A:A,Sheet1!G:G)</f>
        <v>Argentina</v>
      </c>
      <c r="F15" s="8" t="str">
        <f>_xlfn.XLOOKUP(A:A,Sheet1!A:A,Sheet1!H:H)</f>
        <v>Spanish</v>
      </c>
      <c r="G15" s="8" t="str">
        <f>_xlfn.XLOOKUP(A:A,Sheet1!A:A,Sheet1!I:I)</f>
        <v>Graphic Design</v>
      </c>
      <c r="H15" s="8">
        <f>_xlfn.XLOOKUP(A:A,Sheet1!A:A,Sheet1!K:K)</f>
        <v>20</v>
      </c>
      <c r="I15" s="9">
        <f>_xlfn.XLOOKUP(A:A,Sheet1!A:A,Sheet1!M:M)</f>
        <v>75</v>
      </c>
      <c r="J15" s="10">
        <f>_xlfn.XLOOKUP(A:A,Sheet1!A:A,Sheet1!O:O)</f>
        <v>2.9</v>
      </c>
      <c r="K15" t="str">
        <f>_xlfn.XLOOKUP(A:A,Sheet1!A:A,Sheet1!P:P)</f>
        <v>Yes</v>
      </c>
      <c r="L15" s="12">
        <f>_xlfn.XLOOKUP(A:A,Sheet1!A:A,Sheet1!S:S)</f>
        <v>0.93</v>
      </c>
    </row>
    <row r="16" spans="1:12" x14ac:dyDescent="0.35">
      <c r="A16" s="8" t="s">
        <v>59</v>
      </c>
      <c r="B16" s="2" t="str">
        <f>_xlfn.XLOOKUP(A16,Sheet1!A:A,Sheet1!B:B)</f>
        <v>Edward Ferguson</v>
      </c>
      <c r="C16" s="2" t="str">
        <f>_xlfn.XLOOKUP(A:A,Sheet1!A:A,Sheet1!D:D)</f>
        <v>Male</v>
      </c>
      <c r="D16" s="8">
        <f>_xlfn.XLOOKUP(A:A,Sheet1!A:A,Sheet1!F:F)</f>
        <v>50</v>
      </c>
      <c r="E16" s="2" t="str">
        <f>_xlfn.XLOOKUP(A:A,Sheet1!A:A,Sheet1!G:G)</f>
        <v>Germany</v>
      </c>
      <c r="F16" s="8" t="str">
        <f>_xlfn.XLOOKUP(A:A,Sheet1!A:A,Sheet1!H:H)</f>
        <v>German</v>
      </c>
      <c r="G16" s="8" t="str">
        <f>_xlfn.XLOOKUP(A:A,Sheet1!A:A,Sheet1!I:I)</f>
        <v>Data Analysis</v>
      </c>
      <c r="H16" s="8">
        <f>_xlfn.XLOOKUP(A:A,Sheet1!A:A,Sheet1!K:K)</f>
        <v>22</v>
      </c>
      <c r="I16" s="9">
        <f>_xlfn.XLOOKUP(A:A,Sheet1!A:A,Sheet1!M:M)</f>
        <v>75</v>
      </c>
      <c r="J16" s="10">
        <f>_xlfn.XLOOKUP(A:A,Sheet1!A:A,Sheet1!O:O)</f>
        <v>3.7</v>
      </c>
      <c r="K16" t="str">
        <f>_xlfn.XLOOKUP(A:A,Sheet1!A:A,Sheet1!P:P)</f>
        <v>Yes</v>
      </c>
      <c r="L16" s="12">
        <f>_xlfn.XLOOKUP(A:A,Sheet1!A:A,Sheet1!S:S)</f>
        <v>0.7</v>
      </c>
    </row>
    <row r="17" spans="1:12" x14ac:dyDescent="0.35">
      <c r="A17" s="8" t="s">
        <v>61</v>
      </c>
      <c r="B17" s="2" t="str">
        <f>_xlfn.XLOOKUP(A17,Sheet1!A:A,Sheet1!B:B)</f>
        <v>Wyatt Stout</v>
      </c>
      <c r="C17" s="2" t="str">
        <f>_xlfn.XLOOKUP(A:A,Sheet1!A:A,Sheet1!D:D)</f>
        <v>Male</v>
      </c>
      <c r="D17" s="8">
        <f>_xlfn.XLOOKUP(A:A,Sheet1!A:A,Sheet1!F:F)</f>
        <v>42</v>
      </c>
      <c r="E17" s="2" t="str">
        <f>_xlfn.XLOOKUP(A:A,Sheet1!A:A,Sheet1!G:G)</f>
        <v>Japan</v>
      </c>
      <c r="F17" s="8" t="str">
        <f>_xlfn.XLOOKUP(A:A,Sheet1!A:A,Sheet1!H:H)</f>
        <v>Japanese</v>
      </c>
      <c r="G17" s="8" t="str">
        <f>_xlfn.XLOOKUP(A:A,Sheet1!A:A,Sheet1!I:I)</f>
        <v>Data Analysis</v>
      </c>
      <c r="H17" s="8">
        <f>_xlfn.XLOOKUP(A:A,Sheet1!A:A,Sheet1!K:K)</f>
        <v>0</v>
      </c>
      <c r="I17" s="9">
        <f>_xlfn.XLOOKUP(A:A,Sheet1!A:A,Sheet1!M:M)</f>
        <v>30</v>
      </c>
      <c r="J17" s="10">
        <f>_xlfn.XLOOKUP(A:A,Sheet1!A:A,Sheet1!O:O)</f>
        <v>1.2</v>
      </c>
      <c r="K17" t="str">
        <f>_xlfn.XLOOKUP(A:A,Sheet1!A:A,Sheet1!P:P)</f>
        <v>No</v>
      </c>
      <c r="L17" s="12">
        <f>_xlfn.XLOOKUP(A:A,Sheet1!A:A,Sheet1!S:S)</f>
        <v>0.69</v>
      </c>
    </row>
    <row r="18" spans="1:12" x14ac:dyDescent="0.35">
      <c r="A18" s="8" t="s">
        <v>65</v>
      </c>
      <c r="B18" s="2" t="str">
        <f>_xlfn.XLOOKUP(A18,Sheet1!A:A,Sheet1!B:B)</f>
        <v>Laura Johnson</v>
      </c>
      <c r="C18" s="2" t="str">
        <f>_xlfn.XLOOKUP(A:A,Sheet1!A:A,Sheet1!D:D)</f>
        <v>Female</v>
      </c>
      <c r="D18" s="8">
        <f>_xlfn.XLOOKUP(A:A,Sheet1!A:A,Sheet1!F:F)</f>
        <v>39</v>
      </c>
      <c r="E18" s="2" t="str">
        <f>_xlfn.XLOOKUP(A:A,Sheet1!A:A,Sheet1!G:G)</f>
        <v>Australia</v>
      </c>
      <c r="F18" s="8" t="str">
        <f>_xlfn.XLOOKUP(A:A,Sheet1!A:A,Sheet1!H:H)</f>
        <v>English</v>
      </c>
      <c r="G18" s="8" t="str">
        <f>_xlfn.XLOOKUP(A:A,Sheet1!A:A,Sheet1!I:I)</f>
        <v>DevOps</v>
      </c>
      <c r="H18" s="8">
        <f>_xlfn.XLOOKUP(A:A,Sheet1!A:A,Sheet1!K:K)</f>
        <v>13</v>
      </c>
      <c r="I18" s="9">
        <f>_xlfn.XLOOKUP(A:A,Sheet1!A:A,Sheet1!M:M)</f>
        <v>30</v>
      </c>
      <c r="J18" s="10">
        <f>_xlfn.XLOOKUP(A:A,Sheet1!A:A,Sheet1!O:O)</f>
        <v>2.5</v>
      </c>
      <c r="K18" t="str">
        <f>_xlfn.XLOOKUP(A:A,Sheet1!A:A,Sheet1!P:P)</f>
        <v>No</v>
      </c>
      <c r="L18" s="12">
        <f>_xlfn.XLOOKUP(A:A,Sheet1!A:A,Sheet1!S:S)</f>
        <v>0.6</v>
      </c>
    </row>
    <row r="19" spans="1:12" x14ac:dyDescent="0.35">
      <c r="A19" s="8" t="s">
        <v>68</v>
      </c>
      <c r="B19" s="2" t="str">
        <f>_xlfn.XLOOKUP(A19,Sheet1!A:A,Sheet1!B:B)</f>
        <v>Scott Burns</v>
      </c>
      <c r="C19" s="2" t="str">
        <f>_xlfn.XLOOKUP(A:A,Sheet1!A:A,Sheet1!D:D)</f>
        <v>Male</v>
      </c>
      <c r="D19" s="8">
        <f>_xlfn.XLOOKUP(A:A,Sheet1!A:A,Sheet1!F:F)</f>
        <v>56</v>
      </c>
      <c r="E19" s="2" t="str">
        <f>_xlfn.XLOOKUP(A:A,Sheet1!A:A,Sheet1!G:G)</f>
        <v>India</v>
      </c>
      <c r="F19" s="8" t="str">
        <f>_xlfn.XLOOKUP(A:A,Sheet1!A:A,Sheet1!H:H)</f>
        <v>Hindi</v>
      </c>
      <c r="G19" s="8" t="str">
        <f>_xlfn.XLOOKUP(A:A,Sheet1!A:A,Sheet1!I:I)</f>
        <v>Blockchain Development</v>
      </c>
      <c r="H19" s="8">
        <f>_xlfn.XLOOKUP(A:A,Sheet1!A:A,Sheet1!K:K)</f>
        <v>9</v>
      </c>
      <c r="I19" s="9">
        <f>_xlfn.XLOOKUP(A:A,Sheet1!A:A,Sheet1!M:M)</f>
        <v>40</v>
      </c>
      <c r="J19" s="10">
        <f>_xlfn.XLOOKUP(A:A,Sheet1!A:A,Sheet1!O:O)</f>
        <v>2.5125695216907653</v>
      </c>
      <c r="K19" t="str">
        <f>_xlfn.XLOOKUP(A:A,Sheet1!A:A,Sheet1!P:P)</f>
        <v>No</v>
      </c>
      <c r="L19" s="12">
        <f>_xlfn.XLOOKUP(A:A,Sheet1!A:A,Sheet1!S:S)</f>
        <v>0.87</v>
      </c>
    </row>
    <row r="20" spans="1:12" x14ac:dyDescent="0.35">
      <c r="A20" s="8" t="s">
        <v>73</v>
      </c>
      <c r="B20" s="2" t="str">
        <f>_xlfn.XLOOKUP(A20,Sheet1!A:A,Sheet1!B:B)</f>
        <v>Tyler Aguirre</v>
      </c>
      <c r="C20" s="2" t="str">
        <f>_xlfn.XLOOKUP(A:A,Sheet1!A:A,Sheet1!D:D)</f>
        <v>Male</v>
      </c>
      <c r="D20" s="8">
        <f>_xlfn.XLOOKUP(A:A,Sheet1!A:A,Sheet1!F:F)</f>
        <v>56</v>
      </c>
      <c r="E20" s="2" t="str">
        <f>_xlfn.XLOOKUP(A:A,Sheet1!A:A,Sheet1!G:G)</f>
        <v>United States</v>
      </c>
      <c r="F20" s="8" t="str">
        <f>_xlfn.XLOOKUP(A:A,Sheet1!A:A,Sheet1!H:H)</f>
        <v>English</v>
      </c>
      <c r="G20" s="8" t="str">
        <f>_xlfn.XLOOKUP(A:A,Sheet1!A:A,Sheet1!I:I)</f>
        <v>UI/UX Design</v>
      </c>
      <c r="H20" s="8">
        <f>_xlfn.XLOOKUP(A:A,Sheet1!A:A,Sheet1!K:K)</f>
        <v>31</v>
      </c>
      <c r="I20" s="9">
        <f>_xlfn.XLOOKUP(A:A,Sheet1!A:A,Sheet1!M:M)</f>
        <v>50</v>
      </c>
      <c r="J20" s="10">
        <f>_xlfn.XLOOKUP(A:A,Sheet1!A:A,Sheet1!O:O)</f>
        <v>1.1000000000000001</v>
      </c>
      <c r="K20" t="str">
        <f>_xlfn.XLOOKUP(A:A,Sheet1!A:A,Sheet1!P:P)</f>
        <v>No</v>
      </c>
      <c r="L20" s="12">
        <f>_xlfn.XLOOKUP(A:A,Sheet1!A:A,Sheet1!S:S)</f>
        <v>0.75</v>
      </c>
    </row>
    <row r="21" spans="1:12" x14ac:dyDescent="0.35">
      <c r="A21" s="8" t="s">
        <v>76</v>
      </c>
      <c r="B21" s="2" t="str">
        <f>_xlfn.XLOOKUP(A21,Sheet1!A:A,Sheet1!B:B)</f>
        <v>Matthew Lawson</v>
      </c>
      <c r="C21" s="2" t="str">
        <f>_xlfn.XLOOKUP(A:A,Sheet1!A:A,Sheet1!D:D)</f>
        <v>Male</v>
      </c>
      <c r="D21" s="8">
        <f>_xlfn.XLOOKUP(A:A,Sheet1!A:A,Sheet1!F:F)</f>
        <v>57</v>
      </c>
      <c r="E21" s="2" t="str">
        <f>_xlfn.XLOOKUP(A:A,Sheet1!A:A,Sheet1!G:G)</f>
        <v>Italy</v>
      </c>
      <c r="F21" s="8" t="str">
        <f>_xlfn.XLOOKUP(A:A,Sheet1!A:A,Sheet1!H:H)</f>
        <v>Italian</v>
      </c>
      <c r="G21" s="8" t="str">
        <f>_xlfn.XLOOKUP(A:A,Sheet1!A:A,Sheet1!I:I)</f>
        <v>Web Development</v>
      </c>
      <c r="H21" s="8">
        <f>_xlfn.XLOOKUP(A:A,Sheet1!A:A,Sheet1!K:K)</f>
        <v>3</v>
      </c>
      <c r="I21" s="9">
        <f>_xlfn.XLOOKUP(A:A,Sheet1!A:A,Sheet1!M:M)</f>
        <v>100</v>
      </c>
      <c r="J21" s="10">
        <f>_xlfn.XLOOKUP(A:A,Sheet1!A:A,Sheet1!O:O)</f>
        <v>1.8</v>
      </c>
      <c r="K21" t="str">
        <f>_xlfn.XLOOKUP(A:A,Sheet1!A:A,Sheet1!P:P)</f>
        <v>Yes</v>
      </c>
      <c r="L21" s="12">
        <f>_xlfn.XLOOKUP(A:A,Sheet1!A:A,Sheet1!S:S)</f>
        <v>0.68</v>
      </c>
    </row>
    <row r="22" spans="1:12" x14ac:dyDescent="0.35">
      <c r="A22" s="8" t="s">
        <v>78</v>
      </c>
      <c r="B22" s="2" t="str">
        <f>_xlfn.XLOOKUP(A22,Sheet1!A:A,Sheet1!B:B)</f>
        <v>James Cherry</v>
      </c>
      <c r="C22" s="2" t="str">
        <f>_xlfn.XLOOKUP(A:A,Sheet1!A:A,Sheet1!D:D)</f>
        <v>Male</v>
      </c>
      <c r="D22" s="8">
        <f>_xlfn.XLOOKUP(A:A,Sheet1!A:A,Sheet1!F:F)</f>
        <v>41</v>
      </c>
      <c r="E22" s="2" t="str">
        <f>_xlfn.XLOOKUP(A:A,Sheet1!A:A,Sheet1!G:G)</f>
        <v>Indonesia</v>
      </c>
      <c r="F22" s="8" t="str">
        <f>_xlfn.XLOOKUP(A:A,Sheet1!A:A,Sheet1!H:H)</f>
        <v>Indonesian</v>
      </c>
      <c r="G22" s="8" t="str">
        <f>_xlfn.XLOOKUP(A:A,Sheet1!A:A,Sheet1!I:I)</f>
        <v>AI</v>
      </c>
      <c r="H22" s="8">
        <f>_xlfn.XLOOKUP(A:A,Sheet1!A:A,Sheet1!K:K)</f>
        <v>9</v>
      </c>
      <c r="I22" s="9">
        <f>_xlfn.XLOOKUP(A:A,Sheet1!A:A,Sheet1!M:M)</f>
        <v>50</v>
      </c>
      <c r="J22" s="10">
        <f>_xlfn.XLOOKUP(A:A,Sheet1!A:A,Sheet1!O:O)</f>
        <v>1.8</v>
      </c>
      <c r="K22" t="str">
        <f>_xlfn.XLOOKUP(A:A,Sheet1!A:A,Sheet1!P:P)</f>
        <v>No</v>
      </c>
      <c r="L22" s="12">
        <f>_xlfn.XLOOKUP(A:A,Sheet1!A:A,Sheet1!S:S)</f>
        <v>0.65</v>
      </c>
    </row>
    <row r="23" spans="1:12" x14ac:dyDescent="0.35">
      <c r="A23" s="8" t="s">
        <v>80</v>
      </c>
      <c r="B23" s="2" t="str">
        <f>_xlfn.XLOOKUP(A23,Sheet1!A:A,Sheet1!B:B)</f>
        <v>Samuel Sanford</v>
      </c>
      <c r="C23" s="2" t="str">
        <f>_xlfn.XLOOKUP(A:A,Sheet1!A:A,Sheet1!D:D)</f>
        <v>Male</v>
      </c>
      <c r="D23" s="8">
        <f>_xlfn.XLOOKUP(A:A,Sheet1!A:A,Sheet1!F:F)</f>
        <v>51</v>
      </c>
      <c r="E23" s="2" t="str">
        <f>_xlfn.XLOOKUP(A:A,Sheet1!A:A,Sheet1!G:G)</f>
        <v>Japan</v>
      </c>
      <c r="F23" s="8" t="str">
        <f>_xlfn.XLOOKUP(A:A,Sheet1!A:A,Sheet1!H:H)</f>
        <v>Japanese</v>
      </c>
      <c r="G23" s="8" t="str">
        <f>_xlfn.XLOOKUP(A:A,Sheet1!A:A,Sheet1!I:I)</f>
        <v>DevOps</v>
      </c>
      <c r="H23" s="8">
        <f>_xlfn.XLOOKUP(A:A,Sheet1!A:A,Sheet1!K:K)</f>
        <v>9</v>
      </c>
      <c r="I23" s="9">
        <f>_xlfn.XLOOKUP(A:A,Sheet1!A:A,Sheet1!M:M)</f>
        <v>40</v>
      </c>
      <c r="J23" s="10">
        <f>_xlfn.XLOOKUP(A:A,Sheet1!A:A,Sheet1!O:O)</f>
        <v>2.4</v>
      </c>
      <c r="K23" t="str">
        <f>_xlfn.XLOOKUP(A:A,Sheet1!A:A,Sheet1!P:P)</f>
        <v>No</v>
      </c>
      <c r="L23" s="12">
        <f>_xlfn.XLOOKUP(A:A,Sheet1!A:A,Sheet1!S:S)</f>
        <v>0.69</v>
      </c>
    </row>
    <row r="24" spans="1:12" x14ac:dyDescent="0.35">
      <c r="A24" s="8" t="s">
        <v>82</v>
      </c>
      <c r="B24" s="2" t="str">
        <f>_xlfn.XLOOKUP(A24,Sheet1!A:A,Sheet1!B:B)</f>
        <v>Cesar Greene</v>
      </c>
      <c r="C24" s="2" t="str">
        <f>_xlfn.XLOOKUP(A:A,Sheet1!A:A,Sheet1!D:D)</f>
        <v>Male</v>
      </c>
      <c r="D24" s="8">
        <f>_xlfn.XLOOKUP(A:A,Sheet1!A:A,Sheet1!F:F)</f>
        <v>51</v>
      </c>
      <c r="E24" s="2" t="str">
        <f>_xlfn.XLOOKUP(A:A,Sheet1!A:A,Sheet1!G:G)</f>
        <v>Brazil</v>
      </c>
      <c r="F24" s="8" t="str">
        <f>_xlfn.XLOOKUP(A:A,Sheet1!A:A,Sheet1!H:H)</f>
        <v>Portuguese</v>
      </c>
      <c r="G24" s="8" t="str">
        <f>_xlfn.XLOOKUP(A:A,Sheet1!A:A,Sheet1!I:I)</f>
        <v>Cybersecurity</v>
      </c>
      <c r="H24" s="8">
        <f>_xlfn.XLOOKUP(A:A,Sheet1!A:A,Sheet1!K:K)</f>
        <v>21</v>
      </c>
      <c r="I24" s="9">
        <f>_xlfn.XLOOKUP(A:A,Sheet1!A:A,Sheet1!M:M)</f>
        <v>30</v>
      </c>
      <c r="J24" s="10">
        <f>_xlfn.XLOOKUP(A:A,Sheet1!A:A,Sheet1!O:O)</f>
        <v>4.7</v>
      </c>
      <c r="K24" t="str">
        <f>_xlfn.XLOOKUP(A:A,Sheet1!A:A,Sheet1!P:P)</f>
        <v>No</v>
      </c>
      <c r="L24" s="12">
        <f>_xlfn.XLOOKUP(A:A,Sheet1!A:A,Sheet1!S:S)</f>
        <v>0.79269417475728277</v>
      </c>
    </row>
    <row r="25" spans="1:12" x14ac:dyDescent="0.35">
      <c r="A25" s="8" t="s">
        <v>86</v>
      </c>
      <c r="B25" s="2" t="str">
        <f>_xlfn.XLOOKUP(A25,Sheet1!A:A,Sheet1!B:B)</f>
        <v>Melanie Carter</v>
      </c>
      <c r="C25" s="2" t="str">
        <f>_xlfn.XLOOKUP(A:A,Sheet1!A:A,Sheet1!D:D)</f>
        <v>Female</v>
      </c>
      <c r="D25" s="8">
        <f>_xlfn.XLOOKUP(A:A,Sheet1!A:A,Sheet1!F:F)</f>
        <v>51</v>
      </c>
      <c r="E25" s="2" t="str">
        <f>_xlfn.XLOOKUP(A:A,Sheet1!A:A,Sheet1!G:G)</f>
        <v>South Korea</v>
      </c>
      <c r="F25" s="8" t="str">
        <f>_xlfn.XLOOKUP(A:A,Sheet1!A:A,Sheet1!H:H)</f>
        <v>Korean</v>
      </c>
      <c r="G25" s="8" t="str">
        <f>_xlfn.XLOOKUP(A:A,Sheet1!A:A,Sheet1!I:I)</f>
        <v>Machine Learning</v>
      </c>
      <c r="H25" s="8">
        <f>_xlfn.XLOOKUP(A:A,Sheet1!A:A,Sheet1!K:K)</f>
        <v>15</v>
      </c>
      <c r="I25" s="9">
        <f>_xlfn.XLOOKUP(A:A,Sheet1!A:A,Sheet1!M:M)</f>
        <v>50</v>
      </c>
      <c r="J25" s="10">
        <f>_xlfn.XLOOKUP(A:A,Sheet1!A:A,Sheet1!O:O)</f>
        <v>1.3</v>
      </c>
      <c r="K25" t="str">
        <f>_xlfn.XLOOKUP(A:A,Sheet1!A:A,Sheet1!P:P)</f>
        <v>Yes</v>
      </c>
      <c r="L25" s="12">
        <f>_xlfn.XLOOKUP(A:A,Sheet1!A:A,Sheet1!S:S)</f>
        <v>1</v>
      </c>
    </row>
    <row r="26" spans="1:12" x14ac:dyDescent="0.35">
      <c r="A26" s="8" t="s">
        <v>91</v>
      </c>
      <c r="B26" s="2" t="str">
        <f>_xlfn.XLOOKUP(A26,Sheet1!A:A,Sheet1!B:B)</f>
        <v>Jennifer Martin</v>
      </c>
      <c r="C26" s="2" t="str">
        <f>_xlfn.XLOOKUP(A:A,Sheet1!A:A,Sheet1!D:D)</f>
        <v>Female</v>
      </c>
      <c r="D26" s="8">
        <f>_xlfn.XLOOKUP(A:A,Sheet1!A:A,Sheet1!F:F)</f>
        <v>54</v>
      </c>
      <c r="E26" s="2" t="str">
        <f>_xlfn.XLOOKUP(A:A,Sheet1!A:A,Sheet1!G:G)</f>
        <v>Indonesia</v>
      </c>
      <c r="F26" s="8" t="str">
        <f>_xlfn.XLOOKUP(A:A,Sheet1!A:A,Sheet1!H:H)</f>
        <v>Indonesian</v>
      </c>
      <c r="G26" s="8" t="str">
        <f>_xlfn.XLOOKUP(A:A,Sheet1!A:A,Sheet1!I:I)</f>
        <v>Machine Learning</v>
      </c>
      <c r="H26" s="8">
        <f>_xlfn.XLOOKUP(A:A,Sheet1!A:A,Sheet1!K:K)</f>
        <v>13</v>
      </c>
      <c r="I26" s="9">
        <f>_xlfn.XLOOKUP(A:A,Sheet1!A:A,Sheet1!M:M)</f>
        <v>75</v>
      </c>
      <c r="J26" s="10">
        <f>_xlfn.XLOOKUP(A:A,Sheet1!A:A,Sheet1!O:O)</f>
        <v>2.9</v>
      </c>
      <c r="K26" t="str">
        <f>_xlfn.XLOOKUP(A:A,Sheet1!A:A,Sheet1!P:P)</f>
        <v>No</v>
      </c>
      <c r="L26" s="12">
        <f>_xlfn.XLOOKUP(A:A,Sheet1!A:A,Sheet1!S:S)</f>
        <v>0.92</v>
      </c>
    </row>
    <row r="27" spans="1:12" x14ac:dyDescent="0.35">
      <c r="A27" s="8" t="s">
        <v>93</v>
      </c>
      <c r="B27" s="2" t="str">
        <f>_xlfn.XLOOKUP(A27,Sheet1!A:A,Sheet1!B:B)</f>
        <v>Anna Mccann</v>
      </c>
      <c r="C27" s="2" t="str">
        <f>_xlfn.XLOOKUP(A:A,Sheet1!A:A,Sheet1!D:D)</f>
        <v>Female</v>
      </c>
      <c r="D27" s="8">
        <f>_xlfn.XLOOKUP(A:A,Sheet1!A:A,Sheet1!F:F)</f>
        <v>22</v>
      </c>
      <c r="E27" s="2" t="str">
        <f>_xlfn.XLOOKUP(A:A,Sheet1!A:A,Sheet1!G:G)</f>
        <v>South Korea</v>
      </c>
      <c r="F27" s="8" t="str">
        <f>_xlfn.XLOOKUP(A:A,Sheet1!A:A,Sheet1!H:H)</f>
        <v>Korean</v>
      </c>
      <c r="G27" s="8" t="str">
        <f>_xlfn.XLOOKUP(A:A,Sheet1!A:A,Sheet1!I:I)</f>
        <v>DevOps</v>
      </c>
      <c r="H27" s="8">
        <f>_xlfn.XLOOKUP(A:A,Sheet1!A:A,Sheet1!K:K)</f>
        <v>0</v>
      </c>
      <c r="I27" s="9">
        <f>_xlfn.XLOOKUP(A:A,Sheet1!A:A,Sheet1!M:M)</f>
        <v>30</v>
      </c>
      <c r="J27" s="10">
        <f>_xlfn.XLOOKUP(A:A,Sheet1!A:A,Sheet1!O:O)</f>
        <v>1.2</v>
      </c>
      <c r="K27" t="str">
        <f>_xlfn.XLOOKUP(A:A,Sheet1!A:A,Sheet1!P:P)</f>
        <v>Yes</v>
      </c>
      <c r="L27" s="12">
        <f>_xlfn.XLOOKUP(A:A,Sheet1!A:A,Sheet1!S:S)</f>
        <v>0.7</v>
      </c>
    </row>
    <row r="28" spans="1:12" x14ac:dyDescent="0.35">
      <c r="A28" s="8" t="s">
        <v>95</v>
      </c>
      <c r="B28" s="2" t="str">
        <f>_xlfn.XLOOKUP(A28,Sheet1!A:A,Sheet1!B:B)</f>
        <v>Marissa Bass</v>
      </c>
      <c r="C28" s="2" t="str">
        <f>_xlfn.XLOOKUP(A:A,Sheet1!A:A,Sheet1!D:D)</f>
        <v>Female</v>
      </c>
      <c r="D28" s="8">
        <f>_xlfn.XLOOKUP(A:A,Sheet1!A:A,Sheet1!F:F)</f>
        <v>34</v>
      </c>
      <c r="E28" s="2" t="str">
        <f>_xlfn.XLOOKUP(A:A,Sheet1!A:A,Sheet1!G:G)</f>
        <v>Japan</v>
      </c>
      <c r="F28" s="8" t="str">
        <f>_xlfn.XLOOKUP(A:A,Sheet1!A:A,Sheet1!H:H)</f>
        <v>Japanese</v>
      </c>
      <c r="G28" s="8" t="str">
        <f>_xlfn.XLOOKUP(A:A,Sheet1!A:A,Sheet1!I:I)</f>
        <v>Blockchain Development</v>
      </c>
      <c r="H28" s="8">
        <f>_xlfn.XLOOKUP(A:A,Sheet1!A:A,Sheet1!K:K)</f>
        <v>8</v>
      </c>
      <c r="I28" s="9">
        <f>_xlfn.XLOOKUP(A:A,Sheet1!A:A,Sheet1!M:M)</f>
        <v>20</v>
      </c>
      <c r="J28" s="11">
        <v>0</v>
      </c>
      <c r="K28" t="str">
        <f>_xlfn.XLOOKUP(A:A,Sheet1!A:A,Sheet1!P:P)</f>
        <v>Yes</v>
      </c>
      <c r="L28" s="12">
        <f>_xlfn.XLOOKUP(A:A,Sheet1!A:A,Sheet1!S:S)</f>
        <v>0.89</v>
      </c>
    </row>
    <row r="29" spans="1:12" x14ac:dyDescent="0.35">
      <c r="A29" s="8" t="s">
        <v>97</v>
      </c>
      <c r="B29" s="2" t="str">
        <f>_xlfn.XLOOKUP(A29,Sheet1!A:A,Sheet1!B:B)</f>
        <v>Alexis Day</v>
      </c>
      <c r="C29" s="2" t="str">
        <f>_xlfn.XLOOKUP(A:A,Sheet1!A:A,Sheet1!D:D)</f>
        <v>Female</v>
      </c>
      <c r="D29" s="8">
        <f>_xlfn.XLOOKUP(A:A,Sheet1!A:A,Sheet1!F:F)</f>
        <v>36</v>
      </c>
      <c r="E29" s="2" t="str">
        <f>_xlfn.XLOOKUP(A:A,Sheet1!A:A,Sheet1!G:G)</f>
        <v>Russia</v>
      </c>
      <c r="F29" s="8" t="str">
        <f>_xlfn.XLOOKUP(A:A,Sheet1!A:A,Sheet1!H:H)</f>
        <v>Russian</v>
      </c>
      <c r="G29" s="8" t="str">
        <f>_xlfn.XLOOKUP(A:A,Sheet1!A:A,Sheet1!I:I)</f>
        <v>Graphic Design</v>
      </c>
      <c r="H29" s="8">
        <f>_xlfn.XLOOKUP(A:A,Sheet1!A:A,Sheet1!K:K)</f>
        <v>11</v>
      </c>
      <c r="I29" s="9">
        <f>_xlfn.XLOOKUP(A:A,Sheet1!A:A,Sheet1!M:M)</f>
        <v>40</v>
      </c>
      <c r="J29" s="10">
        <f>_xlfn.XLOOKUP(A:A,Sheet1!A:A,Sheet1!O:O)</f>
        <v>1.8</v>
      </c>
      <c r="K29" t="str">
        <f>_xlfn.XLOOKUP(A:A,Sheet1!A:A,Sheet1!P:P)</f>
        <v>Yes</v>
      </c>
      <c r="L29" s="12">
        <f>_xlfn.XLOOKUP(A:A,Sheet1!A:A,Sheet1!S:S)</f>
        <v>0.86</v>
      </c>
    </row>
    <row r="30" spans="1:12" x14ac:dyDescent="0.35">
      <c r="A30" s="8" t="s">
        <v>101</v>
      </c>
      <c r="B30" s="2" t="str">
        <f>_xlfn.XLOOKUP(A30,Sheet1!A:A,Sheet1!B:B)</f>
        <v>Megan Jones</v>
      </c>
      <c r="C30" s="2" t="str">
        <f>_xlfn.XLOOKUP(A:A,Sheet1!A:A,Sheet1!D:D)</f>
        <v>Female</v>
      </c>
      <c r="D30" s="8">
        <f>_xlfn.XLOOKUP(A:A,Sheet1!A:A,Sheet1!F:F)</f>
        <v>47</v>
      </c>
      <c r="E30" s="2" t="str">
        <f>_xlfn.XLOOKUP(A:A,Sheet1!A:A,Sheet1!G:G)</f>
        <v>Canada</v>
      </c>
      <c r="F30" s="8" t="str">
        <f>_xlfn.XLOOKUP(A:A,Sheet1!A:A,Sheet1!H:H)</f>
        <v>English</v>
      </c>
      <c r="G30" s="8" t="str">
        <f>_xlfn.XLOOKUP(A:A,Sheet1!A:A,Sheet1!I:I)</f>
        <v>AI</v>
      </c>
      <c r="H30" s="8">
        <f>_xlfn.XLOOKUP(A:A,Sheet1!A:A,Sheet1!K:K)</f>
        <v>22</v>
      </c>
      <c r="I30" s="9">
        <f>_xlfn.XLOOKUP(A:A,Sheet1!A:A,Sheet1!M:M)</f>
        <v>30</v>
      </c>
      <c r="J30" s="10">
        <f>_xlfn.XLOOKUP(A:A,Sheet1!A:A,Sheet1!O:O)</f>
        <v>1.3</v>
      </c>
      <c r="K30" t="str">
        <f>_xlfn.XLOOKUP(A:A,Sheet1!A:A,Sheet1!P:P)</f>
        <v>No</v>
      </c>
      <c r="L30" s="12">
        <f>_xlfn.XLOOKUP(A:A,Sheet1!A:A,Sheet1!S:S)</f>
        <v>0.62</v>
      </c>
    </row>
    <row r="31" spans="1:12" x14ac:dyDescent="0.35">
      <c r="A31" s="8" t="s">
        <v>104</v>
      </c>
      <c r="B31" s="2" t="str">
        <f>_xlfn.XLOOKUP(A31,Sheet1!A:A,Sheet1!B:B)</f>
        <v>Lori Smith</v>
      </c>
      <c r="C31" s="2" t="str">
        <f>_xlfn.XLOOKUP(A:A,Sheet1!A:A,Sheet1!D:D)</f>
        <v>Female</v>
      </c>
      <c r="D31" s="8">
        <f>_xlfn.XLOOKUP(A:A,Sheet1!A:A,Sheet1!F:F)</f>
        <v>41</v>
      </c>
      <c r="E31" s="2" t="str">
        <f>_xlfn.XLOOKUP(A:A,Sheet1!A:A,Sheet1!G:G)</f>
        <v>Netherlands</v>
      </c>
      <c r="F31" s="8" t="str">
        <f>_xlfn.XLOOKUP(A:A,Sheet1!A:A,Sheet1!H:H)</f>
        <v>Dutch</v>
      </c>
      <c r="G31" s="8" t="str">
        <f>_xlfn.XLOOKUP(A:A,Sheet1!A:A,Sheet1!I:I)</f>
        <v>Data Analysis</v>
      </c>
      <c r="H31" s="8">
        <f>_xlfn.XLOOKUP(A:A,Sheet1!A:A,Sheet1!K:K)</f>
        <v>14</v>
      </c>
      <c r="I31" s="9">
        <f>_xlfn.XLOOKUP(A:A,Sheet1!A:A,Sheet1!M:M)</f>
        <v>75</v>
      </c>
      <c r="J31" s="10">
        <f>_xlfn.XLOOKUP(A:A,Sheet1!A:A,Sheet1!O:O)</f>
        <v>1.2</v>
      </c>
      <c r="K31" t="str">
        <f>_xlfn.XLOOKUP(A:A,Sheet1!A:A,Sheet1!P:P)</f>
        <v>No</v>
      </c>
      <c r="L31" s="12">
        <f>_xlfn.XLOOKUP(A:A,Sheet1!A:A,Sheet1!S:S)</f>
        <v>0.79269417475728277</v>
      </c>
    </row>
    <row r="32" spans="1:12" x14ac:dyDescent="0.35">
      <c r="A32" s="8" t="s">
        <v>106</v>
      </c>
      <c r="B32" s="2" t="str">
        <f>_xlfn.XLOOKUP(A32,Sheet1!A:A,Sheet1!B:B)</f>
        <v>Eric Carpenter</v>
      </c>
      <c r="C32" s="2" t="str">
        <f>_xlfn.XLOOKUP(A:A,Sheet1!A:A,Sheet1!D:D)</f>
        <v>Male</v>
      </c>
      <c r="D32" s="8">
        <f>_xlfn.XLOOKUP(A:A,Sheet1!A:A,Sheet1!F:F)</f>
        <v>22</v>
      </c>
      <c r="E32" s="2" t="str">
        <f>_xlfn.XLOOKUP(A:A,Sheet1!A:A,Sheet1!G:G)</f>
        <v>Netherlands</v>
      </c>
      <c r="F32" s="8" t="str">
        <f>_xlfn.XLOOKUP(A:A,Sheet1!A:A,Sheet1!H:H)</f>
        <v>Dutch</v>
      </c>
      <c r="G32" s="8" t="str">
        <f>_xlfn.XLOOKUP(A:A,Sheet1!A:A,Sheet1!I:I)</f>
        <v>DevOps</v>
      </c>
      <c r="H32" s="8">
        <f>_xlfn.XLOOKUP(A:A,Sheet1!A:A,Sheet1!K:K)</f>
        <v>4</v>
      </c>
      <c r="I32" s="9">
        <f>_xlfn.XLOOKUP(A:A,Sheet1!A:A,Sheet1!M:M)</f>
        <v>40</v>
      </c>
      <c r="J32" s="10">
        <f>_xlfn.XLOOKUP(A:A,Sheet1!A:A,Sheet1!O:O)</f>
        <v>1</v>
      </c>
      <c r="K32" t="str">
        <f>_xlfn.XLOOKUP(A:A,Sheet1!A:A,Sheet1!P:P)</f>
        <v>Yes</v>
      </c>
      <c r="L32" s="12">
        <f>_xlfn.XLOOKUP(A:A,Sheet1!A:A,Sheet1!S:S)</f>
        <v>0.79269417475728277</v>
      </c>
    </row>
    <row r="33" spans="1:12" x14ac:dyDescent="0.35">
      <c r="A33" s="8" t="s">
        <v>108</v>
      </c>
      <c r="B33" s="2" t="str">
        <f>_xlfn.XLOOKUP(A33,Sheet1!A:A,Sheet1!B:B)</f>
        <v>Timothy Daniels</v>
      </c>
      <c r="C33" s="2" t="str">
        <f>_xlfn.XLOOKUP(A:A,Sheet1!A:A,Sheet1!D:D)</f>
        <v>Male</v>
      </c>
      <c r="D33" s="8">
        <f>_xlfn.XLOOKUP(A:A,Sheet1!A:A,Sheet1!F:F)</f>
        <v>38</v>
      </c>
      <c r="E33" s="2" t="str">
        <f>_xlfn.XLOOKUP(A:A,Sheet1!A:A,Sheet1!G:G)</f>
        <v>France</v>
      </c>
      <c r="F33" s="8" t="str">
        <f>_xlfn.XLOOKUP(A:A,Sheet1!A:A,Sheet1!H:H)</f>
        <v>French</v>
      </c>
      <c r="G33" s="8" t="str">
        <f>_xlfn.XLOOKUP(A:A,Sheet1!A:A,Sheet1!I:I)</f>
        <v>Machine Learning</v>
      </c>
      <c r="H33" s="8">
        <f>_xlfn.XLOOKUP(A:A,Sheet1!A:A,Sheet1!K:K)</f>
        <v>19</v>
      </c>
      <c r="I33" s="9">
        <f>_xlfn.XLOOKUP(A:A,Sheet1!A:A,Sheet1!M:M)</f>
        <v>100</v>
      </c>
      <c r="J33" s="10">
        <f>_xlfn.XLOOKUP(A:A,Sheet1!A:A,Sheet1!O:O)</f>
        <v>4.2</v>
      </c>
      <c r="K33" t="str">
        <f>_xlfn.XLOOKUP(A:A,Sheet1!A:A,Sheet1!P:P)</f>
        <v>No</v>
      </c>
      <c r="L33" s="12">
        <f>_xlfn.XLOOKUP(A:A,Sheet1!A:A,Sheet1!S:S)</f>
        <v>0.68</v>
      </c>
    </row>
    <row r="34" spans="1:12" x14ac:dyDescent="0.35">
      <c r="A34" s="8" t="s">
        <v>112</v>
      </c>
      <c r="B34" s="2" t="str">
        <f>_xlfn.XLOOKUP(A34,Sheet1!A:A,Sheet1!B:B)</f>
        <v>Robert Nelson</v>
      </c>
      <c r="C34" s="2" t="str">
        <f>_xlfn.XLOOKUP(A:A,Sheet1!A:A,Sheet1!D:D)</f>
        <v>Male</v>
      </c>
      <c r="D34" s="8">
        <f>_xlfn.XLOOKUP(A:A,Sheet1!A:A,Sheet1!F:F)</f>
        <v>46</v>
      </c>
      <c r="E34" s="2" t="str">
        <f>_xlfn.XLOOKUP(A:A,Sheet1!A:A,Sheet1!G:G)</f>
        <v>Egypt</v>
      </c>
      <c r="F34" s="8" t="str">
        <f>_xlfn.XLOOKUP(A:A,Sheet1!A:A,Sheet1!H:H)</f>
        <v>Arabic</v>
      </c>
      <c r="G34" s="8" t="str">
        <f>_xlfn.XLOOKUP(A:A,Sheet1!A:A,Sheet1!I:I)</f>
        <v>AI</v>
      </c>
      <c r="H34" s="8">
        <f>_xlfn.XLOOKUP(A:A,Sheet1!A:A,Sheet1!K:K)</f>
        <v>9</v>
      </c>
      <c r="I34" s="9">
        <f>_xlfn.XLOOKUP(A:A,Sheet1!A:A,Sheet1!M:M)</f>
        <v>20</v>
      </c>
      <c r="J34" s="10">
        <f>_xlfn.XLOOKUP(A:A,Sheet1!A:A,Sheet1!O:O)</f>
        <v>1.4</v>
      </c>
      <c r="K34" t="str">
        <f>_xlfn.XLOOKUP(A:A,Sheet1!A:A,Sheet1!P:P)</f>
        <v>Yes</v>
      </c>
      <c r="L34" s="12">
        <f>_xlfn.XLOOKUP(A:A,Sheet1!A:A,Sheet1!S:S)</f>
        <v>0.76</v>
      </c>
    </row>
    <row r="35" spans="1:12" x14ac:dyDescent="0.35">
      <c r="A35" s="8" t="s">
        <v>116</v>
      </c>
      <c r="B35" s="2" t="str">
        <f>_xlfn.XLOOKUP(A35,Sheet1!A:A,Sheet1!B:B)</f>
        <v>Michael Anderson</v>
      </c>
      <c r="C35" s="2" t="str">
        <f>_xlfn.XLOOKUP(A:A,Sheet1!A:A,Sheet1!D:D)</f>
        <v>Male</v>
      </c>
      <c r="D35" s="8">
        <f>_xlfn.XLOOKUP(A:A,Sheet1!A:A,Sheet1!F:F)</f>
        <v>41</v>
      </c>
      <c r="E35" s="2" t="str">
        <f>_xlfn.XLOOKUP(A:A,Sheet1!A:A,Sheet1!G:G)</f>
        <v>South Korea</v>
      </c>
      <c r="F35" s="8" t="str">
        <f>_xlfn.XLOOKUP(A:A,Sheet1!A:A,Sheet1!H:H)</f>
        <v>Korean</v>
      </c>
      <c r="G35" s="8" t="str">
        <f>_xlfn.XLOOKUP(A:A,Sheet1!A:A,Sheet1!I:I)</f>
        <v>AI</v>
      </c>
      <c r="H35" s="8">
        <f>_xlfn.XLOOKUP(A:A,Sheet1!A:A,Sheet1!K:K)</f>
        <v>9</v>
      </c>
      <c r="I35" s="9">
        <f>_xlfn.XLOOKUP(A:A,Sheet1!A:A,Sheet1!M:M)</f>
        <v>40</v>
      </c>
      <c r="J35" s="10">
        <f>_xlfn.XLOOKUP(A:A,Sheet1!A:A,Sheet1!O:O)</f>
        <v>2.4</v>
      </c>
      <c r="K35" t="str">
        <f>_xlfn.XLOOKUP(A:A,Sheet1!A:A,Sheet1!P:P)</f>
        <v>Yes</v>
      </c>
      <c r="L35" s="12">
        <f>_xlfn.XLOOKUP(A:A,Sheet1!A:A,Sheet1!S:S)</f>
        <v>0.82</v>
      </c>
    </row>
    <row r="36" spans="1:12" x14ac:dyDescent="0.35">
      <c r="A36" s="8" t="s">
        <v>118</v>
      </c>
      <c r="B36" s="2" t="str">
        <f>_xlfn.XLOOKUP(A36,Sheet1!A:A,Sheet1!B:B)</f>
        <v>Jessica Snyder</v>
      </c>
      <c r="C36" s="2" t="str">
        <f>_xlfn.XLOOKUP(A:A,Sheet1!A:A,Sheet1!D:D)</f>
        <v>Female</v>
      </c>
      <c r="D36" s="8">
        <f>_xlfn.XLOOKUP(A:A,Sheet1!A:A,Sheet1!F:F)</f>
        <v>54</v>
      </c>
      <c r="E36" s="2" t="str">
        <f>_xlfn.XLOOKUP(A:A,Sheet1!A:A,Sheet1!G:G)</f>
        <v>United States</v>
      </c>
      <c r="F36" s="8" t="str">
        <f>_xlfn.XLOOKUP(A:A,Sheet1!A:A,Sheet1!H:H)</f>
        <v>English</v>
      </c>
      <c r="G36" s="8" t="str">
        <f>_xlfn.XLOOKUP(A:A,Sheet1!A:A,Sheet1!I:I)</f>
        <v>Web Development</v>
      </c>
      <c r="H36" s="8">
        <f>_xlfn.XLOOKUP(A:A,Sheet1!A:A,Sheet1!K:K)</f>
        <v>32</v>
      </c>
      <c r="I36" s="9">
        <f>_xlfn.XLOOKUP(A:A,Sheet1!A:A,Sheet1!M:M)</f>
        <v>75</v>
      </c>
      <c r="J36" s="10">
        <f>_xlfn.XLOOKUP(A:A,Sheet1!A:A,Sheet1!O:O)</f>
        <v>1</v>
      </c>
      <c r="K36" t="str">
        <f>_xlfn.XLOOKUP(A:A,Sheet1!A:A,Sheet1!P:P)</f>
        <v>Yes</v>
      </c>
      <c r="L36" s="12">
        <f>_xlfn.XLOOKUP(A:A,Sheet1!A:A,Sheet1!S:S)</f>
        <v>0.81</v>
      </c>
    </row>
    <row r="37" spans="1:12" x14ac:dyDescent="0.35">
      <c r="A37" s="8" t="s">
        <v>120</v>
      </c>
      <c r="B37" s="2" t="str">
        <f>_xlfn.XLOOKUP(A37,Sheet1!A:A,Sheet1!B:B)</f>
        <v>Emily Daniels</v>
      </c>
      <c r="C37" s="2" t="str">
        <f>_xlfn.XLOOKUP(A:A,Sheet1!A:A,Sheet1!D:D)</f>
        <v>Female</v>
      </c>
      <c r="D37" s="8">
        <f>_xlfn.XLOOKUP(A:A,Sheet1!A:A,Sheet1!F:F)</f>
        <v>52</v>
      </c>
      <c r="E37" s="2" t="str">
        <f>_xlfn.XLOOKUP(A:A,Sheet1!A:A,Sheet1!G:G)</f>
        <v>South Korea</v>
      </c>
      <c r="F37" s="8" t="str">
        <f>_xlfn.XLOOKUP(A:A,Sheet1!A:A,Sheet1!H:H)</f>
        <v>Korean</v>
      </c>
      <c r="G37" s="8" t="str">
        <f>_xlfn.XLOOKUP(A:A,Sheet1!A:A,Sheet1!I:I)</f>
        <v>Web Development</v>
      </c>
      <c r="H37" s="8">
        <f>_xlfn.XLOOKUP(A:A,Sheet1!A:A,Sheet1!K:K)</f>
        <v>28</v>
      </c>
      <c r="I37" s="9">
        <f>_xlfn.XLOOKUP(A:A,Sheet1!A:A,Sheet1!M:M)</f>
        <v>20</v>
      </c>
      <c r="J37" s="10">
        <f>_xlfn.XLOOKUP(A:A,Sheet1!A:A,Sheet1!O:O)</f>
        <v>2.5125695216907653</v>
      </c>
      <c r="K37" t="str">
        <f>_xlfn.XLOOKUP(A:A,Sheet1!A:A,Sheet1!P:P)</f>
        <v>No</v>
      </c>
      <c r="L37" s="12">
        <f>_xlfn.XLOOKUP(A:A,Sheet1!A:A,Sheet1!S:S)</f>
        <v>0.79269417475728277</v>
      </c>
    </row>
    <row r="38" spans="1:12" x14ac:dyDescent="0.35">
      <c r="A38" s="8" t="s">
        <v>122</v>
      </c>
      <c r="B38" s="2" t="str">
        <f>_xlfn.XLOOKUP(A38,Sheet1!A:A,Sheet1!B:B)</f>
        <v>Jamie Ramirez</v>
      </c>
      <c r="C38" s="2" t="str">
        <f>_xlfn.XLOOKUP(A:A,Sheet1!A:A,Sheet1!D:D)</f>
        <v>Female</v>
      </c>
      <c r="D38" s="8">
        <f>_xlfn.XLOOKUP(A:A,Sheet1!A:A,Sheet1!F:F)</f>
        <v>42</v>
      </c>
      <c r="E38" s="2" t="str">
        <f>_xlfn.XLOOKUP(A:A,Sheet1!A:A,Sheet1!G:G)</f>
        <v>Japan</v>
      </c>
      <c r="F38" s="8" t="str">
        <f>_xlfn.XLOOKUP(A:A,Sheet1!A:A,Sheet1!H:H)</f>
        <v>Japanese</v>
      </c>
      <c r="G38" s="8" t="str">
        <f>_xlfn.XLOOKUP(A:A,Sheet1!A:A,Sheet1!I:I)</f>
        <v>Mobile Apps</v>
      </c>
      <c r="H38" s="8">
        <f>_xlfn.XLOOKUP(A:A,Sheet1!A:A,Sheet1!K:K)</f>
        <v>6</v>
      </c>
      <c r="I38" s="9">
        <f>_xlfn.XLOOKUP(A:A,Sheet1!A:A,Sheet1!M:M)</f>
        <v>40</v>
      </c>
      <c r="J38" s="10">
        <f>_xlfn.XLOOKUP(A:A,Sheet1!A:A,Sheet1!O:O)</f>
        <v>2.5125695216907653</v>
      </c>
      <c r="K38" t="str">
        <f>_xlfn.XLOOKUP(A:A,Sheet1!A:A,Sheet1!P:P)</f>
        <v>No</v>
      </c>
      <c r="L38" s="12">
        <f>_xlfn.XLOOKUP(A:A,Sheet1!A:A,Sheet1!S:S)</f>
        <v>0.63</v>
      </c>
    </row>
    <row r="39" spans="1:12" x14ac:dyDescent="0.35">
      <c r="A39" s="8" t="s">
        <v>124</v>
      </c>
      <c r="B39" s="2" t="str">
        <f>_xlfn.XLOOKUP(A39,Sheet1!A:A,Sheet1!B:B)</f>
        <v>Amy Harrison</v>
      </c>
      <c r="C39" s="2" t="str">
        <f>_xlfn.XLOOKUP(A:A,Sheet1!A:A,Sheet1!D:D)</f>
        <v>Female</v>
      </c>
      <c r="D39" s="8">
        <f>_xlfn.XLOOKUP(A:A,Sheet1!A:A,Sheet1!F:F)</f>
        <v>29</v>
      </c>
      <c r="E39" s="2" t="str">
        <f>_xlfn.XLOOKUP(A:A,Sheet1!A:A,Sheet1!G:G)</f>
        <v>Netherlands</v>
      </c>
      <c r="F39" s="8" t="str">
        <f>_xlfn.XLOOKUP(A:A,Sheet1!A:A,Sheet1!H:H)</f>
        <v>Dutch</v>
      </c>
      <c r="G39" s="8" t="str">
        <f>_xlfn.XLOOKUP(A:A,Sheet1!A:A,Sheet1!I:I)</f>
        <v>Graphic Design</v>
      </c>
      <c r="H39" s="8">
        <f>_xlfn.XLOOKUP(A:A,Sheet1!A:A,Sheet1!K:K)</f>
        <v>10</v>
      </c>
      <c r="I39" s="9">
        <f>_xlfn.XLOOKUP(A:A,Sheet1!A:A,Sheet1!M:M)</f>
        <v>40</v>
      </c>
      <c r="J39" s="10">
        <f>_xlfn.XLOOKUP(A:A,Sheet1!A:A,Sheet1!O:O)</f>
        <v>2.2000000000000002</v>
      </c>
      <c r="K39" t="str">
        <f>_xlfn.XLOOKUP(A:A,Sheet1!A:A,Sheet1!P:P)</f>
        <v>No</v>
      </c>
      <c r="L39" s="12">
        <f>_xlfn.XLOOKUP(A:A,Sheet1!A:A,Sheet1!S:S)</f>
        <v>0.67</v>
      </c>
    </row>
    <row r="40" spans="1:12" x14ac:dyDescent="0.35">
      <c r="A40" s="8" t="s">
        <v>126</v>
      </c>
      <c r="B40" s="2" t="str">
        <f>_xlfn.XLOOKUP(A40,Sheet1!A:A,Sheet1!B:B)</f>
        <v>Melinda White</v>
      </c>
      <c r="C40" s="2" t="str">
        <f>_xlfn.XLOOKUP(A:A,Sheet1!A:A,Sheet1!D:D)</f>
        <v>Female</v>
      </c>
      <c r="D40" s="8">
        <f>_xlfn.XLOOKUP(A:A,Sheet1!A:A,Sheet1!F:F)</f>
        <v>42</v>
      </c>
      <c r="E40" s="2" t="str">
        <f>_xlfn.XLOOKUP(A:A,Sheet1!A:A,Sheet1!G:G)</f>
        <v>South Africa</v>
      </c>
      <c r="F40" s="8" t="str">
        <f>_xlfn.XLOOKUP(A:A,Sheet1!A:A,Sheet1!H:H)</f>
        <v>Afrikaans</v>
      </c>
      <c r="G40" s="8" t="str">
        <f>_xlfn.XLOOKUP(A:A,Sheet1!A:A,Sheet1!I:I)</f>
        <v>Mobile Apps</v>
      </c>
      <c r="H40" s="8">
        <f>_xlfn.XLOOKUP(A:A,Sheet1!A:A,Sheet1!K:K)</f>
        <v>23</v>
      </c>
      <c r="I40" s="9">
        <f>_xlfn.XLOOKUP(A:A,Sheet1!A:A,Sheet1!M:M)</f>
        <v>50</v>
      </c>
      <c r="J40" s="10">
        <f>_xlfn.XLOOKUP(A:A,Sheet1!A:A,Sheet1!O:O)</f>
        <v>3.2</v>
      </c>
      <c r="K40" t="str">
        <f>_xlfn.XLOOKUP(A:A,Sheet1!A:A,Sheet1!P:P)</f>
        <v>Yes</v>
      </c>
      <c r="L40" s="12">
        <f>_xlfn.XLOOKUP(A:A,Sheet1!A:A,Sheet1!S:S)</f>
        <v>0.79269417475728277</v>
      </c>
    </row>
    <row r="41" spans="1:12" x14ac:dyDescent="0.35">
      <c r="A41" s="8" t="s">
        <v>130</v>
      </c>
      <c r="B41" s="2" t="str">
        <f>_xlfn.XLOOKUP(A41,Sheet1!A:A,Sheet1!B:B)</f>
        <v>James Hernandez</v>
      </c>
      <c r="C41" s="2" t="str">
        <f>_xlfn.XLOOKUP(A:A,Sheet1!A:A,Sheet1!D:D)</f>
        <v>Male</v>
      </c>
      <c r="D41" s="8">
        <f>_xlfn.XLOOKUP(A:A,Sheet1!A:A,Sheet1!F:F)</f>
        <v>60</v>
      </c>
      <c r="E41" s="2" t="str">
        <f>_xlfn.XLOOKUP(A:A,Sheet1!A:A,Sheet1!G:G)</f>
        <v>Japan</v>
      </c>
      <c r="F41" s="8" t="str">
        <f>_xlfn.XLOOKUP(A:A,Sheet1!A:A,Sheet1!H:H)</f>
        <v>Japanese</v>
      </c>
      <c r="G41" s="8" t="str">
        <f>_xlfn.XLOOKUP(A:A,Sheet1!A:A,Sheet1!I:I)</f>
        <v>Web Development</v>
      </c>
      <c r="H41" s="8">
        <f>_xlfn.XLOOKUP(A:A,Sheet1!A:A,Sheet1!K:K)</f>
        <v>13</v>
      </c>
      <c r="I41" s="9">
        <f>_xlfn.XLOOKUP(A:A,Sheet1!A:A,Sheet1!M:M)</f>
        <v>20</v>
      </c>
      <c r="J41" s="10">
        <f>_xlfn.XLOOKUP(A:A,Sheet1!A:A,Sheet1!O:O)</f>
        <v>3.6</v>
      </c>
      <c r="K41" t="str">
        <f>_xlfn.XLOOKUP(A:A,Sheet1!A:A,Sheet1!P:P)</f>
        <v>No</v>
      </c>
      <c r="L41" s="12">
        <f>_xlfn.XLOOKUP(A:A,Sheet1!A:A,Sheet1!S:S)</f>
        <v>0.8</v>
      </c>
    </row>
    <row r="42" spans="1:12" x14ac:dyDescent="0.35">
      <c r="A42" s="8" t="s">
        <v>132</v>
      </c>
      <c r="B42" s="2" t="str">
        <f>_xlfn.XLOOKUP(A42,Sheet1!A:A,Sheet1!B:B)</f>
        <v>Angelica Rogers</v>
      </c>
      <c r="C42" s="2" t="str">
        <f>_xlfn.XLOOKUP(A:A,Sheet1!A:A,Sheet1!D:D)</f>
        <v>Female</v>
      </c>
      <c r="D42" s="8">
        <f>_xlfn.XLOOKUP(A:A,Sheet1!A:A,Sheet1!F:F)</f>
        <v>59</v>
      </c>
      <c r="E42" s="2" t="str">
        <f>_xlfn.XLOOKUP(A:A,Sheet1!A:A,Sheet1!G:G)</f>
        <v>United Kingdom</v>
      </c>
      <c r="F42" s="8" t="str">
        <f>_xlfn.XLOOKUP(A:A,Sheet1!A:A,Sheet1!H:H)</f>
        <v>English</v>
      </c>
      <c r="G42" s="8" t="str">
        <f>_xlfn.XLOOKUP(A:A,Sheet1!A:A,Sheet1!I:I)</f>
        <v>AI</v>
      </c>
      <c r="H42" s="8">
        <f>_xlfn.XLOOKUP(A:A,Sheet1!A:A,Sheet1!K:K)</f>
        <v>3</v>
      </c>
      <c r="I42" s="9">
        <f>_xlfn.XLOOKUP(A:A,Sheet1!A:A,Sheet1!M:M)</f>
        <v>50</v>
      </c>
      <c r="J42" s="11">
        <v>0</v>
      </c>
      <c r="K42" t="str">
        <f>_xlfn.XLOOKUP(A:A,Sheet1!A:A,Sheet1!P:P)</f>
        <v>No</v>
      </c>
      <c r="L42" s="12">
        <f>_xlfn.XLOOKUP(A:A,Sheet1!A:A,Sheet1!S:S)</f>
        <v>0.79269417475728277</v>
      </c>
    </row>
    <row r="43" spans="1:12" x14ac:dyDescent="0.35">
      <c r="A43" s="8" t="s">
        <v>134</v>
      </c>
      <c r="B43" s="2" t="str">
        <f>_xlfn.XLOOKUP(A43,Sheet1!A:A,Sheet1!B:B)</f>
        <v>Savannah Williams</v>
      </c>
      <c r="C43" s="2" t="str">
        <f>_xlfn.XLOOKUP(A:A,Sheet1!A:A,Sheet1!D:D)</f>
        <v>Female</v>
      </c>
      <c r="D43" s="8">
        <f>_xlfn.XLOOKUP(A:A,Sheet1!A:A,Sheet1!F:F)</f>
        <v>21</v>
      </c>
      <c r="E43" s="2" t="str">
        <f>_xlfn.XLOOKUP(A:A,Sheet1!A:A,Sheet1!G:G)</f>
        <v>Canada</v>
      </c>
      <c r="F43" s="8" t="str">
        <f>_xlfn.XLOOKUP(A:A,Sheet1!A:A,Sheet1!H:H)</f>
        <v>English</v>
      </c>
      <c r="G43" s="8" t="str">
        <f>_xlfn.XLOOKUP(A:A,Sheet1!A:A,Sheet1!I:I)</f>
        <v>Web Development</v>
      </c>
      <c r="H43" s="8">
        <f>_xlfn.XLOOKUP(A:A,Sheet1!A:A,Sheet1!K:K)</f>
        <v>0</v>
      </c>
      <c r="I43" s="9">
        <f>_xlfn.XLOOKUP(A:A,Sheet1!A:A,Sheet1!M:M)</f>
        <v>30</v>
      </c>
      <c r="J43" s="10">
        <f>_xlfn.XLOOKUP(A:A,Sheet1!A:A,Sheet1!O:O)</f>
        <v>2.7</v>
      </c>
      <c r="K43" t="str">
        <f>_xlfn.XLOOKUP(A:A,Sheet1!A:A,Sheet1!P:P)</f>
        <v>Yes</v>
      </c>
      <c r="L43" s="12">
        <f>_xlfn.XLOOKUP(A:A,Sheet1!A:A,Sheet1!S:S)</f>
        <v>0.84</v>
      </c>
    </row>
    <row r="44" spans="1:12" x14ac:dyDescent="0.35">
      <c r="A44" s="8" t="s">
        <v>136</v>
      </c>
      <c r="B44" s="2" t="str">
        <f>_xlfn.XLOOKUP(A44,Sheet1!A:A,Sheet1!B:B)</f>
        <v>Kaitlyn Schmidt</v>
      </c>
      <c r="C44" s="2" t="str">
        <f>_xlfn.XLOOKUP(A:A,Sheet1!A:A,Sheet1!D:D)</f>
        <v>Female</v>
      </c>
      <c r="D44" s="8">
        <f>_xlfn.XLOOKUP(A:A,Sheet1!A:A,Sheet1!F:F)</f>
        <v>35</v>
      </c>
      <c r="E44" s="2" t="str">
        <f>_xlfn.XLOOKUP(A:A,Sheet1!A:A,Sheet1!G:G)</f>
        <v>Germany</v>
      </c>
      <c r="F44" s="8" t="str">
        <f>_xlfn.XLOOKUP(A:A,Sheet1!A:A,Sheet1!H:H)</f>
        <v>German</v>
      </c>
      <c r="G44" s="8" t="str">
        <f>_xlfn.XLOOKUP(A:A,Sheet1!A:A,Sheet1!I:I)</f>
        <v>DevOps</v>
      </c>
      <c r="H44" s="8">
        <f>_xlfn.XLOOKUP(A:A,Sheet1!A:A,Sheet1!K:K)</f>
        <v>10</v>
      </c>
      <c r="I44" s="9">
        <f>_xlfn.XLOOKUP(A:A,Sheet1!A:A,Sheet1!M:M)</f>
        <v>50</v>
      </c>
      <c r="J44" s="11">
        <v>0</v>
      </c>
      <c r="K44" t="str">
        <f>_xlfn.XLOOKUP(A:A,Sheet1!A:A,Sheet1!P:P)</f>
        <v>No</v>
      </c>
      <c r="L44" s="12">
        <f>_xlfn.XLOOKUP(A:A,Sheet1!A:A,Sheet1!S:S)</f>
        <v>0.79269417475728277</v>
      </c>
    </row>
    <row r="45" spans="1:12" x14ac:dyDescent="0.35">
      <c r="A45" s="8" t="s">
        <v>138</v>
      </c>
      <c r="B45" s="2" t="str">
        <f>_xlfn.XLOOKUP(A45,Sheet1!A:A,Sheet1!B:B)</f>
        <v>Jason Singh</v>
      </c>
      <c r="C45" s="2" t="str">
        <f>_xlfn.XLOOKUP(A:A,Sheet1!A:A,Sheet1!D:D)</f>
        <v>Male</v>
      </c>
      <c r="D45" s="8">
        <f>_xlfn.XLOOKUP(A:A,Sheet1!A:A,Sheet1!F:F)</f>
        <v>41</v>
      </c>
      <c r="E45" s="2" t="str">
        <f>_xlfn.XLOOKUP(A:A,Sheet1!A:A,Sheet1!G:G)</f>
        <v>United Kingdom</v>
      </c>
      <c r="F45" s="8" t="str">
        <f>_xlfn.XLOOKUP(A:A,Sheet1!A:A,Sheet1!H:H)</f>
        <v>English</v>
      </c>
      <c r="G45" s="8" t="str">
        <f>_xlfn.XLOOKUP(A:A,Sheet1!A:A,Sheet1!I:I)</f>
        <v>Data Analysis</v>
      </c>
      <c r="H45" s="8">
        <f>_xlfn.XLOOKUP(A:A,Sheet1!A:A,Sheet1!K:K)</f>
        <v>9</v>
      </c>
      <c r="I45" s="9">
        <f>_xlfn.XLOOKUP(A:A,Sheet1!A:A,Sheet1!M:M)</f>
        <v>20</v>
      </c>
      <c r="J45" s="10">
        <f>_xlfn.XLOOKUP(A:A,Sheet1!A:A,Sheet1!O:O)</f>
        <v>2.8</v>
      </c>
      <c r="K45" t="str">
        <f>_xlfn.XLOOKUP(A:A,Sheet1!A:A,Sheet1!P:P)</f>
        <v>Yes</v>
      </c>
      <c r="L45" s="12">
        <f>_xlfn.XLOOKUP(A:A,Sheet1!A:A,Sheet1!S:S)</f>
        <v>0.63</v>
      </c>
    </row>
    <row r="46" spans="1:12" x14ac:dyDescent="0.35">
      <c r="A46" s="8" t="s">
        <v>140</v>
      </c>
      <c r="B46" s="2" t="str">
        <f>_xlfn.XLOOKUP(A46,Sheet1!A:A,Sheet1!B:B)</f>
        <v>Michelle Ramirez</v>
      </c>
      <c r="C46" s="2" t="str">
        <f>_xlfn.XLOOKUP(A:A,Sheet1!A:A,Sheet1!D:D)</f>
        <v>Female</v>
      </c>
      <c r="D46" s="8">
        <f>_xlfn.XLOOKUP(A:A,Sheet1!A:A,Sheet1!F:F)</f>
        <v>51</v>
      </c>
      <c r="E46" s="2" t="str">
        <f>_xlfn.XLOOKUP(A:A,Sheet1!A:A,Sheet1!G:G)</f>
        <v>Netherlands</v>
      </c>
      <c r="F46" s="8" t="str">
        <f>_xlfn.XLOOKUP(A:A,Sheet1!A:A,Sheet1!H:H)</f>
        <v>Dutch</v>
      </c>
      <c r="G46" s="8" t="str">
        <f>_xlfn.XLOOKUP(A:A,Sheet1!A:A,Sheet1!I:I)</f>
        <v>Machine Learning</v>
      </c>
      <c r="H46" s="8">
        <f>_xlfn.XLOOKUP(A:A,Sheet1!A:A,Sheet1!K:K)</f>
        <v>23</v>
      </c>
      <c r="I46" s="9">
        <f>_xlfn.XLOOKUP(A:A,Sheet1!A:A,Sheet1!M:M)</f>
        <v>20</v>
      </c>
      <c r="J46" s="10">
        <f>_xlfn.XLOOKUP(A:A,Sheet1!A:A,Sheet1!O:O)</f>
        <v>2.5</v>
      </c>
      <c r="K46" t="str">
        <f>_xlfn.XLOOKUP(A:A,Sheet1!A:A,Sheet1!P:P)</f>
        <v>No</v>
      </c>
      <c r="L46" s="12">
        <f>_xlfn.XLOOKUP(A:A,Sheet1!A:A,Sheet1!S:S)</f>
        <v>0.8</v>
      </c>
    </row>
    <row r="47" spans="1:12" x14ac:dyDescent="0.35">
      <c r="A47" s="8" t="s">
        <v>142</v>
      </c>
      <c r="B47" s="2" t="str">
        <f>_xlfn.XLOOKUP(A47,Sheet1!A:A,Sheet1!B:B)</f>
        <v>James Brown</v>
      </c>
      <c r="C47" s="2" t="str">
        <f>_xlfn.XLOOKUP(A:A,Sheet1!A:A,Sheet1!D:D)</f>
        <v>Male</v>
      </c>
      <c r="D47" s="8">
        <f>_xlfn.XLOOKUP(A:A,Sheet1!A:A,Sheet1!F:F)</f>
        <v>41</v>
      </c>
      <c r="E47" s="2" t="str">
        <f>_xlfn.XLOOKUP(A:A,Sheet1!A:A,Sheet1!G:G)</f>
        <v>South Africa</v>
      </c>
      <c r="F47" s="8" t="str">
        <f>_xlfn.XLOOKUP(A:A,Sheet1!A:A,Sheet1!H:H)</f>
        <v>Afrikaans</v>
      </c>
      <c r="G47" s="8" t="str">
        <f>_xlfn.XLOOKUP(A:A,Sheet1!A:A,Sheet1!I:I)</f>
        <v>Web Development</v>
      </c>
      <c r="H47" s="8">
        <f>_xlfn.XLOOKUP(A:A,Sheet1!A:A,Sheet1!K:K)</f>
        <v>9</v>
      </c>
      <c r="I47" s="9">
        <f>_xlfn.XLOOKUP(A:A,Sheet1!A:A,Sheet1!M:M)</f>
        <v>75</v>
      </c>
      <c r="J47" s="10">
        <f>_xlfn.XLOOKUP(A:A,Sheet1!A:A,Sheet1!O:O)</f>
        <v>4.9000000000000004</v>
      </c>
      <c r="K47" t="str">
        <f>_xlfn.XLOOKUP(A:A,Sheet1!A:A,Sheet1!P:P)</f>
        <v>Yes</v>
      </c>
      <c r="L47" s="12">
        <f>_xlfn.XLOOKUP(A:A,Sheet1!A:A,Sheet1!S:S)</f>
        <v>0.74</v>
      </c>
    </row>
    <row r="48" spans="1:12" x14ac:dyDescent="0.35">
      <c r="A48" s="8" t="s">
        <v>144</v>
      </c>
      <c r="B48" s="2" t="str">
        <f>_xlfn.XLOOKUP(A48,Sheet1!A:A,Sheet1!B:B)</f>
        <v xml:space="preserve"> Samantha Simmons</v>
      </c>
      <c r="C48" s="2" t="str">
        <f>_xlfn.XLOOKUP(A:A,Sheet1!A:A,Sheet1!D:D)</f>
        <v>Female</v>
      </c>
      <c r="D48" s="8">
        <f>_xlfn.XLOOKUP(A:A,Sheet1!A:A,Sheet1!F:F)</f>
        <v>47</v>
      </c>
      <c r="E48" s="2" t="str">
        <f>_xlfn.XLOOKUP(A:A,Sheet1!A:A,Sheet1!G:G)</f>
        <v>Egypt</v>
      </c>
      <c r="F48" s="8" t="str">
        <f>_xlfn.XLOOKUP(A:A,Sheet1!A:A,Sheet1!H:H)</f>
        <v>Arabic</v>
      </c>
      <c r="G48" s="8" t="str">
        <f>_xlfn.XLOOKUP(A:A,Sheet1!A:A,Sheet1!I:I)</f>
        <v>DevOps</v>
      </c>
      <c r="H48" s="8">
        <f>_xlfn.XLOOKUP(A:A,Sheet1!A:A,Sheet1!K:K)</f>
        <v>15</v>
      </c>
      <c r="I48" s="9">
        <f>_xlfn.XLOOKUP(A:A,Sheet1!A:A,Sheet1!M:M)</f>
        <v>30</v>
      </c>
      <c r="J48" s="10">
        <f>_xlfn.XLOOKUP(A:A,Sheet1!A:A,Sheet1!O:O)</f>
        <v>4.5</v>
      </c>
      <c r="K48" t="str">
        <f>_xlfn.XLOOKUP(A:A,Sheet1!A:A,Sheet1!P:P)</f>
        <v>Yes</v>
      </c>
      <c r="L48" s="12">
        <f>_xlfn.XLOOKUP(A:A,Sheet1!A:A,Sheet1!S:S)</f>
        <v>0.85</v>
      </c>
    </row>
    <row r="49" spans="1:12" x14ac:dyDescent="0.35">
      <c r="A49" s="8" t="s">
        <v>145</v>
      </c>
      <c r="B49" s="2" t="str">
        <f>_xlfn.XLOOKUP(A49,Sheet1!A:A,Sheet1!B:B)</f>
        <v>Chase Mason</v>
      </c>
      <c r="C49" s="2" t="str">
        <f>_xlfn.XLOOKUP(A:A,Sheet1!A:A,Sheet1!D:D)</f>
        <v>Male</v>
      </c>
      <c r="D49" s="8">
        <f>_xlfn.XLOOKUP(A:A,Sheet1!A:A,Sheet1!F:F)</f>
        <v>25</v>
      </c>
      <c r="E49" s="2" t="str">
        <f>_xlfn.XLOOKUP(A:A,Sheet1!A:A,Sheet1!G:G)</f>
        <v>China</v>
      </c>
      <c r="F49" s="8" t="str">
        <f>_xlfn.XLOOKUP(A:A,Sheet1!A:A,Sheet1!H:H)</f>
        <v>Mandarin</v>
      </c>
      <c r="G49" s="8" t="str">
        <f>_xlfn.XLOOKUP(A:A,Sheet1!A:A,Sheet1!I:I)</f>
        <v>Graphic Design</v>
      </c>
      <c r="H49" s="8">
        <f>_xlfn.XLOOKUP(A:A,Sheet1!A:A,Sheet1!K:K)</f>
        <v>4</v>
      </c>
      <c r="I49" s="9">
        <f>_xlfn.XLOOKUP(A:A,Sheet1!A:A,Sheet1!M:M)</f>
        <v>50</v>
      </c>
      <c r="J49" s="10">
        <f>_xlfn.XLOOKUP(A:A,Sheet1!A:A,Sheet1!O:O)</f>
        <v>2.7</v>
      </c>
      <c r="K49" t="str">
        <f>_xlfn.XLOOKUP(A:A,Sheet1!A:A,Sheet1!P:P)</f>
        <v>No</v>
      </c>
      <c r="L49" s="12">
        <f>_xlfn.XLOOKUP(A:A,Sheet1!A:A,Sheet1!S:S)</f>
        <v>0.77</v>
      </c>
    </row>
    <row r="50" spans="1:12" x14ac:dyDescent="0.35">
      <c r="A50" s="8" t="s">
        <v>149</v>
      </c>
      <c r="B50" s="2" t="str">
        <f>_xlfn.XLOOKUP(A50,Sheet1!A:A,Sheet1!B:B)</f>
        <v>Dominique Ward</v>
      </c>
      <c r="C50" s="2" t="str">
        <f>_xlfn.XLOOKUP(A:A,Sheet1!A:A,Sheet1!D:D)</f>
        <v>Female</v>
      </c>
      <c r="D50" s="8">
        <f>_xlfn.XLOOKUP(A:A,Sheet1!A:A,Sheet1!F:F)</f>
        <v>25</v>
      </c>
      <c r="E50" s="2" t="str">
        <f>_xlfn.XLOOKUP(A:A,Sheet1!A:A,Sheet1!G:G)</f>
        <v>Mexico</v>
      </c>
      <c r="F50" s="8" t="str">
        <f>_xlfn.XLOOKUP(A:A,Sheet1!A:A,Sheet1!H:H)</f>
        <v>Spanish</v>
      </c>
      <c r="G50" s="8" t="str">
        <f>_xlfn.XLOOKUP(A:A,Sheet1!A:A,Sheet1!I:I)</f>
        <v>Mobile Apps</v>
      </c>
      <c r="H50" s="8">
        <f>_xlfn.XLOOKUP(A:A,Sheet1!A:A,Sheet1!K:K)</f>
        <v>7</v>
      </c>
      <c r="I50" s="9">
        <f>_xlfn.XLOOKUP(A:A,Sheet1!A:A,Sheet1!M:M)</f>
        <v>20</v>
      </c>
      <c r="J50" s="10">
        <f>_xlfn.XLOOKUP(A:A,Sheet1!A:A,Sheet1!O:O)</f>
        <v>1.9</v>
      </c>
      <c r="K50" t="str">
        <f>_xlfn.XLOOKUP(A:A,Sheet1!A:A,Sheet1!P:P)</f>
        <v>No</v>
      </c>
      <c r="L50" s="12">
        <f>_xlfn.XLOOKUP(A:A,Sheet1!A:A,Sheet1!S:S)</f>
        <v>0.79269417475728277</v>
      </c>
    </row>
    <row r="51" spans="1:12" x14ac:dyDescent="0.35">
      <c r="A51" s="8" t="s">
        <v>152</v>
      </c>
      <c r="B51" s="2" t="str">
        <f>_xlfn.XLOOKUP(A51,Sheet1!A:A,Sheet1!B:B)</f>
        <v>Lance Griffin</v>
      </c>
      <c r="C51" s="2" t="str">
        <f>_xlfn.XLOOKUP(A:A,Sheet1!A:A,Sheet1!D:D)</f>
        <v>Male</v>
      </c>
      <c r="D51" s="8">
        <f>_xlfn.XLOOKUP(A:A,Sheet1!A:A,Sheet1!F:F)</f>
        <v>29</v>
      </c>
      <c r="E51" s="2" t="str">
        <f>_xlfn.XLOOKUP(A:A,Sheet1!A:A,Sheet1!G:G)</f>
        <v>Netherlands</v>
      </c>
      <c r="F51" s="8" t="str">
        <f>_xlfn.XLOOKUP(A:A,Sheet1!A:A,Sheet1!H:H)</f>
        <v>Dutch</v>
      </c>
      <c r="G51" s="8" t="str">
        <f>_xlfn.XLOOKUP(A:A,Sheet1!A:A,Sheet1!I:I)</f>
        <v>UI/UX Design</v>
      </c>
      <c r="H51" s="8">
        <f>_xlfn.XLOOKUP(A:A,Sheet1!A:A,Sheet1!K:K)</f>
        <v>1</v>
      </c>
      <c r="I51" s="9">
        <f>_xlfn.XLOOKUP(A:A,Sheet1!A:A,Sheet1!M:M)</f>
        <v>20</v>
      </c>
      <c r="J51" s="10">
        <f>_xlfn.XLOOKUP(A:A,Sheet1!A:A,Sheet1!O:O)</f>
        <v>1.4</v>
      </c>
      <c r="K51" t="str">
        <f>_xlfn.XLOOKUP(A:A,Sheet1!A:A,Sheet1!P:P)</f>
        <v>Yes</v>
      </c>
      <c r="L51" s="12">
        <f>_xlfn.XLOOKUP(A:A,Sheet1!A:A,Sheet1!S:S)</f>
        <v>0.63</v>
      </c>
    </row>
    <row r="52" spans="1:12" x14ac:dyDescent="0.35">
      <c r="A52" s="8" t="s">
        <v>154</v>
      </c>
      <c r="B52" s="2" t="str">
        <f>_xlfn.XLOOKUP(A52,Sheet1!A:A,Sheet1!B:B)</f>
        <v>Julie Burgess</v>
      </c>
      <c r="C52" s="2" t="str">
        <f>_xlfn.XLOOKUP(A:A,Sheet1!A:A,Sheet1!D:D)</f>
        <v>Female</v>
      </c>
      <c r="D52" s="8">
        <f>_xlfn.XLOOKUP(A:A,Sheet1!A:A,Sheet1!F:F)</f>
        <v>23</v>
      </c>
      <c r="E52" s="2" t="str">
        <f>_xlfn.XLOOKUP(A:A,Sheet1!A:A,Sheet1!G:G)</f>
        <v>Argentina</v>
      </c>
      <c r="F52" s="8" t="str">
        <f>_xlfn.XLOOKUP(A:A,Sheet1!A:A,Sheet1!H:H)</f>
        <v>Spanish</v>
      </c>
      <c r="G52" s="8" t="str">
        <f>_xlfn.XLOOKUP(A:A,Sheet1!A:A,Sheet1!I:I)</f>
        <v>Cybersecurity</v>
      </c>
      <c r="H52" s="8">
        <f>_xlfn.XLOOKUP(A:A,Sheet1!A:A,Sheet1!K:K)</f>
        <v>0</v>
      </c>
      <c r="I52" s="9">
        <f>_xlfn.XLOOKUP(A:A,Sheet1!A:A,Sheet1!M:M)</f>
        <v>75</v>
      </c>
      <c r="J52" s="10">
        <f>_xlfn.XLOOKUP(A:A,Sheet1!A:A,Sheet1!O:O)</f>
        <v>1.9</v>
      </c>
      <c r="K52" t="str">
        <f>_xlfn.XLOOKUP(A:A,Sheet1!A:A,Sheet1!P:P)</f>
        <v>Yes</v>
      </c>
      <c r="L52" s="12">
        <f>_xlfn.XLOOKUP(A:A,Sheet1!A:A,Sheet1!S:S)</f>
        <v>0.79</v>
      </c>
    </row>
    <row r="53" spans="1:12" x14ac:dyDescent="0.35">
      <c r="A53" s="8" t="s">
        <v>156</v>
      </c>
      <c r="B53" s="2" t="str">
        <f>_xlfn.XLOOKUP(A53,Sheet1!A:A,Sheet1!B:B)</f>
        <v>Don Scott</v>
      </c>
      <c r="C53" s="2" t="str">
        <f>_xlfn.XLOOKUP(A:A,Sheet1!A:A,Sheet1!D:D)</f>
        <v>Male</v>
      </c>
      <c r="D53" s="8">
        <f>_xlfn.XLOOKUP(A:A,Sheet1!A:A,Sheet1!F:F)</f>
        <v>31</v>
      </c>
      <c r="E53" s="2" t="str">
        <f>_xlfn.XLOOKUP(A:A,Sheet1!A:A,Sheet1!G:G)</f>
        <v>France</v>
      </c>
      <c r="F53" s="8" t="str">
        <f>_xlfn.XLOOKUP(A:A,Sheet1!A:A,Sheet1!H:H)</f>
        <v>French</v>
      </c>
      <c r="G53" s="8" t="str">
        <f>_xlfn.XLOOKUP(A:A,Sheet1!A:A,Sheet1!I:I)</f>
        <v>Data Analysis</v>
      </c>
      <c r="H53" s="8">
        <f>_xlfn.XLOOKUP(A:A,Sheet1!A:A,Sheet1!K:K)</f>
        <v>8</v>
      </c>
      <c r="I53" s="9">
        <f>_xlfn.XLOOKUP(A:A,Sheet1!A:A,Sheet1!M:M)</f>
        <v>50</v>
      </c>
      <c r="J53" s="10">
        <f>_xlfn.XLOOKUP(A:A,Sheet1!A:A,Sheet1!O:O)</f>
        <v>3.4</v>
      </c>
      <c r="K53" t="str">
        <f>_xlfn.XLOOKUP(A:A,Sheet1!A:A,Sheet1!P:P)</f>
        <v>No</v>
      </c>
      <c r="L53" s="12">
        <f>_xlfn.XLOOKUP(A:A,Sheet1!A:A,Sheet1!S:S)</f>
        <v>0.79269417475728277</v>
      </c>
    </row>
    <row r="54" spans="1:12" x14ac:dyDescent="0.35">
      <c r="A54" s="8" t="s">
        <v>158</v>
      </c>
      <c r="B54" s="2" t="str">
        <f>_xlfn.XLOOKUP(A54,Sheet1!A:A,Sheet1!B:B)</f>
        <v>Kyle Atkinson</v>
      </c>
      <c r="C54" s="2" t="str">
        <f>_xlfn.XLOOKUP(A:A,Sheet1!A:A,Sheet1!D:D)</f>
        <v>Male</v>
      </c>
      <c r="D54" s="8">
        <f>_xlfn.XLOOKUP(A:A,Sheet1!A:A,Sheet1!F:F)</f>
        <v>51</v>
      </c>
      <c r="E54" s="2" t="str">
        <f>_xlfn.XLOOKUP(A:A,Sheet1!A:A,Sheet1!G:G)</f>
        <v>Germany</v>
      </c>
      <c r="F54" s="8" t="str">
        <f>_xlfn.XLOOKUP(A:A,Sheet1!A:A,Sheet1!H:H)</f>
        <v>German</v>
      </c>
      <c r="G54" s="8" t="str">
        <f>_xlfn.XLOOKUP(A:A,Sheet1!A:A,Sheet1!I:I)</f>
        <v>Machine Learning</v>
      </c>
      <c r="H54" s="8">
        <f>_xlfn.XLOOKUP(A:A,Sheet1!A:A,Sheet1!K:K)</f>
        <v>33</v>
      </c>
      <c r="I54" s="9">
        <f>_xlfn.XLOOKUP(A:A,Sheet1!A:A,Sheet1!M:M)</f>
        <v>75</v>
      </c>
      <c r="J54" s="10">
        <f>_xlfn.XLOOKUP(A:A,Sheet1!A:A,Sheet1!O:O)</f>
        <v>3.3</v>
      </c>
      <c r="K54" t="str">
        <f>_xlfn.XLOOKUP(A:A,Sheet1!A:A,Sheet1!P:P)</f>
        <v>No</v>
      </c>
      <c r="L54" s="12">
        <f>_xlfn.XLOOKUP(A:A,Sheet1!A:A,Sheet1!S:S)</f>
        <v>0.68</v>
      </c>
    </row>
    <row r="55" spans="1:12" x14ac:dyDescent="0.35">
      <c r="A55" s="8" t="s">
        <v>160</v>
      </c>
      <c r="B55" s="2" t="str">
        <f>_xlfn.XLOOKUP(A55,Sheet1!A:A,Sheet1!B:B)</f>
        <v>Jimmy Hogan</v>
      </c>
      <c r="C55" s="2" t="str">
        <f>_xlfn.XLOOKUP(A:A,Sheet1!A:A,Sheet1!D:D)</f>
        <v>Male</v>
      </c>
      <c r="D55" s="8">
        <f>_xlfn.XLOOKUP(A:A,Sheet1!A:A,Sheet1!F:F)</f>
        <v>41</v>
      </c>
      <c r="E55" s="2" t="str">
        <f>_xlfn.XLOOKUP(A:A,Sheet1!A:A,Sheet1!G:G)</f>
        <v>Spain</v>
      </c>
      <c r="F55" s="8" t="str">
        <f>_xlfn.XLOOKUP(A:A,Sheet1!A:A,Sheet1!H:H)</f>
        <v>Spanish</v>
      </c>
      <c r="G55" s="8" t="str">
        <f>_xlfn.XLOOKUP(A:A,Sheet1!A:A,Sheet1!I:I)</f>
        <v>UI/UX Design</v>
      </c>
      <c r="H55" s="8">
        <f>_xlfn.XLOOKUP(A:A,Sheet1!A:A,Sheet1!K:K)</f>
        <v>1</v>
      </c>
      <c r="I55" s="9">
        <f>_xlfn.XLOOKUP(A:A,Sheet1!A:A,Sheet1!M:M)</f>
        <v>30</v>
      </c>
      <c r="J55" s="11">
        <v>0</v>
      </c>
      <c r="K55" t="str">
        <f>_xlfn.XLOOKUP(A:A,Sheet1!A:A,Sheet1!P:P)</f>
        <v>No</v>
      </c>
      <c r="L55" s="12">
        <f>_xlfn.XLOOKUP(A:A,Sheet1!A:A,Sheet1!S:S)</f>
        <v>0.68</v>
      </c>
    </row>
    <row r="56" spans="1:12" x14ac:dyDescent="0.35">
      <c r="A56" s="8" t="s">
        <v>163</v>
      </c>
      <c r="B56" s="2" t="str">
        <f>_xlfn.XLOOKUP(A56,Sheet1!A:A,Sheet1!B:B)</f>
        <v>Jennifer Mcintyre</v>
      </c>
      <c r="C56" s="2" t="str">
        <f>_xlfn.XLOOKUP(A:A,Sheet1!A:A,Sheet1!D:D)</f>
        <v>Female</v>
      </c>
      <c r="D56" s="8">
        <f>_xlfn.XLOOKUP(A:A,Sheet1!A:A,Sheet1!F:F)</f>
        <v>29</v>
      </c>
      <c r="E56" s="2" t="str">
        <f>_xlfn.XLOOKUP(A:A,Sheet1!A:A,Sheet1!G:G)</f>
        <v>Turkey</v>
      </c>
      <c r="F56" s="8" t="str">
        <f>_xlfn.XLOOKUP(A:A,Sheet1!A:A,Sheet1!H:H)</f>
        <v>Turkish</v>
      </c>
      <c r="G56" s="8" t="str">
        <f>_xlfn.XLOOKUP(A:A,Sheet1!A:A,Sheet1!I:I)</f>
        <v>Cybersecurity</v>
      </c>
      <c r="H56" s="8">
        <f>_xlfn.XLOOKUP(A:A,Sheet1!A:A,Sheet1!K:K)</f>
        <v>11</v>
      </c>
      <c r="I56" s="9">
        <f>_xlfn.XLOOKUP(A:A,Sheet1!A:A,Sheet1!M:M)</f>
        <v>100</v>
      </c>
      <c r="J56" s="10">
        <f>_xlfn.XLOOKUP(A:A,Sheet1!A:A,Sheet1!O:O)</f>
        <v>2.2999999999999998</v>
      </c>
      <c r="K56" t="str">
        <f>_xlfn.XLOOKUP(A:A,Sheet1!A:A,Sheet1!P:P)</f>
        <v>Yes</v>
      </c>
      <c r="L56" s="12">
        <f>_xlfn.XLOOKUP(A:A,Sheet1!A:A,Sheet1!S:S)</f>
        <v>0.72</v>
      </c>
    </row>
    <row r="57" spans="1:12" x14ac:dyDescent="0.35">
      <c r="A57" s="8" t="s">
        <v>165</v>
      </c>
      <c r="B57" s="2" t="str">
        <f>_xlfn.XLOOKUP(A57,Sheet1!A:A,Sheet1!B:B)</f>
        <v>Larry Simpson</v>
      </c>
      <c r="C57" s="2" t="str">
        <f>_xlfn.XLOOKUP(A:A,Sheet1!A:A,Sheet1!D:D)</f>
        <v>Male</v>
      </c>
      <c r="D57" s="8">
        <f>_xlfn.XLOOKUP(A:A,Sheet1!A:A,Sheet1!F:F)</f>
        <v>50</v>
      </c>
      <c r="E57" s="2" t="str">
        <f>_xlfn.XLOOKUP(A:A,Sheet1!A:A,Sheet1!G:G)</f>
        <v>United Kingdom</v>
      </c>
      <c r="F57" s="8" t="str">
        <f>_xlfn.XLOOKUP(A:A,Sheet1!A:A,Sheet1!H:H)</f>
        <v>English</v>
      </c>
      <c r="G57" s="8" t="str">
        <f>_xlfn.XLOOKUP(A:A,Sheet1!A:A,Sheet1!I:I)</f>
        <v>AI</v>
      </c>
      <c r="H57" s="8">
        <f>_xlfn.XLOOKUP(A:A,Sheet1!A:A,Sheet1!K:K)</f>
        <v>15</v>
      </c>
      <c r="I57" s="9">
        <f>_xlfn.XLOOKUP(A:A,Sheet1!A:A,Sheet1!M:M)</f>
        <v>40</v>
      </c>
      <c r="J57" s="10">
        <f>_xlfn.XLOOKUP(A:A,Sheet1!A:A,Sheet1!O:O)</f>
        <v>2</v>
      </c>
      <c r="K57" t="str">
        <f>_xlfn.XLOOKUP(A:A,Sheet1!A:A,Sheet1!P:P)</f>
        <v>Yes</v>
      </c>
      <c r="L57" s="12">
        <f>_xlfn.XLOOKUP(A:A,Sheet1!A:A,Sheet1!S:S)</f>
        <v>0.65</v>
      </c>
    </row>
    <row r="58" spans="1:12" x14ac:dyDescent="0.35">
      <c r="A58" s="8" t="s">
        <v>167</v>
      </c>
      <c r="B58" s="2" t="str">
        <f>_xlfn.XLOOKUP(A58,Sheet1!A:A,Sheet1!B:B)</f>
        <v>Laura Price</v>
      </c>
      <c r="C58" s="2" t="str">
        <f>_xlfn.XLOOKUP(A:A,Sheet1!A:A,Sheet1!D:D)</f>
        <v>Female</v>
      </c>
      <c r="D58" s="8">
        <f>_xlfn.XLOOKUP(A:A,Sheet1!A:A,Sheet1!F:F)</f>
        <v>26</v>
      </c>
      <c r="E58" s="2" t="str">
        <f>_xlfn.XLOOKUP(A:A,Sheet1!A:A,Sheet1!G:G)</f>
        <v>United Kingdom</v>
      </c>
      <c r="F58" s="8" t="str">
        <f>_xlfn.XLOOKUP(A:A,Sheet1!A:A,Sheet1!H:H)</f>
        <v>English</v>
      </c>
      <c r="G58" s="8" t="str">
        <f>_xlfn.XLOOKUP(A:A,Sheet1!A:A,Sheet1!I:I)</f>
        <v>DevOps</v>
      </c>
      <c r="H58" s="8">
        <f>_xlfn.XLOOKUP(A:A,Sheet1!A:A,Sheet1!K:K)</f>
        <v>8</v>
      </c>
      <c r="I58" s="9">
        <f>_xlfn.XLOOKUP(A:A,Sheet1!A:A,Sheet1!M:M)</f>
        <v>50</v>
      </c>
      <c r="J58" s="10">
        <f>_xlfn.XLOOKUP(A:A,Sheet1!A:A,Sheet1!O:O)</f>
        <v>1.3</v>
      </c>
      <c r="K58" t="str">
        <f>_xlfn.XLOOKUP(A:A,Sheet1!A:A,Sheet1!P:P)</f>
        <v>No</v>
      </c>
      <c r="L58" s="12">
        <f>_xlfn.XLOOKUP(A:A,Sheet1!A:A,Sheet1!S:S)</f>
        <v>0.76</v>
      </c>
    </row>
    <row r="59" spans="1:12" x14ac:dyDescent="0.35">
      <c r="A59" s="8" t="s">
        <v>169</v>
      </c>
      <c r="B59" s="2" t="str">
        <f>_xlfn.XLOOKUP(A59,Sheet1!A:A,Sheet1!B:B)</f>
        <v>Mark Wright</v>
      </c>
      <c r="C59" s="2" t="str">
        <f>_xlfn.XLOOKUP(A:A,Sheet1!A:A,Sheet1!D:D)</f>
        <v>Male</v>
      </c>
      <c r="D59" s="8">
        <f>_xlfn.XLOOKUP(A:A,Sheet1!A:A,Sheet1!F:F)</f>
        <v>38</v>
      </c>
      <c r="E59" s="2" t="str">
        <f>_xlfn.XLOOKUP(A:A,Sheet1!A:A,Sheet1!G:G)</f>
        <v>Canada</v>
      </c>
      <c r="F59" s="8" t="str">
        <f>_xlfn.XLOOKUP(A:A,Sheet1!A:A,Sheet1!H:H)</f>
        <v>English</v>
      </c>
      <c r="G59" s="8" t="str">
        <f>_xlfn.XLOOKUP(A:A,Sheet1!A:A,Sheet1!I:I)</f>
        <v>AI</v>
      </c>
      <c r="H59" s="8">
        <f>_xlfn.XLOOKUP(A:A,Sheet1!A:A,Sheet1!K:K)</f>
        <v>17</v>
      </c>
      <c r="I59" s="9">
        <f>_xlfn.XLOOKUP(A:A,Sheet1!A:A,Sheet1!M:M)</f>
        <v>40</v>
      </c>
      <c r="J59" s="10">
        <f>_xlfn.XLOOKUP(A:A,Sheet1!A:A,Sheet1!O:O)</f>
        <v>4</v>
      </c>
      <c r="K59" t="str">
        <f>_xlfn.XLOOKUP(A:A,Sheet1!A:A,Sheet1!P:P)</f>
        <v>Yes</v>
      </c>
      <c r="L59" s="12">
        <f>_xlfn.XLOOKUP(A:A,Sheet1!A:A,Sheet1!S:S)</f>
        <v>0.9</v>
      </c>
    </row>
    <row r="60" spans="1:12" x14ac:dyDescent="0.35">
      <c r="A60" s="8" t="s">
        <v>171</v>
      </c>
      <c r="B60" s="2" t="str">
        <f>_xlfn.XLOOKUP(A60,Sheet1!A:A,Sheet1!B:B)</f>
        <v>Samantha Mcdaniel</v>
      </c>
      <c r="C60" s="2" t="str">
        <f>_xlfn.XLOOKUP(A:A,Sheet1!A:A,Sheet1!D:D)</f>
        <v>Female</v>
      </c>
      <c r="D60" s="8">
        <f>_xlfn.XLOOKUP(A:A,Sheet1!A:A,Sheet1!F:F)</f>
        <v>23</v>
      </c>
      <c r="E60" s="2" t="str">
        <f>_xlfn.XLOOKUP(A:A,Sheet1!A:A,Sheet1!G:G)</f>
        <v>India</v>
      </c>
      <c r="F60" s="8" t="str">
        <f>_xlfn.XLOOKUP(A:A,Sheet1!A:A,Sheet1!H:H)</f>
        <v>Hindi</v>
      </c>
      <c r="G60" s="8" t="str">
        <f>_xlfn.XLOOKUP(A:A,Sheet1!A:A,Sheet1!I:I)</f>
        <v>Mobile Apps</v>
      </c>
      <c r="H60" s="8">
        <f>_xlfn.XLOOKUP(A:A,Sheet1!A:A,Sheet1!K:K)</f>
        <v>9</v>
      </c>
      <c r="I60" s="9">
        <f>_xlfn.XLOOKUP(A:A,Sheet1!A:A,Sheet1!M:M)</f>
        <v>75</v>
      </c>
      <c r="J60" s="10">
        <f>_xlfn.XLOOKUP(A:A,Sheet1!A:A,Sheet1!O:O)</f>
        <v>3.6</v>
      </c>
      <c r="K60" t="str">
        <f>_xlfn.XLOOKUP(A:A,Sheet1!A:A,Sheet1!P:P)</f>
        <v>Yes</v>
      </c>
      <c r="L60" s="12">
        <f>_xlfn.XLOOKUP(A:A,Sheet1!A:A,Sheet1!S:S)</f>
        <v>0.65</v>
      </c>
    </row>
    <row r="61" spans="1:12" x14ac:dyDescent="0.35">
      <c r="A61" s="8" t="s">
        <v>173</v>
      </c>
      <c r="B61" s="2" t="str">
        <f>_xlfn.XLOOKUP(A61,Sheet1!A:A,Sheet1!B:B)</f>
        <v>Barbara Foster</v>
      </c>
      <c r="C61" s="2" t="str">
        <f>_xlfn.XLOOKUP(A:A,Sheet1!A:A,Sheet1!D:D)</f>
        <v>Female</v>
      </c>
      <c r="D61" s="8">
        <f>_xlfn.XLOOKUP(A:A,Sheet1!A:A,Sheet1!F:F)</f>
        <v>51</v>
      </c>
      <c r="E61" s="2" t="str">
        <f>_xlfn.XLOOKUP(A:A,Sheet1!A:A,Sheet1!G:G)</f>
        <v>South Africa</v>
      </c>
      <c r="F61" s="8" t="str">
        <f>_xlfn.XLOOKUP(A:A,Sheet1!A:A,Sheet1!H:H)</f>
        <v>Afrikaans</v>
      </c>
      <c r="G61" s="8" t="str">
        <f>_xlfn.XLOOKUP(A:A,Sheet1!A:A,Sheet1!I:I)</f>
        <v>DevOps</v>
      </c>
      <c r="H61" s="8">
        <f>_xlfn.XLOOKUP(A:A,Sheet1!A:A,Sheet1!K:K)</f>
        <v>28</v>
      </c>
      <c r="I61" s="9">
        <f>_xlfn.XLOOKUP(A:A,Sheet1!A:A,Sheet1!M:M)</f>
        <v>40</v>
      </c>
      <c r="J61" s="10">
        <f>_xlfn.XLOOKUP(A:A,Sheet1!A:A,Sheet1!O:O)</f>
        <v>3.9</v>
      </c>
      <c r="K61" t="str">
        <f>_xlfn.XLOOKUP(A:A,Sheet1!A:A,Sheet1!P:P)</f>
        <v>No</v>
      </c>
      <c r="L61" s="12">
        <f>_xlfn.XLOOKUP(A:A,Sheet1!A:A,Sheet1!S:S)</f>
        <v>0.63</v>
      </c>
    </row>
    <row r="62" spans="1:12" x14ac:dyDescent="0.35">
      <c r="A62" s="8" t="s">
        <v>175</v>
      </c>
      <c r="B62" s="2" t="str">
        <f>_xlfn.XLOOKUP(A62,Sheet1!A:A,Sheet1!B:B)</f>
        <v>Courtney Tran</v>
      </c>
      <c r="C62" s="2" t="str">
        <f>_xlfn.XLOOKUP(A:A,Sheet1!A:A,Sheet1!D:D)</f>
        <v>Female</v>
      </c>
      <c r="D62" s="8">
        <f>_xlfn.XLOOKUP(A:A,Sheet1!A:A,Sheet1!F:F)</f>
        <v>51</v>
      </c>
      <c r="E62" s="2" t="str">
        <f>_xlfn.XLOOKUP(A:A,Sheet1!A:A,Sheet1!G:G)</f>
        <v>Indonesia</v>
      </c>
      <c r="F62" s="8" t="str">
        <f>_xlfn.XLOOKUP(A:A,Sheet1!A:A,Sheet1!H:H)</f>
        <v>Indonesian</v>
      </c>
      <c r="G62" s="8" t="str">
        <f>_xlfn.XLOOKUP(A:A,Sheet1!A:A,Sheet1!I:I)</f>
        <v>AI</v>
      </c>
      <c r="H62" s="8">
        <f>_xlfn.XLOOKUP(A:A,Sheet1!A:A,Sheet1!K:K)</f>
        <v>33</v>
      </c>
      <c r="I62" s="9">
        <f>_xlfn.XLOOKUP(A:A,Sheet1!A:A,Sheet1!M:M)</f>
        <v>75</v>
      </c>
      <c r="J62" s="11">
        <v>0</v>
      </c>
      <c r="K62" t="str">
        <f>_xlfn.XLOOKUP(A:A,Sheet1!A:A,Sheet1!P:P)</f>
        <v>Yes</v>
      </c>
      <c r="L62" s="12">
        <f>_xlfn.XLOOKUP(A:A,Sheet1!A:A,Sheet1!S:S)</f>
        <v>0.79269417475728277</v>
      </c>
    </row>
    <row r="63" spans="1:12" x14ac:dyDescent="0.35">
      <c r="A63" s="8" t="s">
        <v>177</v>
      </c>
      <c r="B63" s="2" t="str">
        <f>_xlfn.XLOOKUP(A63,Sheet1!A:A,Sheet1!B:B)</f>
        <v>Eddie Todd</v>
      </c>
      <c r="C63" s="2" t="str">
        <f>_xlfn.XLOOKUP(A:A,Sheet1!A:A,Sheet1!D:D)</f>
        <v>Male</v>
      </c>
      <c r="D63" s="8">
        <f>_xlfn.XLOOKUP(A:A,Sheet1!A:A,Sheet1!F:F)</f>
        <v>47</v>
      </c>
      <c r="E63" s="2" t="str">
        <f>_xlfn.XLOOKUP(A:A,Sheet1!A:A,Sheet1!G:G)</f>
        <v>Germany</v>
      </c>
      <c r="F63" s="8" t="str">
        <f>_xlfn.XLOOKUP(A:A,Sheet1!A:A,Sheet1!H:H)</f>
        <v>German</v>
      </c>
      <c r="G63" s="8" t="str">
        <f>_xlfn.XLOOKUP(A:A,Sheet1!A:A,Sheet1!I:I)</f>
        <v>AI</v>
      </c>
      <c r="H63" s="8">
        <f>_xlfn.XLOOKUP(A:A,Sheet1!A:A,Sheet1!K:K)</f>
        <v>18</v>
      </c>
      <c r="I63" s="9">
        <f>_xlfn.XLOOKUP(A:A,Sheet1!A:A,Sheet1!M:M)</f>
        <v>75</v>
      </c>
      <c r="J63" s="11">
        <v>0</v>
      </c>
      <c r="K63" t="str">
        <f>_xlfn.XLOOKUP(A:A,Sheet1!A:A,Sheet1!P:P)</f>
        <v>No</v>
      </c>
      <c r="L63" s="12">
        <f>_xlfn.XLOOKUP(A:A,Sheet1!A:A,Sheet1!S:S)</f>
        <v>0.79269417475728277</v>
      </c>
    </row>
    <row r="64" spans="1:12" x14ac:dyDescent="0.35">
      <c r="A64" s="8" t="s">
        <v>179</v>
      </c>
      <c r="B64" s="2" t="str">
        <f>_xlfn.XLOOKUP(A64,Sheet1!A:A,Sheet1!B:B)</f>
        <v>Christine Johnson</v>
      </c>
      <c r="C64" s="2" t="str">
        <f>_xlfn.XLOOKUP(A:A,Sheet1!A:A,Sheet1!D:D)</f>
        <v>Female</v>
      </c>
      <c r="D64" s="8">
        <f>_xlfn.XLOOKUP(A:A,Sheet1!A:A,Sheet1!F:F)</f>
        <v>34</v>
      </c>
      <c r="E64" s="2" t="str">
        <f>_xlfn.XLOOKUP(A:A,Sheet1!A:A,Sheet1!G:G)</f>
        <v>Russia</v>
      </c>
      <c r="F64" s="8" t="str">
        <f>_xlfn.XLOOKUP(A:A,Sheet1!A:A,Sheet1!H:H)</f>
        <v>Russian</v>
      </c>
      <c r="G64" s="8" t="str">
        <f>_xlfn.XLOOKUP(A:A,Sheet1!A:A,Sheet1!I:I)</f>
        <v>UI/UX Design</v>
      </c>
      <c r="H64" s="8">
        <f>_xlfn.XLOOKUP(A:A,Sheet1!A:A,Sheet1!K:K)</f>
        <v>16</v>
      </c>
      <c r="I64" s="9">
        <f>_xlfn.XLOOKUP(A:A,Sheet1!A:A,Sheet1!M:M)</f>
        <v>20</v>
      </c>
      <c r="J64" s="10">
        <f>_xlfn.XLOOKUP(A:A,Sheet1!A:A,Sheet1!O:O)</f>
        <v>2.2999999999999998</v>
      </c>
      <c r="K64" t="str">
        <f>_xlfn.XLOOKUP(A:A,Sheet1!A:A,Sheet1!P:P)</f>
        <v>Yes</v>
      </c>
      <c r="L64" s="12">
        <f>_xlfn.XLOOKUP(A:A,Sheet1!A:A,Sheet1!S:S)</f>
        <v>0.93</v>
      </c>
    </row>
    <row r="65" spans="1:12" x14ac:dyDescent="0.35">
      <c r="A65" s="8" t="s">
        <v>181</v>
      </c>
      <c r="B65" s="2" t="str">
        <f>_xlfn.XLOOKUP(A65,Sheet1!A:A,Sheet1!B:B)</f>
        <v>Leah Phelps</v>
      </c>
      <c r="C65" s="2" t="str">
        <f>_xlfn.XLOOKUP(A:A,Sheet1!A:A,Sheet1!D:D)</f>
        <v>Female</v>
      </c>
      <c r="D65" s="8">
        <f>_xlfn.XLOOKUP(A:A,Sheet1!A:A,Sheet1!F:F)</f>
        <v>58</v>
      </c>
      <c r="E65" s="2" t="str">
        <f>_xlfn.XLOOKUP(A:A,Sheet1!A:A,Sheet1!G:G)</f>
        <v>Indonesia</v>
      </c>
      <c r="F65" s="8" t="str">
        <f>_xlfn.XLOOKUP(A:A,Sheet1!A:A,Sheet1!H:H)</f>
        <v>Indonesian</v>
      </c>
      <c r="G65" s="8" t="str">
        <f>_xlfn.XLOOKUP(A:A,Sheet1!A:A,Sheet1!I:I)</f>
        <v>Data Analysis</v>
      </c>
      <c r="H65" s="8">
        <f>_xlfn.XLOOKUP(A:A,Sheet1!A:A,Sheet1!K:K)</f>
        <v>35</v>
      </c>
      <c r="I65" s="9">
        <f>_xlfn.XLOOKUP(A:A,Sheet1!A:A,Sheet1!M:M)</f>
        <v>50</v>
      </c>
      <c r="J65" s="10">
        <f>_xlfn.XLOOKUP(A:A,Sheet1!A:A,Sheet1!O:O)</f>
        <v>4.7</v>
      </c>
      <c r="K65" t="str">
        <f>_xlfn.XLOOKUP(A:A,Sheet1!A:A,Sheet1!P:P)</f>
        <v>No</v>
      </c>
      <c r="L65" s="12">
        <f>_xlfn.XLOOKUP(A:A,Sheet1!A:A,Sheet1!S:S)</f>
        <v>0.7</v>
      </c>
    </row>
    <row r="66" spans="1:12" x14ac:dyDescent="0.35">
      <c r="A66" s="8" t="s">
        <v>183</v>
      </c>
      <c r="B66" s="2" t="str">
        <f>_xlfn.XLOOKUP(A66,Sheet1!A:A,Sheet1!B:B)</f>
        <v>Rebekah Williams</v>
      </c>
      <c r="C66" s="2" t="str">
        <f>_xlfn.XLOOKUP(A:A,Sheet1!A:A,Sheet1!D:D)</f>
        <v>Female</v>
      </c>
      <c r="D66" s="8">
        <f>_xlfn.XLOOKUP(A:A,Sheet1!A:A,Sheet1!F:F)</f>
        <v>50</v>
      </c>
      <c r="E66" s="2" t="str">
        <f>_xlfn.XLOOKUP(A:A,Sheet1!A:A,Sheet1!G:G)</f>
        <v>Russia</v>
      </c>
      <c r="F66" s="8" t="str">
        <f>_xlfn.XLOOKUP(A:A,Sheet1!A:A,Sheet1!H:H)</f>
        <v>Russian</v>
      </c>
      <c r="G66" s="8" t="str">
        <f>_xlfn.XLOOKUP(A:A,Sheet1!A:A,Sheet1!I:I)</f>
        <v>AI</v>
      </c>
      <c r="H66" s="8">
        <f>_xlfn.XLOOKUP(A:A,Sheet1!A:A,Sheet1!K:K)</f>
        <v>14</v>
      </c>
      <c r="I66" s="9">
        <f>_xlfn.XLOOKUP(A:A,Sheet1!A:A,Sheet1!M:M)</f>
        <v>40</v>
      </c>
      <c r="J66" s="10">
        <f>_xlfn.XLOOKUP(A:A,Sheet1!A:A,Sheet1!O:O)</f>
        <v>3.5</v>
      </c>
      <c r="K66" t="str">
        <f>_xlfn.XLOOKUP(A:A,Sheet1!A:A,Sheet1!P:P)</f>
        <v>Yes</v>
      </c>
      <c r="L66" s="12">
        <f>_xlfn.XLOOKUP(A:A,Sheet1!A:A,Sheet1!S:S)</f>
        <v>0.83</v>
      </c>
    </row>
    <row r="67" spans="1:12" x14ac:dyDescent="0.35">
      <c r="A67" s="8" t="s">
        <v>185</v>
      </c>
      <c r="B67" s="2" t="str">
        <f>_xlfn.XLOOKUP(A67,Sheet1!A:A,Sheet1!B:B)</f>
        <v>Crystal Wilson</v>
      </c>
      <c r="C67" s="2" t="str">
        <f>_xlfn.XLOOKUP(A:A,Sheet1!A:A,Sheet1!D:D)</f>
        <v>Female</v>
      </c>
      <c r="D67" s="8">
        <f>_xlfn.XLOOKUP(A:A,Sheet1!A:A,Sheet1!F:F)</f>
        <v>34</v>
      </c>
      <c r="E67" s="2" t="str">
        <f>_xlfn.XLOOKUP(A:A,Sheet1!A:A,Sheet1!G:G)</f>
        <v>Spain</v>
      </c>
      <c r="F67" s="8" t="str">
        <f>_xlfn.XLOOKUP(A:A,Sheet1!A:A,Sheet1!H:H)</f>
        <v>Spanish</v>
      </c>
      <c r="G67" s="8" t="str">
        <f>_xlfn.XLOOKUP(A:A,Sheet1!A:A,Sheet1!I:I)</f>
        <v>Web Development</v>
      </c>
      <c r="H67" s="8">
        <f>_xlfn.XLOOKUP(A:A,Sheet1!A:A,Sheet1!K:K)</f>
        <v>12</v>
      </c>
      <c r="I67" s="9">
        <f>_xlfn.XLOOKUP(A:A,Sheet1!A:A,Sheet1!M:M)</f>
        <v>40</v>
      </c>
      <c r="J67" s="10">
        <f>_xlfn.XLOOKUP(A:A,Sheet1!A:A,Sheet1!O:O)</f>
        <v>2.4</v>
      </c>
      <c r="K67" t="str">
        <f>_xlfn.XLOOKUP(A:A,Sheet1!A:A,Sheet1!P:P)</f>
        <v>Yes</v>
      </c>
      <c r="L67" s="12">
        <f>_xlfn.XLOOKUP(A:A,Sheet1!A:A,Sheet1!S:S)</f>
        <v>0.64</v>
      </c>
    </row>
    <row r="68" spans="1:12" x14ac:dyDescent="0.35">
      <c r="A68" s="8" t="s">
        <v>187</v>
      </c>
      <c r="B68" s="2" t="str">
        <f>_xlfn.XLOOKUP(A68,Sheet1!A:A,Sheet1!B:B)</f>
        <v>Ashley Cordova</v>
      </c>
      <c r="C68" s="2" t="str">
        <f>_xlfn.XLOOKUP(A:A,Sheet1!A:A,Sheet1!D:D)</f>
        <v>Female</v>
      </c>
      <c r="D68" s="8">
        <f>_xlfn.XLOOKUP(A:A,Sheet1!A:A,Sheet1!F:F)</f>
        <v>45</v>
      </c>
      <c r="E68" s="2" t="str">
        <f>_xlfn.XLOOKUP(A:A,Sheet1!A:A,Sheet1!G:G)</f>
        <v>Brazil</v>
      </c>
      <c r="F68" s="8" t="str">
        <f>_xlfn.XLOOKUP(A:A,Sheet1!A:A,Sheet1!H:H)</f>
        <v>Portuguese</v>
      </c>
      <c r="G68" s="8" t="str">
        <f>_xlfn.XLOOKUP(A:A,Sheet1!A:A,Sheet1!I:I)</f>
        <v>AI</v>
      </c>
      <c r="H68" s="8">
        <f>_xlfn.XLOOKUP(A:A,Sheet1!A:A,Sheet1!K:K)</f>
        <v>11</v>
      </c>
      <c r="I68" s="9">
        <f>_xlfn.XLOOKUP(A:A,Sheet1!A:A,Sheet1!M:M)</f>
        <v>75</v>
      </c>
      <c r="J68" s="10">
        <f>_xlfn.XLOOKUP(A:A,Sheet1!A:A,Sheet1!O:O)</f>
        <v>4</v>
      </c>
      <c r="K68" t="str">
        <f>_xlfn.XLOOKUP(A:A,Sheet1!A:A,Sheet1!P:P)</f>
        <v>No</v>
      </c>
      <c r="L68" s="12">
        <f>_xlfn.XLOOKUP(A:A,Sheet1!A:A,Sheet1!S:S)</f>
        <v>1</v>
      </c>
    </row>
    <row r="69" spans="1:12" x14ac:dyDescent="0.35">
      <c r="A69" s="8" t="s">
        <v>189</v>
      </c>
      <c r="B69" s="2" t="str">
        <f>_xlfn.XLOOKUP(A69,Sheet1!A:A,Sheet1!B:B)</f>
        <v>Vicki Kelly</v>
      </c>
      <c r="C69" s="2" t="str">
        <f>_xlfn.XLOOKUP(A:A,Sheet1!A:A,Sheet1!D:D)</f>
        <v>Female</v>
      </c>
      <c r="D69" s="8">
        <f>_xlfn.XLOOKUP(A:A,Sheet1!A:A,Sheet1!F:F)</f>
        <v>55</v>
      </c>
      <c r="E69" s="2" t="str">
        <f>_xlfn.XLOOKUP(A:A,Sheet1!A:A,Sheet1!G:G)</f>
        <v>Brazil</v>
      </c>
      <c r="F69" s="8" t="str">
        <f>_xlfn.XLOOKUP(A:A,Sheet1!A:A,Sheet1!H:H)</f>
        <v>Portuguese</v>
      </c>
      <c r="G69" s="8" t="str">
        <f>_xlfn.XLOOKUP(A:A,Sheet1!A:A,Sheet1!I:I)</f>
        <v>Web Development</v>
      </c>
      <c r="H69" s="8">
        <f>_xlfn.XLOOKUP(A:A,Sheet1!A:A,Sheet1!K:K)</f>
        <v>0</v>
      </c>
      <c r="I69" s="9">
        <f>_xlfn.XLOOKUP(A:A,Sheet1!A:A,Sheet1!M:M)</f>
        <v>40</v>
      </c>
      <c r="J69" s="11">
        <v>0</v>
      </c>
      <c r="K69" t="str">
        <f>_xlfn.XLOOKUP(A:A,Sheet1!A:A,Sheet1!P:P)</f>
        <v>Yes</v>
      </c>
      <c r="L69" s="12">
        <f>_xlfn.XLOOKUP(A:A,Sheet1!A:A,Sheet1!S:S)</f>
        <v>0.79269417475728277</v>
      </c>
    </row>
    <row r="70" spans="1:12" x14ac:dyDescent="0.35">
      <c r="A70" s="8" t="s">
        <v>191</v>
      </c>
      <c r="B70" s="2" t="str">
        <f>_xlfn.XLOOKUP(A70,Sheet1!A:A,Sheet1!B:B)</f>
        <v>Corey Warren</v>
      </c>
      <c r="C70" s="2" t="str">
        <f>_xlfn.XLOOKUP(A:A,Sheet1!A:A,Sheet1!D:D)</f>
        <v>Male</v>
      </c>
      <c r="D70" s="8">
        <f>_xlfn.XLOOKUP(A:A,Sheet1!A:A,Sheet1!F:F)</f>
        <v>41</v>
      </c>
      <c r="E70" s="2" t="str">
        <f>_xlfn.XLOOKUP(A:A,Sheet1!A:A,Sheet1!G:G)</f>
        <v>Argentina</v>
      </c>
      <c r="F70" s="8" t="str">
        <f>_xlfn.XLOOKUP(A:A,Sheet1!A:A,Sheet1!H:H)</f>
        <v>Spanish</v>
      </c>
      <c r="G70" s="8" t="str">
        <f>_xlfn.XLOOKUP(A:A,Sheet1!A:A,Sheet1!I:I)</f>
        <v>UI/UX Design</v>
      </c>
      <c r="H70" s="8">
        <f>_xlfn.XLOOKUP(A:A,Sheet1!A:A,Sheet1!K:K)</f>
        <v>6</v>
      </c>
      <c r="I70" s="9">
        <f>_xlfn.XLOOKUP(A:A,Sheet1!A:A,Sheet1!M:M)</f>
        <v>100</v>
      </c>
      <c r="J70" s="10">
        <f>_xlfn.XLOOKUP(A:A,Sheet1!A:A,Sheet1!O:O)</f>
        <v>1.5</v>
      </c>
      <c r="K70" t="str">
        <f>_xlfn.XLOOKUP(A:A,Sheet1!A:A,Sheet1!P:P)</f>
        <v>No</v>
      </c>
      <c r="L70" s="12">
        <f>_xlfn.XLOOKUP(A:A,Sheet1!A:A,Sheet1!S:S)</f>
        <v>0.79269417475728277</v>
      </c>
    </row>
    <row r="71" spans="1:12" x14ac:dyDescent="0.35">
      <c r="A71" s="8" t="s">
        <v>193</v>
      </c>
      <c r="B71" s="2" t="str">
        <f>_xlfn.XLOOKUP(A71,Sheet1!A:A,Sheet1!B:B)</f>
        <v>Gina Thompson</v>
      </c>
      <c r="C71" s="2" t="str">
        <f>_xlfn.XLOOKUP(A:A,Sheet1!A:A,Sheet1!D:D)</f>
        <v>Female</v>
      </c>
      <c r="D71" s="8">
        <f>_xlfn.XLOOKUP(A:A,Sheet1!A:A,Sheet1!F:F)</f>
        <v>60</v>
      </c>
      <c r="E71" s="2" t="str">
        <f>_xlfn.XLOOKUP(A:A,Sheet1!A:A,Sheet1!G:G)</f>
        <v>China</v>
      </c>
      <c r="F71" s="8" t="str">
        <f>_xlfn.XLOOKUP(A:A,Sheet1!A:A,Sheet1!H:H)</f>
        <v>Mandarin</v>
      </c>
      <c r="G71" s="8" t="str">
        <f>_xlfn.XLOOKUP(A:A,Sheet1!A:A,Sheet1!I:I)</f>
        <v>UI/UX Design</v>
      </c>
      <c r="H71" s="8">
        <f>_xlfn.XLOOKUP(A:A,Sheet1!A:A,Sheet1!K:K)</f>
        <v>38</v>
      </c>
      <c r="I71" s="9">
        <f>_xlfn.XLOOKUP(A:A,Sheet1!A:A,Sheet1!M:M)</f>
        <v>20</v>
      </c>
      <c r="J71" s="10">
        <f>_xlfn.XLOOKUP(A:A,Sheet1!A:A,Sheet1!O:O)</f>
        <v>2</v>
      </c>
      <c r="K71" t="str">
        <f>_xlfn.XLOOKUP(A:A,Sheet1!A:A,Sheet1!P:P)</f>
        <v>No</v>
      </c>
      <c r="L71" s="12">
        <f>_xlfn.XLOOKUP(A:A,Sheet1!A:A,Sheet1!S:S)</f>
        <v>0.71</v>
      </c>
    </row>
    <row r="72" spans="1:12" x14ac:dyDescent="0.35">
      <c r="A72" s="8" t="s">
        <v>195</v>
      </c>
      <c r="B72" s="2" t="str">
        <f>_xlfn.XLOOKUP(A72,Sheet1!A:A,Sheet1!B:B)</f>
        <v>Yvonne Berg</v>
      </c>
      <c r="C72" s="2" t="str">
        <f>_xlfn.XLOOKUP(A:A,Sheet1!A:A,Sheet1!D:D)</f>
        <v>Female</v>
      </c>
      <c r="D72" s="8">
        <f>_xlfn.XLOOKUP(A:A,Sheet1!A:A,Sheet1!F:F)</f>
        <v>33</v>
      </c>
      <c r="E72" s="2" t="str">
        <f>_xlfn.XLOOKUP(A:A,Sheet1!A:A,Sheet1!G:G)</f>
        <v>South Africa</v>
      </c>
      <c r="F72" s="8" t="str">
        <f>_xlfn.XLOOKUP(A:A,Sheet1!A:A,Sheet1!H:H)</f>
        <v>Afrikaans</v>
      </c>
      <c r="G72" s="8" t="str">
        <f>_xlfn.XLOOKUP(A:A,Sheet1!A:A,Sheet1!I:I)</f>
        <v>Mobile Apps</v>
      </c>
      <c r="H72" s="8">
        <f>_xlfn.XLOOKUP(A:A,Sheet1!A:A,Sheet1!K:K)</f>
        <v>11</v>
      </c>
      <c r="I72" s="9">
        <f>_xlfn.XLOOKUP(A:A,Sheet1!A:A,Sheet1!M:M)</f>
        <v>40</v>
      </c>
      <c r="J72" s="10">
        <f>_xlfn.XLOOKUP(A:A,Sheet1!A:A,Sheet1!O:O)</f>
        <v>2.5125695216907653</v>
      </c>
      <c r="K72" t="str">
        <f>_xlfn.XLOOKUP(A:A,Sheet1!A:A,Sheet1!P:P)</f>
        <v>Yes</v>
      </c>
      <c r="L72" s="12">
        <f>_xlfn.XLOOKUP(A:A,Sheet1!A:A,Sheet1!S:S)</f>
        <v>0.84</v>
      </c>
    </row>
    <row r="73" spans="1:12" x14ac:dyDescent="0.35">
      <c r="A73" s="8" t="s">
        <v>197</v>
      </c>
      <c r="B73" s="2" t="str">
        <f>_xlfn.XLOOKUP(A73,Sheet1!A:A,Sheet1!B:B)</f>
        <v>Thomas Miller</v>
      </c>
      <c r="C73" s="2" t="str">
        <f>_xlfn.XLOOKUP(A:A,Sheet1!A:A,Sheet1!D:D)</f>
        <v>Male</v>
      </c>
      <c r="D73" s="8">
        <f>_xlfn.XLOOKUP(A:A,Sheet1!A:A,Sheet1!F:F)</f>
        <v>60</v>
      </c>
      <c r="E73" s="2" t="str">
        <f>_xlfn.XLOOKUP(A:A,Sheet1!A:A,Sheet1!G:G)</f>
        <v>Italy</v>
      </c>
      <c r="F73" s="8" t="str">
        <f>_xlfn.XLOOKUP(A:A,Sheet1!A:A,Sheet1!H:H)</f>
        <v>Italian</v>
      </c>
      <c r="G73" s="8" t="str">
        <f>_xlfn.XLOOKUP(A:A,Sheet1!A:A,Sheet1!I:I)</f>
        <v>DevOps</v>
      </c>
      <c r="H73" s="8">
        <f>_xlfn.XLOOKUP(A:A,Sheet1!A:A,Sheet1!K:K)</f>
        <v>13</v>
      </c>
      <c r="I73" s="9">
        <f>_xlfn.XLOOKUP(A:A,Sheet1!A:A,Sheet1!M:M)</f>
        <v>50</v>
      </c>
      <c r="J73" s="10">
        <f>_xlfn.XLOOKUP(A:A,Sheet1!A:A,Sheet1!O:O)</f>
        <v>1</v>
      </c>
      <c r="K73" t="str">
        <f>_xlfn.XLOOKUP(A:A,Sheet1!A:A,Sheet1!P:P)</f>
        <v>No</v>
      </c>
      <c r="L73" s="12">
        <f>_xlfn.XLOOKUP(A:A,Sheet1!A:A,Sheet1!S:S)</f>
        <v>0.79269417475728277</v>
      </c>
    </row>
    <row r="74" spans="1:12" x14ac:dyDescent="0.35">
      <c r="A74" s="8" t="s">
        <v>199</v>
      </c>
      <c r="B74" s="2" t="str">
        <f>_xlfn.XLOOKUP(A74,Sheet1!A:A,Sheet1!B:B)</f>
        <v>Nicholas Burton</v>
      </c>
      <c r="C74" s="2" t="str">
        <f>_xlfn.XLOOKUP(A:A,Sheet1!A:A,Sheet1!D:D)</f>
        <v>Male</v>
      </c>
      <c r="D74" s="8">
        <f>_xlfn.XLOOKUP(A:A,Sheet1!A:A,Sheet1!F:F)</f>
        <v>40</v>
      </c>
      <c r="E74" s="2" t="str">
        <f>_xlfn.XLOOKUP(A:A,Sheet1!A:A,Sheet1!G:G)</f>
        <v>United States</v>
      </c>
      <c r="F74" s="8" t="str">
        <f>_xlfn.XLOOKUP(A:A,Sheet1!A:A,Sheet1!H:H)</f>
        <v>English</v>
      </c>
      <c r="G74" s="8" t="str">
        <f>_xlfn.XLOOKUP(A:A,Sheet1!A:A,Sheet1!I:I)</f>
        <v>Web Development</v>
      </c>
      <c r="H74" s="8">
        <f>_xlfn.XLOOKUP(A:A,Sheet1!A:A,Sheet1!K:K)</f>
        <v>9</v>
      </c>
      <c r="I74" s="9">
        <f>_xlfn.XLOOKUP(A:A,Sheet1!A:A,Sheet1!M:M)</f>
        <v>100</v>
      </c>
      <c r="J74" s="10">
        <f>_xlfn.XLOOKUP(A:A,Sheet1!A:A,Sheet1!O:O)</f>
        <v>4.5</v>
      </c>
      <c r="K74" t="str">
        <f>_xlfn.XLOOKUP(A:A,Sheet1!A:A,Sheet1!P:P)</f>
        <v>Yes</v>
      </c>
      <c r="L74" s="12">
        <f>_xlfn.XLOOKUP(A:A,Sheet1!A:A,Sheet1!S:S)</f>
        <v>0.69</v>
      </c>
    </row>
    <row r="75" spans="1:12" x14ac:dyDescent="0.35">
      <c r="A75" s="8" t="s">
        <v>201</v>
      </c>
      <c r="B75" s="2" t="str">
        <f>_xlfn.XLOOKUP(A75,Sheet1!A:A,Sheet1!B:B)</f>
        <v>Jorge Riley</v>
      </c>
      <c r="C75" s="2" t="str">
        <f>_xlfn.XLOOKUP(A:A,Sheet1!A:A,Sheet1!D:D)</f>
        <v>Male</v>
      </c>
      <c r="D75" s="8">
        <f>_xlfn.XLOOKUP(A:A,Sheet1!A:A,Sheet1!F:F)</f>
        <v>59</v>
      </c>
      <c r="E75" s="2" t="str">
        <f>_xlfn.XLOOKUP(A:A,Sheet1!A:A,Sheet1!G:G)</f>
        <v>Australia</v>
      </c>
      <c r="F75" s="8" t="str">
        <f>_xlfn.XLOOKUP(A:A,Sheet1!A:A,Sheet1!H:H)</f>
        <v>English</v>
      </c>
      <c r="G75" s="8" t="str">
        <f>_xlfn.XLOOKUP(A:A,Sheet1!A:A,Sheet1!I:I)</f>
        <v>Blockchain Development</v>
      </c>
      <c r="H75" s="8">
        <f>_xlfn.XLOOKUP(A:A,Sheet1!A:A,Sheet1!K:K)</f>
        <v>4</v>
      </c>
      <c r="I75" s="9">
        <f>_xlfn.XLOOKUP(A:A,Sheet1!A:A,Sheet1!M:M)</f>
        <v>40</v>
      </c>
      <c r="J75" s="10">
        <f>_xlfn.XLOOKUP(A:A,Sheet1!A:A,Sheet1!O:O)</f>
        <v>1.9</v>
      </c>
      <c r="K75" t="str">
        <f>_xlfn.XLOOKUP(A:A,Sheet1!A:A,Sheet1!P:P)</f>
        <v>No</v>
      </c>
      <c r="L75" s="12">
        <f>_xlfn.XLOOKUP(A:A,Sheet1!A:A,Sheet1!S:S)</f>
        <v>0.88</v>
      </c>
    </row>
    <row r="76" spans="1:12" x14ac:dyDescent="0.35">
      <c r="A76" s="8" t="s">
        <v>203</v>
      </c>
      <c r="B76" s="2" t="str">
        <f>_xlfn.XLOOKUP(A76,Sheet1!A:A,Sheet1!B:B)</f>
        <v>Melvin Harris</v>
      </c>
      <c r="C76" s="2" t="str">
        <f>_xlfn.XLOOKUP(A:A,Sheet1!A:A,Sheet1!D:D)</f>
        <v>Male</v>
      </c>
      <c r="D76" s="8">
        <f>_xlfn.XLOOKUP(A:A,Sheet1!A:A,Sheet1!F:F)</f>
        <v>36</v>
      </c>
      <c r="E76" s="2" t="str">
        <f>_xlfn.XLOOKUP(A:A,Sheet1!A:A,Sheet1!G:G)</f>
        <v>Italy</v>
      </c>
      <c r="F76" s="8" t="str">
        <f>_xlfn.XLOOKUP(A:A,Sheet1!A:A,Sheet1!H:H)</f>
        <v>Italian</v>
      </c>
      <c r="G76" s="8" t="str">
        <f>_xlfn.XLOOKUP(A:A,Sheet1!A:A,Sheet1!I:I)</f>
        <v>Machine Learning</v>
      </c>
      <c r="H76" s="8">
        <f>_xlfn.XLOOKUP(A:A,Sheet1!A:A,Sheet1!K:K)</f>
        <v>14</v>
      </c>
      <c r="I76" s="9">
        <f>_xlfn.XLOOKUP(A:A,Sheet1!A:A,Sheet1!M:M)</f>
        <v>100</v>
      </c>
      <c r="J76" s="10">
        <f>_xlfn.XLOOKUP(A:A,Sheet1!A:A,Sheet1!O:O)</f>
        <v>3.7</v>
      </c>
      <c r="K76" t="str">
        <f>_xlfn.XLOOKUP(A:A,Sheet1!A:A,Sheet1!P:P)</f>
        <v>No</v>
      </c>
      <c r="L76" s="12">
        <f>_xlfn.XLOOKUP(A:A,Sheet1!A:A,Sheet1!S:S)</f>
        <v>0.79269417475728277</v>
      </c>
    </row>
    <row r="77" spans="1:12" x14ac:dyDescent="0.35">
      <c r="A77" s="8" t="s">
        <v>205</v>
      </c>
      <c r="B77" s="2" t="str">
        <f>_xlfn.XLOOKUP(A77,Sheet1!A:A,Sheet1!B:B)</f>
        <v>Jeremy Meyer</v>
      </c>
      <c r="C77" s="2" t="str">
        <f>_xlfn.XLOOKUP(A:A,Sheet1!A:A,Sheet1!D:D)</f>
        <v>Male</v>
      </c>
      <c r="D77" s="8">
        <f>_xlfn.XLOOKUP(A:A,Sheet1!A:A,Sheet1!F:F)</f>
        <v>32</v>
      </c>
      <c r="E77" s="2" t="str">
        <f>_xlfn.XLOOKUP(A:A,Sheet1!A:A,Sheet1!G:G)</f>
        <v>India</v>
      </c>
      <c r="F77" s="8" t="str">
        <f>_xlfn.XLOOKUP(A:A,Sheet1!A:A,Sheet1!H:H)</f>
        <v>Hindi</v>
      </c>
      <c r="G77" s="8" t="str">
        <f>_xlfn.XLOOKUP(A:A,Sheet1!A:A,Sheet1!I:I)</f>
        <v>Data Analysis</v>
      </c>
      <c r="H77" s="8">
        <f>_xlfn.XLOOKUP(A:A,Sheet1!A:A,Sheet1!K:K)</f>
        <v>9</v>
      </c>
      <c r="I77" s="9">
        <f>_xlfn.XLOOKUP(A:A,Sheet1!A:A,Sheet1!M:M)</f>
        <v>30</v>
      </c>
      <c r="J77" s="10">
        <f>_xlfn.XLOOKUP(A:A,Sheet1!A:A,Sheet1!O:O)</f>
        <v>1.9</v>
      </c>
      <c r="K77" t="str">
        <f>_xlfn.XLOOKUP(A:A,Sheet1!A:A,Sheet1!P:P)</f>
        <v>Yes</v>
      </c>
      <c r="L77" s="12">
        <f>_xlfn.XLOOKUP(A:A,Sheet1!A:A,Sheet1!S:S)</f>
        <v>0.96</v>
      </c>
    </row>
    <row r="78" spans="1:12" x14ac:dyDescent="0.35">
      <c r="A78" s="8" t="s">
        <v>207</v>
      </c>
      <c r="B78" s="2" t="str">
        <f>_xlfn.XLOOKUP(A78,Sheet1!A:A,Sheet1!B:B)</f>
        <v>Timothy Lee</v>
      </c>
      <c r="C78" s="2" t="str">
        <f>_xlfn.XLOOKUP(A:A,Sheet1!A:A,Sheet1!D:D)</f>
        <v>Male</v>
      </c>
      <c r="D78" s="8">
        <f>_xlfn.XLOOKUP(A:A,Sheet1!A:A,Sheet1!F:F)</f>
        <v>59</v>
      </c>
      <c r="E78" s="2" t="str">
        <f>_xlfn.XLOOKUP(A:A,Sheet1!A:A,Sheet1!G:G)</f>
        <v>Australia</v>
      </c>
      <c r="F78" s="8" t="str">
        <f>_xlfn.XLOOKUP(A:A,Sheet1!A:A,Sheet1!H:H)</f>
        <v>English</v>
      </c>
      <c r="G78" s="8" t="str">
        <f>_xlfn.XLOOKUP(A:A,Sheet1!A:A,Sheet1!I:I)</f>
        <v>AI</v>
      </c>
      <c r="H78" s="8">
        <f>_xlfn.XLOOKUP(A:A,Sheet1!A:A,Sheet1!K:K)</f>
        <v>9</v>
      </c>
      <c r="I78" s="9">
        <f>_xlfn.XLOOKUP(A:A,Sheet1!A:A,Sheet1!M:M)</f>
        <v>75</v>
      </c>
      <c r="J78" s="10">
        <f>_xlfn.XLOOKUP(A:A,Sheet1!A:A,Sheet1!O:O)</f>
        <v>4</v>
      </c>
      <c r="K78" t="str">
        <f>_xlfn.XLOOKUP(A:A,Sheet1!A:A,Sheet1!P:P)</f>
        <v>Yes</v>
      </c>
      <c r="L78" s="12">
        <f>_xlfn.XLOOKUP(A:A,Sheet1!A:A,Sheet1!S:S)</f>
        <v>0.96</v>
      </c>
    </row>
    <row r="79" spans="1:12" x14ac:dyDescent="0.35">
      <c r="A79" s="8" t="s">
        <v>209</v>
      </c>
      <c r="B79" s="2" t="str">
        <f>_xlfn.XLOOKUP(A79,Sheet1!A:A,Sheet1!B:B)</f>
        <v>Diana Bautista</v>
      </c>
      <c r="C79" s="2" t="str">
        <f>_xlfn.XLOOKUP(A:A,Sheet1!A:A,Sheet1!D:D)</f>
        <v>Female</v>
      </c>
      <c r="D79" s="8">
        <f>_xlfn.XLOOKUP(A:A,Sheet1!A:A,Sheet1!F:F)</f>
        <v>54</v>
      </c>
      <c r="E79" s="2" t="str">
        <f>_xlfn.XLOOKUP(A:A,Sheet1!A:A,Sheet1!G:G)</f>
        <v>Spain</v>
      </c>
      <c r="F79" s="8" t="str">
        <f>_xlfn.XLOOKUP(A:A,Sheet1!A:A,Sheet1!H:H)</f>
        <v>Spanish</v>
      </c>
      <c r="G79" s="8" t="str">
        <f>_xlfn.XLOOKUP(A:A,Sheet1!A:A,Sheet1!I:I)</f>
        <v>DevOps</v>
      </c>
      <c r="H79" s="8">
        <f>_xlfn.XLOOKUP(A:A,Sheet1!A:A,Sheet1!K:K)</f>
        <v>32</v>
      </c>
      <c r="I79" s="9">
        <f>_xlfn.XLOOKUP(A:A,Sheet1!A:A,Sheet1!M:M)</f>
        <v>40</v>
      </c>
      <c r="J79" s="10">
        <f>_xlfn.XLOOKUP(A:A,Sheet1!A:A,Sheet1!O:O)</f>
        <v>1.8</v>
      </c>
      <c r="K79" t="str">
        <f>_xlfn.XLOOKUP(A:A,Sheet1!A:A,Sheet1!P:P)</f>
        <v>No</v>
      </c>
      <c r="L79" s="12">
        <f>_xlfn.XLOOKUP(A:A,Sheet1!A:A,Sheet1!S:S)</f>
        <v>0.79269417475728277</v>
      </c>
    </row>
    <row r="80" spans="1:12" x14ac:dyDescent="0.35">
      <c r="A80" s="8" t="s">
        <v>211</v>
      </c>
      <c r="B80" s="2" t="str">
        <f>_xlfn.XLOOKUP(A80,Sheet1!A:A,Sheet1!B:B)</f>
        <v>Leslie Rodriguez</v>
      </c>
      <c r="C80" s="2" t="str">
        <f>_xlfn.XLOOKUP(A:A,Sheet1!A:A,Sheet1!D:D)</f>
        <v>Female</v>
      </c>
      <c r="D80" s="8">
        <f>_xlfn.XLOOKUP(A:A,Sheet1!A:A,Sheet1!F:F)</f>
        <v>37</v>
      </c>
      <c r="E80" s="2" t="str">
        <f>_xlfn.XLOOKUP(A:A,Sheet1!A:A,Sheet1!G:G)</f>
        <v>Canada</v>
      </c>
      <c r="F80" s="8" t="str">
        <f>_xlfn.XLOOKUP(A:A,Sheet1!A:A,Sheet1!H:H)</f>
        <v>English</v>
      </c>
      <c r="G80" s="8" t="str">
        <f>_xlfn.XLOOKUP(A:A,Sheet1!A:A,Sheet1!I:I)</f>
        <v>Graphic Design</v>
      </c>
      <c r="H80" s="8">
        <f>_xlfn.XLOOKUP(A:A,Sheet1!A:A,Sheet1!K:K)</f>
        <v>9</v>
      </c>
      <c r="I80" s="9">
        <f>_xlfn.XLOOKUP(A:A,Sheet1!A:A,Sheet1!M:M)</f>
        <v>40</v>
      </c>
      <c r="J80" s="11">
        <v>0</v>
      </c>
      <c r="K80" t="str">
        <f>_xlfn.XLOOKUP(A:A,Sheet1!A:A,Sheet1!P:P)</f>
        <v>Yes</v>
      </c>
      <c r="L80" s="12">
        <f>_xlfn.XLOOKUP(A:A,Sheet1!A:A,Sheet1!S:S)</f>
        <v>0.89</v>
      </c>
    </row>
    <row r="81" spans="1:12" x14ac:dyDescent="0.35">
      <c r="A81" s="8" t="s">
        <v>213</v>
      </c>
      <c r="B81" s="2" t="str">
        <f>_xlfn.XLOOKUP(A81,Sheet1!A:A,Sheet1!B:B)</f>
        <v>Noah Wiggins</v>
      </c>
      <c r="C81" s="2" t="str">
        <f>_xlfn.XLOOKUP(A:A,Sheet1!A:A,Sheet1!D:D)</f>
        <v>Male</v>
      </c>
      <c r="D81" s="8">
        <f>_xlfn.XLOOKUP(A:A,Sheet1!A:A,Sheet1!F:F)</f>
        <v>54</v>
      </c>
      <c r="E81" s="2" t="str">
        <f>_xlfn.XLOOKUP(A:A,Sheet1!A:A,Sheet1!G:G)</f>
        <v>India</v>
      </c>
      <c r="F81" s="8" t="str">
        <f>_xlfn.XLOOKUP(A:A,Sheet1!A:A,Sheet1!H:H)</f>
        <v>Hindi</v>
      </c>
      <c r="G81" s="8" t="str">
        <f>_xlfn.XLOOKUP(A:A,Sheet1!A:A,Sheet1!I:I)</f>
        <v>Machine Learning</v>
      </c>
      <c r="H81" s="8">
        <f>_xlfn.XLOOKUP(A:A,Sheet1!A:A,Sheet1!K:K)</f>
        <v>21</v>
      </c>
      <c r="I81" s="9">
        <f>_xlfn.XLOOKUP(A:A,Sheet1!A:A,Sheet1!M:M)</f>
        <v>100</v>
      </c>
      <c r="J81" s="10">
        <f>_xlfn.XLOOKUP(A:A,Sheet1!A:A,Sheet1!O:O)</f>
        <v>4.5999999999999996</v>
      </c>
      <c r="K81" t="str">
        <f>_xlfn.XLOOKUP(A:A,Sheet1!A:A,Sheet1!P:P)</f>
        <v>No</v>
      </c>
      <c r="L81" s="12">
        <f>_xlfn.XLOOKUP(A:A,Sheet1!A:A,Sheet1!S:S)</f>
        <v>0.79269417475728277</v>
      </c>
    </row>
    <row r="82" spans="1:12" x14ac:dyDescent="0.35">
      <c r="A82" s="8" t="s">
        <v>215</v>
      </c>
      <c r="B82" s="2" t="str">
        <f>_xlfn.XLOOKUP(A82,Sheet1!A:A,Sheet1!B:B)</f>
        <v>Bridget Williams</v>
      </c>
      <c r="C82" s="2" t="str">
        <f>_xlfn.XLOOKUP(A:A,Sheet1!A:A,Sheet1!D:D)</f>
        <v>Female</v>
      </c>
      <c r="D82" s="8">
        <f>_xlfn.XLOOKUP(A:A,Sheet1!A:A,Sheet1!F:F)</f>
        <v>33</v>
      </c>
      <c r="E82" s="2" t="str">
        <f>_xlfn.XLOOKUP(A:A,Sheet1!A:A,Sheet1!G:G)</f>
        <v>Argentina</v>
      </c>
      <c r="F82" s="8" t="str">
        <f>_xlfn.XLOOKUP(A:A,Sheet1!A:A,Sheet1!H:H)</f>
        <v>Spanish</v>
      </c>
      <c r="G82" s="8" t="str">
        <f>_xlfn.XLOOKUP(A:A,Sheet1!A:A,Sheet1!I:I)</f>
        <v>UI/UX Design</v>
      </c>
      <c r="H82" s="8">
        <f>_xlfn.XLOOKUP(A:A,Sheet1!A:A,Sheet1!K:K)</f>
        <v>12</v>
      </c>
      <c r="I82" s="9">
        <f>_xlfn.XLOOKUP(A:A,Sheet1!A:A,Sheet1!M:M)</f>
        <v>100</v>
      </c>
      <c r="J82" s="10">
        <f>_xlfn.XLOOKUP(A:A,Sheet1!A:A,Sheet1!O:O)</f>
        <v>3.6</v>
      </c>
      <c r="K82" t="str">
        <f>_xlfn.XLOOKUP(A:A,Sheet1!A:A,Sheet1!P:P)</f>
        <v>No</v>
      </c>
      <c r="L82" s="12">
        <f>_xlfn.XLOOKUP(A:A,Sheet1!A:A,Sheet1!S:S)</f>
        <v>0.63</v>
      </c>
    </row>
    <row r="83" spans="1:12" x14ac:dyDescent="0.35">
      <c r="A83" s="8" t="s">
        <v>217</v>
      </c>
      <c r="B83" s="2" t="str">
        <f>_xlfn.XLOOKUP(A83,Sheet1!A:A,Sheet1!B:B)</f>
        <v>Veronica Baker</v>
      </c>
      <c r="C83" s="2" t="str">
        <f>_xlfn.XLOOKUP(A:A,Sheet1!A:A,Sheet1!D:D)</f>
        <v>Female</v>
      </c>
      <c r="D83" s="8">
        <f>_xlfn.XLOOKUP(A:A,Sheet1!A:A,Sheet1!F:F)</f>
        <v>25</v>
      </c>
      <c r="E83" s="2" t="str">
        <f>_xlfn.XLOOKUP(A:A,Sheet1!A:A,Sheet1!G:G)</f>
        <v>Egypt</v>
      </c>
      <c r="F83" s="8" t="str">
        <f>_xlfn.XLOOKUP(A:A,Sheet1!A:A,Sheet1!H:H)</f>
        <v>Arabic</v>
      </c>
      <c r="G83" s="8" t="str">
        <f>_xlfn.XLOOKUP(A:A,Sheet1!A:A,Sheet1!I:I)</f>
        <v>Web Development</v>
      </c>
      <c r="H83" s="8">
        <f>_xlfn.XLOOKUP(A:A,Sheet1!A:A,Sheet1!K:K)</f>
        <v>7</v>
      </c>
      <c r="I83" s="9">
        <f>_xlfn.XLOOKUP(A:A,Sheet1!A:A,Sheet1!M:M)</f>
        <v>40</v>
      </c>
      <c r="J83" s="10">
        <f>_xlfn.XLOOKUP(A:A,Sheet1!A:A,Sheet1!O:O)</f>
        <v>4.4000000000000004</v>
      </c>
      <c r="K83" t="str">
        <f>_xlfn.XLOOKUP(A:A,Sheet1!A:A,Sheet1!P:P)</f>
        <v>No</v>
      </c>
      <c r="L83" s="12">
        <f>_xlfn.XLOOKUP(A:A,Sheet1!A:A,Sheet1!S:S)</f>
        <v>0.81</v>
      </c>
    </row>
    <row r="84" spans="1:12" x14ac:dyDescent="0.35">
      <c r="A84" s="8" t="s">
        <v>219</v>
      </c>
      <c r="B84" s="2" t="str">
        <f>_xlfn.XLOOKUP(A84,Sheet1!A:A,Sheet1!B:B)</f>
        <v>Andrew Avila</v>
      </c>
      <c r="C84" s="2" t="str">
        <f>_xlfn.XLOOKUP(A:A,Sheet1!A:A,Sheet1!D:D)</f>
        <v>Male</v>
      </c>
      <c r="D84" s="8">
        <f>_xlfn.XLOOKUP(A:A,Sheet1!A:A,Sheet1!F:F)</f>
        <v>41</v>
      </c>
      <c r="E84" s="2" t="str">
        <f>_xlfn.XLOOKUP(A:A,Sheet1!A:A,Sheet1!G:G)</f>
        <v>China</v>
      </c>
      <c r="F84" s="8" t="str">
        <f>_xlfn.XLOOKUP(A:A,Sheet1!A:A,Sheet1!H:H)</f>
        <v>Mandarin</v>
      </c>
      <c r="G84" s="8" t="str">
        <f>_xlfn.XLOOKUP(A:A,Sheet1!A:A,Sheet1!I:I)</f>
        <v>DevOps</v>
      </c>
      <c r="H84" s="8">
        <f>_xlfn.XLOOKUP(A:A,Sheet1!A:A,Sheet1!K:K)</f>
        <v>3</v>
      </c>
      <c r="I84" s="9">
        <f>_xlfn.XLOOKUP(A:A,Sheet1!A:A,Sheet1!M:M)</f>
        <v>40</v>
      </c>
      <c r="J84" s="10">
        <f>_xlfn.XLOOKUP(A:A,Sheet1!A:A,Sheet1!O:O)</f>
        <v>4.5999999999999996</v>
      </c>
      <c r="K84" t="str">
        <f>_xlfn.XLOOKUP(A:A,Sheet1!A:A,Sheet1!P:P)</f>
        <v>No</v>
      </c>
      <c r="L84" s="12">
        <f>_xlfn.XLOOKUP(A:A,Sheet1!A:A,Sheet1!S:S)</f>
        <v>0.74</v>
      </c>
    </row>
    <row r="85" spans="1:12" x14ac:dyDescent="0.35">
      <c r="A85" s="8" t="s">
        <v>221</v>
      </c>
      <c r="B85" s="2" t="str">
        <f>_xlfn.XLOOKUP(A85,Sheet1!A:A,Sheet1!B:B)</f>
        <v>Michael Roberson</v>
      </c>
      <c r="C85" s="2" t="str">
        <f>_xlfn.XLOOKUP(A:A,Sheet1!A:A,Sheet1!D:D)</f>
        <v>Male</v>
      </c>
      <c r="D85" s="8">
        <f>_xlfn.XLOOKUP(A:A,Sheet1!A:A,Sheet1!F:F)</f>
        <v>35</v>
      </c>
      <c r="E85" s="2" t="str">
        <f>_xlfn.XLOOKUP(A:A,Sheet1!A:A,Sheet1!G:G)</f>
        <v>South Korea</v>
      </c>
      <c r="F85" s="8" t="str">
        <f>_xlfn.XLOOKUP(A:A,Sheet1!A:A,Sheet1!H:H)</f>
        <v>Korean</v>
      </c>
      <c r="G85" s="8" t="str">
        <f>_xlfn.XLOOKUP(A:A,Sheet1!A:A,Sheet1!I:I)</f>
        <v>Web Development</v>
      </c>
      <c r="H85" s="8">
        <f>_xlfn.XLOOKUP(A:A,Sheet1!A:A,Sheet1!K:K)</f>
        <v>5</v>
      </c>
      <c r="I85" s="9">
        <f>_xlfn.XLOOKUP(A:A,Sheet1!A:A,Sheet1!M:M)</f>
        <v>75</v>
      </c>
      <c r="J85" s="10">
        <f>_xlfn.XLOOKUP(A:A,Sheet1!A:A,Sheet1!O:O)</f>
        <v>3.2</v>
      </c>
      <c r="K85" t="str">
        <f>_xlfn.XLOOKUP(A:A,Sheet1!A:A,Sheet1!P:P)</f>
        <v>No</v>
      </c>
      <c r="L85" s="12">
        <f>_xlfn.XLOOKUP(A:A,Sheet1!A:A,Sheet1!S:S)</f>
        <v>0.72</v>
      </c>
    </row>
    <row r="86" spans="1:12" x14ac:dyDescent="0.35">
      <c r="A86" s="8" t="s">
        <v>223</v>
      </c>
      <c r="B86" s="2" t="str">
        <f>_xlfn.XLOOKUP(A86,Sheet1!A:A,Sheet1!B:B)</f>
        <v>Austin Jenkins</v>
      </c>
      <c r="C86" s="2" t="str">
        <f>_xlfn.XLOOKUP(A:A,Sheet1!A:A,Sheet1!D:D)</f>
        <v>Male</v>
      </c>
      <c r="D86" s="8">
        <f>_xlfn.XLOOKUP(A:A,Sheet1!A:A,Sheet1!F:F)</f>
        <v>59</v>
      </c>
      <c r="E86" s="2" t="str">
        <f>_xlfn.XLOOKUP(A:A,Sheet1!A:A,Sheet1!G:G)</f>
        <v>South Korea</v>
      </c>
      <c r="F86" s="8" t="str">
        <f>_xlfn.XLOOKUP(A:A,Sheet1!A:A,Sheet1!H:H)</f>
        <v>Korean</v>
      </c>
      <c r="G86" s="8" t="str">
        <f>_xlfn.XLOOKUP(A:A,Sheet1!A:A,Sheet1!I:I)</f>
        <v>AI</v>
      </c>
      <c r="H86" s="8">
        <f>_xlfn.XLOOKUP(A:A,Sheet1!A:A,Sheet1!K:K)</f>
        <v>30</v>
      </c>
      <c r="I86" s="9">
        <f>_xlfn.XLOOKUP(A:A,Sheet1!A:A,Sheet1!M:M)</f>
        <v>40</v>
      </c>
      <c r="J86" s="11">
        <v>0</v>
      </c>
      <c r="K86" t="str">
        <f>_xlfn.XLOOKUP(A:A,Sheet1!A:A,Sheet1!P:P)</f>
        <v>Yes</v>
      </c>
      <c r="L86" s="12">
        <f>_xlfn.XLOOKUP(A:A,Sheet1!A:A,Sheet1!S:S)</f>
        <v>0.79269417475728277</v>
      </c>
    </row>
    <row r="87" spans="1:12" x14ac:dyDescent="0.35">
      <c r="A87" s="8" t="s">
        <v>225</v>
      </c>
      <c r="B87" s="2" t="str">
        <f>_xlfn.XLOOKUP(A87,Sheet1!A:A,Sheet1!B:B)</f>
        <v>Brenda Green</v>
      </c>
      <c r="C87" s="2" t="str">
        <f>_xlfn.XLOOKUP(A:A,Sheet1!A:A,Sheet1!D:D)</f>
        <v>Female</v>
      </c>
      <c r="D87" s="8">
        <f>_xlfn.XLOOKUP(A:A,Sheet1!A:A,Sheet1!F:F)</f>
        <v>21</v>
      </c>
      <c r="E87" s="2" t="str">
        <f>_xlfn.XLOOKUP(A:A,Sheet1!A:A,Sheet1!G:G)</f>
        <v>China</v>
      </c>
      <c r="F87" s="8" t="str">
        <f>_xlfn.XLOOKUP(A:A,Sheet1!A:A,Sheet1!H:H)</f>
        <v>Mandarin</v>
      </c>
      <c r="G87" s="8" t="str">
        <f>_xlfn.XLOOKUP(A:A,Sheet1!A:A,Sheet1!I:I)</f>
        <v>DevOps</v>
      </c>
      <c r="H87" s="8">
        <f>_xlfn.XLOOKUP(A:A,Sheet1!A:A,Sheet1!K:K)</f>
        <v>2</v>
      </c>
      <c r="I87" s="9">
        <f>_xlfn.XLOOKUP(A:A,Sheet1!A:A,Sheet1!M:M)</f>
        <v>100</v>
      </c>
      <c r="J87" s="10">
        <f>_xlfn.XLOOKUP(A:A,Sheet1!A:A,Sheet1!O:O)</f>
        <v>2.6</v>
      </c>
      <c r="K87" t="str">
        <f>_xlfn.XLOOKUP(A:A,Sheet1!A:A,Sheet1!P:P)</f>
        <v>Yes</v>
      </c>
      <c r="L87" s="12">
        <f>_xlfn.XLOOKUP(A:A,Sheet1!A:A,Sheet1!S:S)</f>
        <v>0.85</v>
      </c>
    </row>
    <row r="88" spans="1:12" x14ac:dyDescent="0.35">
      <c r="A88" s="8" t="s">
        <v>227</v>
      </c>
      <c r="B88" s="2" t="str">
        <f>_xlfn.XLOOKUP(A88,Sheet1!A:A,Sheet1!B:B)</f>
        <v>Samuel Pierce</v>
      </c>
      <c r="C88" s="2" t="str">
        <f>_xlfn.XLOOKUP(A:A,Sheet1!A:A,Sheet1!D:D)</f>
        <v>Male</v>
      </c>
      <c r="D88" s="8">
        <f>_xlfn.XLOOKUP(A:A,Sheet1!A:A,Sheet1!F:F)</f>
        <v>25</v>
      </c>
      <c r="E88" s="2" t="str">
        <f>_xlfn.XLOOKUP(A:A,Sheet1!A:A,Sheet1!G:G)</f>
        <v>United States</v>
      </c>
      <c r="F88" s="8" t="str">
        <f>_xlfn.XLOOKUP(A:A,Sheet1!A:A,Sheet1!H:H)</f>
        <v>English</v>
      </c>
      <c r="G88" s="8" t="str">
        <f>_xlfn.XLOOKUP(A:A,Sheet1!A:A,Sheet1!I:I)</f>
        <v>Mobile Apps</v>
      </c>
      <c r="H88" s="8">
        <f>_xlfn.XLOOKUP(A:A,Sheet1!A:A,Sheet1!K:K)</f>
        <v>2</v>
      </c>
      <c r="I88" s="9">
        <f>_xlfn.XLOOKUP(A:A,Sheet1!A:A,Sheet1!M:M)</f>
        <v>75</v>
      </c>
      <c r="J88" s="10">
        <f>_xlfn.XLOOKUP(A:A,Sheet1!A:A,Sheet1!O:O)</f>
        <v>3.7</v>
      </c>
      <c r="K88" t="str">
        <f>_xlfn.XLOOKUP(A:A,Sheet1!A:A,Sheet1!P:P)</f>
        <v>No</v>
      </c>
      <c r="L88" s="12">
        <f>_xlfn.XLOOKUP(A:A,Sheet1!A:A,Sheet1!S:S)</f>
        <v>0.79269417475728277</v>
      </c>
    </row>
    <row r="89" spans="1:12" x14ac:dyDescent="0.35">
      <c r="A89" s="8" t="s">
        <v>229</v>
      </c>
      <c r="B89" s="2" t="str">
        <f>_xlfn.XLOOKUP(A89,Sheet1!A:A,Sheet1!B:B)</f>
        <v>Briana Smith</v>
      </c>
      <c r="C89" s="2" t="str">
        <f>_xlfn.XLOOKUP(A:A,Sheet1!A:A,Sheet1!D:D)</f>
        <v>Female</v>
      </c>
      <c r="D89" s="8">
        <f>_xlfn.XLOOKUP(A:A,Sheet1!A:A,Sheet1!F:F)</f>
        <v>38</v>
      </c>
      <c r="E89" s="2" t="str">
        <f>_xlfn.XLOOKUP(A:A,Sheet1!A:A,Sheet1!G:G)</f>
        <v>Mexico</v>
      </c>
      <c r="F89" s="8" t="str">
        <f>_xlfn.XLOOKUP(A:A,Sheet1!A:A,Sheet1!H:H)</f>
        <v>Spanish</v>
      </c>
      <c r="G89" s="8" t="str">
        <f>_xlfn.XLOOKUP(A:A,Sheet1!A:A,Sheet1!I:I)</f>
        <v>Web Development</v>
      </c>
      <c r="H89" s="8">
        <f>_xlfn.XLOOKUP(A:A,Sheet1!A:A,Sheet1!K:K)</f>
        <v>19</v>
      </c>
      <c r="I89" s="9">
        <f>_xlfn.XLOOKUP(A:A,Sheet1!A:A,Sheet1!M:M)</f>
        <v>75</v>
      </c>
      <c r="J89" s="10">
        <f>_xlfn.XLOOKUP(A:A,Sheet1!A:A,Sheet1!O:O)</f>
        <v>2.2999999999999998</v>
      </c>
      <c r="K89" t="str">
        <f>_xlfn.XLOOKUP(A:A,Sheet1!A:A,Sheet1!P:P)</f>
        <v>No</v>
      </c>
      <c r="L89" s="12">
        <f>_xlfn.XLOOKUP(A:A,Sheet1!A:A,Sheet1!S:S)</f>
        <v>0.61</v>
      </c>
    </row>
    <row r="90" spans="1:12" x14ac:dyDescent="0.35">
      <c r="A90" s="8" t="s">
        <v>231</v>
      </c>
      <c r="B90" s="2" t="str">
        <f>_xlfn.XLOOKUP(A90,Sheet1!A:A,Sheet1!B:B)</f>
        <v>Ronald Barrett</v>
      </c>
      <c r="C90" s="2" t="str">
        <f>_xlfn.XLOOKUP(A:A,Sheet1!A:A,Sheet1!D:D)</f>
        <v>Male</v>
      </c>
      <c r="D90" s="8">
        <f>_xlfn.XLOOKUP(A:A,Sheet1!A:A,Sheet1!F:F)</f>
        <v>57</v>
      </c>
      <c r="E90" s="2" t="str">
        <f>_xlfn.XLOOKUP(A:A,Sheet1!A:A,Sheet1!G:G)</f>
        <v>Russia</v>
      </c>
      <c r="F90" s="8" t="str">
        <f>_xlfn.XLOOKUP(A:A,Sheet1!A:A,Sheet1!H:H)</f>
        <v>Russian</v>
      </c>
      <c r="G90" s="8" t="str">
        <f>_xlfn.XLOOKUP(A:A,Sheet1!A:A,Sheet1!I:I)</f>
        <v>AI</v>
      </c>
      <c r="H90" s="8">
        <f>_xlfn.XLOOKUP(A:A,Sheet1!A:A,Sheet1!K:K)</f>
        <v>16</v>
      </c>
      <c r="I90" s="9">
        <f>_xlfn.XLOOKUP(A:A,Sheet1!A:A,Sheet1!M:M)</f>
        <v>100</v>
      </c>
      <c r="J90" s="10">
        <f>_xlfn.XLOOKUP(A:A,Sheet1!A:A,Sheet1!O:O)</f>
        <v>3.1</v>
      </c>
      <c r="K90" t="str">
        <f>_xlfn.XLOOKUP(A:A,Sheet1!A:A,Sheet1!P:P)</f>
        <v>No</v>
      </c>
      <c r="L90" s="12">
        <f>_xlfn.XLOOKUP(A:A,Sheet1!A:A,Sheet1!S:S)</f>
        <v>0.79269417475728277</v>
      </c>
    </row>
    <row r="91" spans="1:12" x14ac:dyDescent="0.35">
      <c r="A91" s="8" t="s">
        <v>233</v>
      </c>
      <c r="B91" s="2" t="str">
        <f>_xlfn.XLOOKUP(A91,Sheet1!A:A,Sheet1!B:B)</f>
        <v>Matthew Smith</v>
      </c>
      <c r="C91" s="2" t="str">
        <f>_xlfn.XLOOKUP(A:A,Sheet1!A:A,Sheet1!D:D)</f>
        <v>Male</v>
      </c>
      <c r="D91" s="8">
        <f>_xlfn.XLOOKUP(A:A,Sheet1!A:A,Sheet1!F:F)</f>
        <v>32</v>
      </c>
      <c r="E91" s="2" t="str">
        <f>_xlfn.XLOOKUP(A:A,Sheet1!A:A,Sheet1!G:G)</f>
        <v>India</v>
      </c>
      <c r="F91" s="8" t="str">
        <f>_xlfn.XLOOKUP(A:A,Sheet1!A:A,Sheet1!H:H)</f>
        <v>Hindi</v>
      </c>
      <c r="G91" s="8" t="str">
        <f>_xlfn.XLOOKUP(A:A,Sheet1!A:A,Sheet1!I:I)</f>
        <v>Mobile Apps</v>
      </c>
      <c r="H91" s="8">
        <f>_xlfn.XLOOKUP(A:A,Sheet1!A:A,Sheet1!K:K)</f>
        <v>10</v>
      </c>
      <c r="I91" s="9">
        <f>_xlfn.XLOOKUP(A:A,Sheet1!A:A,Sheet1!M:M)</f>
        <v>20</v>
      </c>
      <c r="J91" s="10">
        <f>_xlfn.XLOOKUP(A:A,Sheet1!A:A,Sheet1!O:O)</f>
        <v>2.4</v>
      </c>
      <c r="K91" t="str">
        <f>_xlfn.XLOOKUP(A:A,Sheet1!A:A,Sheet1!P:P)</f>
        <v>No</v>
      </c>
      <c r="L91" s="12">
        <f>_xlfn.XLOOKUP(A:A,Sheet1!A:A,Sheet1!S:S)</f>
        <v>0.86</v>
      </c>
    </row>
    <row r="92" spans="1:12" x14ac:dyDescent="0.35">
      <c r="A92" s="8" t="s">
        <v>235</v>
      </c>
      <c r="B92" s="2" t="str">
        <f>_xlfn.XLOOKUP(A92,Sheet1!A:A,Sheet1!B:B)</f>
        <v>Logan Huang</v>
      </c>
      <c r="C92" s="2" t="str">
        <f>_xlfn.XLOOKUP(A:A,Sheet1!A:A,Sheet1!D:D)</f>
        <v>Male</v>
      </c>
      <c r="D92" s="8">
        <f>_xlfn.XLOOKUP(A:A,Sheet1!A:A,Sheet1!F:F)</f>
        <v>21</v>
      </c>
      <c r="E92" s="2" t="str">
        <f>_xlfn.XLOOKUP(A:A,Sheet1!A:A,Sheet1!G:G)</f>
        <v>Italy</v>
      </c>
      <c r="F92" s="8" t="str">
        <f>_xlfn.XLOOKUP(A:A,Sheet1!A:A,Sheet1!H:H)</f>
        <v>Italian</v>
      </c>
      <c r="G92" s="8" t="str">
        <f>_xlfn.XLOOKUP(A:A,Sheet1!A:A,Sheet1!I:I)</f>
        <v>DevOps</v>
      </c>
      <c r="H92" s="8">
        <f>_xlfn.XLOOKUP(A:A,Sheet1!A:A,Sheet1!K:K)</f>
        <v>2</v>
      </c>
      <c r="I92" s="9">
        <f>_xlfn.XLOOKUP(A:A,Sheet1!A:A,Sheet1!M:M)</f>
        <v>100</v>
      </c>
      <c r="J92" s="10">
        <f>_xlfn.XLOOKUP(A:A,Sheet1!A:A,Sheet1!O:O)</f>
        <v>1.6</v>
      </c>
      <c r="K92" t="str">
        <f>_xlfn.XLOOKUP(A:A,Sheet1!A:A,Sheet1!P:P)</f>
        <v>Yes</v>
      </c>
      <c r="L92" s="12">
        <f>_xlfn.XLOOKUP(A:A,Sheet1!A:A,Sheet1!S:S)</f>
        <v>0.97</v>
      </c>
    </row>
    <row r="93" spans="1:12" x14ac:dyDescent="0.35">
      <c r="A93" s="8" t="s">
        <v>237</v>
      </c>
      <c r="B93" s="2" t="str">
        <f>_xlfn.XLOOKUP(A93,Sheet1!A:A,Sheet1!B:B)</f>
        <v>Miranda Hutchinson</v>
      </c>
      <c r="C93" s="2" t="str">
        <f>_xlfn.XLOOKUP(A:A,Sheet1!A:A,Sheet1!D:D)</f>
        <v>Female</v>
      </c>
      <c r="D93" s="8">
        <f>_xlfn.XLOOKUP(A:A,Sheet1!A:A,Sheet1!F:F)</f>
        <v>57</v>
      </c>
      <c r="E93" s="2" t="str">
        <f>_xlfn.XLOOKUP(A:A,Sheet1!A:A,Sheet1!G:G)</f>
        <v>Canada</v>
      </c>
      <c r="F93" s="8" t="str">
        <f>_xlfn.XLOOKUP(A:A,Sheet1!A:A,Sheet1!H:H)</f>
        <v>English</v>
      </c>
      <c r="G93" s="8" t="str">
        <f>_xlfn.XLOOKUP(A:A,Sheet1!A:A,Sheet1!I:I)</f>
        <v>Cybersecurity</v>
      </c>
      <c r="H93" s="8">
        <f>_xlfn.XLOOKUP(A:A,Sheet1!A:A,Sheet1!K:K)</f>
        <v>18</v>
      </c>
      <c r="I93" s="9">
        <f>_xlfn.XLOOKUP(A:A,Sheet1!A:A,Sheet1!M:M)</f>
        <v>50</v>
      </c>
      <c r="J93" s="10">
        <f>_xlfn.XLOOKUP(A:A,Sheet1!A:A,Sheet1!O:O)</f>
        <v>2.4</v>
      </c>
      <c r="K93" t="str">
        <f>_xlfn.XLOOKUP(A:A,Sheet1!A:A,Sheet1!P:P)</f>
        <v>Yes</v>
      </c>
      <c r="L93" s="12">
        <f>_xlfn.XLOOKUP(A:A,Sheet1!A:A,Sheet1!S:S)</f>
        <v>0.63</v>
      </c>
    </row>
    <row r="94" spans="1:12" x14ac:dyDescent="0.35">
      <c r="A94" s="8" t="s">
        <v>239</v>
      </c>
      <c r="B94" s="2" t="str">
        <f>_xlfn.XLOOKUP(A94,Sheet1!A:A,Sheet1!B:B)</f>
        <v>Paul Richardson</v>
      </c>
      <c r="C94" s="2" t="str">
        <f>_xlfn.XLOOKUP(A:A,Sheet1!A:A,Sheet1!D:D)</f>
        <v>Male</v>
      </c>
      <c r="D94" s="8">
        <f>_xlfn.XLOOKUP(A:A,Sheet1!A:A,Sheet1!F:F)</f>
        <v>53</v>
      </c>
      <c r="E94" s="2" t="str">
        <f>_xlfn.XLOOKUP(A:A,Sheet1!A:A,Sheet1!G:G)</f>
        <v>China</v>
      </c>
      <c r="F94" s="8" t="str">
        <f>_xlfn.XLOOKUP(A:A,Sheet1!A:A,Sheet1!H:H)</f>
        <v>Mandarin</v>
      </c>
      <c r="G94" s="8" t="str">
        <f>_xlfn.XLOOKUP(A:A,Sheet1!A:A,Sheet1!I:I)</f>
        <v>UI/UX Design</v>
      </c>
      <c r="H94" s="8">
        <f>_xlfn.XLOOKUP(A:A,Sheet1!A:A,Sheet1!K:K)</f>
        <v>21</v>
      </c>
      <c r="I94" s="9">
        <f>_xlfn.XLOOKUP(A:A,Sheet1!A:A,Sheet1!M:M)</f>
        <v>100</v>
      </c>
      <c r="J94" s="10">
        <f>_xlfn.XLOOKUP(A:A,Sheet1!A:A,Sheet1!O:O)</f>
        <v>2.5125695216907653</v>
      </c>
      <c r="K94" t="str">
        <f>_xlfn.XLOOKUP(A:A,Sheet1!A:A,Sheet1!P:P)</f>
        <v>Yes</v>
      </c>
      <c r="L94" s="12">
        <f>_xlfn.XLOOKUP(A:A,Sheet1!A:A,Sheet1!S:S)</f>
        <v>0.97</v>
      </c>
    </row>
    <row r="95" spans="1:12" x14ac:dyDescent="0.35">
      <c r="A95" s="8" t="s">
        <v>241</v>
      </c>
      <c r="B95" s="2" t="str">
        <f>_xlfn.XLOOKUP(A95,Sheet1!A:A,Sheet1!B:B)</f>
        <v>Jose Jones</v>
      </c>
      <c r="C95" s="2" t="str">
        <f>_xlfn.XLOOKUP(A:A,Sheet1!A:A,Sheet1!D:D)</f>
        <v>Male</v>
      </c>
      <c r="D95" s="8">
        <f>_xlfn.XLOOKUP(A:A,Sheet1!A:A,Sheet1!F:F)</f>
        <v>35</v>
      </c>
      <c r="E95" s="2" t="str">
        <f>_xlfn.XLOOKUP(A:A,Sheet1!A:A,Sheet1!G:G)</f>
        <v>Russia</v>
      </c>
      <c r="F95" s="8" t="str">
        <f>_xlfn.XLOOKUP(A:A,Sheet1!A:A,Sheet1!H:H)</f>
        <v>Russian</v>
      </c>
      <c r="G95" s="8" t="str">
        <f>_xlfn.XLOOKUP(A:A,Sheet1!A:A,Sheet1!I:I)</f>
        <v>Blockchain Development</v>
      </c>
      <c r="H95" s="8">
        <f>_xlfn.XLOOKUP(A:A,Sheet1!A:A,Sheet1!K:K)</f>
        <v>3</v>
      </c>
      <c r="I95" s="9">
        <f>_xlfn.XLOOKUP(A:A,Sheet1!A:A,Sheet1!M:M)</f>
        <v>30</v>
      </c>
      <c r="J95" s="10">
        <f>_xlfn.XLOOKUP(A:A,Sheet1!A:A,Sheet1!O:O)</f>
        <v>3.8</v>
      </c>
      <c r="K95" t="str">
        <f>_xlfn.XLOOKUP(A:A,Sheet1!A:A,Sheet1!P:P)</f>
        <v>Yes</v>
      </c>
      <c r="L95" s="12">
        <f>_xlfn.XLOOKUP(A:A,Sheet1!A:A,Sheet1!S:S)</f>
        <v>0.81</v>
      </c>
    </row>
    <row r="96" spans="1:12" x14ac:dyDescent="0.35">
      <c r="A96" s="8" t="s">
        <v>243</v>
      </c>
      <c r="B96" s="2" t="str">
        <f>_xlfn.XLOOKUP(A96,Sheet1!A:A,Sheet1!B:B)</f>
        <v>Denise Smith</v>
      </c>
      <c r="C96" s="2" t="str">
        <f>_xlfn.XLOOKUP(A:A,Sheet1!A:A,Sheet1!D:D)</f>
        <v>Female</v>
      </c>
      <c r="D96" s="8">
        <f>_xlfn.XLOOKUP(A:A,Sheet1!A:A,Sheet1!F:F)</f>
        <v>54</v>
      </c>
      <c r="E96" s="2" t="str">
        <f>_xlfn.XLOOKUP(A:A,Sheet1!A:A,Sheet1!G:G)</f>
        <v>China</v>
      </c>
      <c r="F96" s="8" t="str">
        <f>_xlfn.XLOOKUP(A:A,Sheet1!A:A,Sheet1!H:H)</f>
        <v>Mandarin</v>
      </c>
      <c r="G96" s="8" t="str">
        <f>_xlfn.XLOOKUP(A:A,Sheet1!A:A,Sheet1!I:I)</f>
        <v>Machine Learning</v>
      </c>
      <c r="H96" s="8">
        <f>_xlfn.XLOOKUP(A:A,Sheet1!A:A,Sheet1!K:K)</f>
        <v>17</v>
      </c>
      <c r="I96" s="9">
        <f>_xlfn.XLOOKUP(A:A,Sheet1!A:A,Sheet1!M:M)</f>
        <v>20</v>
      </c>
      <c r="J96" s="10">
        <f>_xlfn.XLOOKUP(A:A,Sheet1!A:A,Sheet1!O:O)</f>
        <v>1.7</v>
      </c>
      <c r="K96" t="str">
        <f>_xlfn.XLOOKUP(A:A,Sheet1!A:A,Sheet1!P:P)</f>
        <v>No</v>
      </c>
      <c r="L96" s="12">
        <f>_xlfn.XLOOKUP(A:A,Sheet1!A:A,Sheet1!S:S)</f>
        <v>0.69</v>
      </c>
    </row>
    <row r="97" spans="1:12" x14ac:dyDescent="0.35">
      <c r="A97" s="8" t="s">
        <v>245</v>
      </c>
      <c r="B97" s="2" t="str">
        <f>_xlfn.XLOOKUP(A97,Sheet1!A:A,Sheet1!B:B)</f>
        <v>Shelby Mcmahon</v>
      </c>
      <c r="C97" s="2" t="str">
        <f>_xlfn.XLOOKUP(A:A,Sheet1!A:A,Sheet1!D:D)</f>
        <v>Female</v>
      </c>
      <c r="D97" s="8">
        <f>_xlfn.XLOOKUP(A:A,Sheet1!A:A,Sheet1!F:F)</f>
        <v>36</v>
      </c>
      <c r="E97" s="2" t="str">
        <f>_xlfn.XLOOKUP(A:A,Sheet1!A:A,Sheet1!G:G)</f>
        <v>Italy</v>
      </c>
      <c r="F97" s="8" t="str">
        <f>_xlfn.XLOOKUP(A:A,Sheet1!A:A,Sheet1!H:H)</f>
        <v>Italian</v>
      </c>
      <c r="G97" s="8" t="str">
        <f>_xlfn.XLOOKUP(A:A,Sheet1!A:A,Sheet1!I:I)</f>
        <v>UI/UX Design</v>
      </c>
      <c r="H97" s="8">
        <f>_xlfn.XLOOKUP(A:A,Sheet1!A:A,Sheet1!K:K)</f>
        <v>0</v>
      </c>
      <c r="I97" s="9">
        <f>_xlfn.XLOOKUP(A:A,Sheet1!A:A,Sheet1!M:M)</f>
        <v>20</v>
      </c>
      <c r="J97" s="10">
        <f>_xlfn.XLOOKUP(A:A,Sheet1!A:A,Sheet1!O:O)</f>
        <v>1.3</v>
      </c>
      <c r="K97" t="str">
        <f>_xlfn.XLOOKUP(A:A,Sheet1!A:A,Sheet1!P:P)</f>
        <v>Yes</v>
      </c>
      <c r="L97" s="12">
        <f>_xlfn.XLOOKUP(A:A,Sheet1!A:A,Sheet1!S:S)</f>
        <v>0.64</v>
      </c>
    </row>
    <row r="98" spans="1:12" x14ac:dyDescent="0.35">
      <c r="A98" s="8" t="s">
        <v>247</v>
      </c>
      <c r="B98" s="2" t="str">
        <f>_xlfn.XLOOKUP(A98,Sheet1!A:A,Sheet1!B:B)</f>
        <v>Bethany Wright</v>
      </c>
      <c r="C98" s="2" t="str">
        <f>_xlfn.XLOOKUP(A:A,Sheet1!A:A,Sheet1!D:D)</f>
        <v>Female</v>
      </c>
      <c r="D98" s="8">
        <f>_xlfn.XLOOKUP(A:A,Sheet1!A:A,Sheet1!F:F)</f>
        <v>49</v>
      </c>
      <c r="E98" s="2" t="str">
        <f>_xlfn.XLOOKUP(A:A,Sheet1!A:A,Sheet1!G:G)</f>
        <v>Spain</v>
      </c>
      <c r="F98" s="8" t="str">
        <f>_xlfn.XLOOKUP(A:A,Sheet1!A:A,Sheet1!H:H)</f>
        <v>Spanish</v>
      </c>
      <c r="G98" s="8" t="str">
        <f>_xlfn.XLOOKUP(A:A,Sheet1!A:A,Sheet1!I:I)</f>
        <v>Cybersecurity</v>
      </c>
      <c r="H98" s="8">
        <f>_xlfn.XLOOKUP(A:A,Sheet1!A:A,Sheet1!K:K)</f>
        <v>25</v>
      </c>
      <c r="I98" s="9">
        <f>_xlfn.XLOOKUP(A:A,Sheet1!A:A,Sheet1!M:M)</f>
        <v>50</v>
      </c>
      <c r="J98" s="10">
        <f>_xlfn.XLOOKUP(A:A,Sheet1!A:A,Sheet1!O:O)</f>
        <v>5</v>
      </c>
      <c r="K98" t="str">
        <f>_xlfn.XLOOKUP(A:A,Sheet1!A:A,Sheet1!P:P)</f>
        <v>No</v>
      </c>
      <c r="L98" s="12">
        <f>_xlfn.XLOOKUP(A:A,Sheet1!A:A,Sheet1!S:S)</f>
        <v>0.77</v>
      </c>
    </row>
    <row r="99" spans="1:12" x14ac:dyDescent="0.35">
      <c r="A99" s="8" t="s">
        <v>249</v>
      </c>
      <c r="B99" s="2" t="str">
        <f>_xlfn.XLOOKUP(A99,Sheet1!A:A,Sheet1!B:B)</f>
        <v>David Ortiz</v>
      </c>
      <c r="C99" s="2" t="str">
        <f>_xlfn.XLOOKUP(A:A,Sheet1!A:A,Sheet1!D:D)</f>
        <v>Male</v>
      </c>
      <c r="D99" s="8">
        <f>_xlfn.XLOOKUP(A:A,Sheet1!A:A,Sheet1!F:F)</f>
        <v>37</v>
      </c>
      <c r="E99" s="2" t="str">
        <f>_xlfn.XLOOKUP(A:A,Sheet1!A:A,Sheet1!G:G)</f>
        <v>United States</v>
      </c>
      <c r="F99" s="8" t="str">
        <f>_xlfn.XLOOKUP(A:A,Sheet1!A:A,Sheet1!H:H)</f>
        <v>English</v>
      </c>
      <c r="G99" s="8" t="str">
        <f>_xlfn.XLOOKUP(A:A,Sheet1!A:A,Sheet1!I:I)</f>
        <v>Blockchain Development</v>
      </c>
      <c r="H99" s="8">
        <f>_xlfn.XLOOKUP(A:A,Sheet1!A:A,Sheet1!K:K)</f>
        <v>17</v>
      </c>
      <c r="I99" s="9">
        <f>_xlfn.XLOOKUP(A:A,Sheet1!A:A,Sheet1!M:M)</f>
        <v>20</v>
      </c>
      <c r="J99" s="10">
        <f>_xlfn.XLOOKUP(A:A,Sheet1!A:A,Sheet1!O:O)</f>
        <v>3.3</v>
      </c>
      <c r="K99" t="str">
        <f>_xlfn.XLOOKUP(A:A,Sheet1!A:A,Sheet1!P:P)</f>
        <v>No</v>
      </c>
      <c r="L99" s="12">
        <f>_xlfn.XLOOKUP(A:A,Sheet1!A:A,Sheet1!S:S)</f>
        <v>0.96</v>
      </c>
    </row>
    <row r="100" spans="1:12" x14ac:dyDescent="0.35">
      <c r="A100" s="8" t="s">
        <v>251</v>
      </c>
      <c r="B100" s="2" t="str">
        <f>_xlfn.XLOOKUP(A100,Sheet1!A:A,Sheet1!B:B)</f>
        <v>Andrew Lynch</v>
      </c>
      <c r="C100" s="2" t="str">
        <f>_xlfn.XLOOKUP(A:A,Sheet1!A:A,Sheet1!D:D)</f>
        <v>Male</v>
      </c>
      <c r="D100" s="8">
        <f>_xlfn.XLOOKUP(A:A,Sheet1!A:A,Sheet1!F:F)</f>
        <v>41</v>
      </c>
      <c r="E100" s="2" t="str">
        <f>_xlfn.XLOOKUP(A:A,Sheet1!A:A,Sheet1!G:G)</f>
        <v>United States</v>
      </c>
      <c r="F100" s="8" t="str">
        <f>_xlfn.XLOOKUP(A:A,Sheet1!A:A,Sheet1!H:H)</f>
        <v>English</v>
      </c>
      <c r="G100" s="8" t="str">
        <f>_xlfn.XLOOKUP(A:A,Sheet1!A:A,Sheet1!I:I)</f>
        <v>UI/UX Design</v>
      </c>
      <c r="H100" s="8">
        <f>_xlfn.XLOOKUP(A:A,Sheet1!A:A,Sheet1!K:K)</f>
        <v>5</v>
      </c>
      <c r="I100" s="9">
        <f>_xlfn.XLOOKUP(A:A,Sheet1!A:A,Sheet1!M:M)</f>
        <v>20</v>
      </c>
      <c r="J100" s="10">
        <f>_xlfn.XLOOKUP(A:A,Sheet1!A:A,Sheet1!O:O)</f>
        <v>1.1000000000000001</v>
      </c>
      <c r="K100" t="str">
        <f>_xlfn.XLOOKUP(A:A,Sheet1!A:A,Sheet1!P:P)</f>
        <v>No</v>
      </c>
      <c r="L100" s="12">
        <f>_xlfn.XLOOKUP(A:A,Sheet1!A:A,Sheet1!S:S)</f>
        <v>0.74</v>
      </c>
    </row>
    <row r="101" spans="1:12" x14ac:dyDescent="0.35">
      <c r="A101" s="8" t="s">
        <v>253</v>
      </c>
      <c r="B101" s="2" t="str">
        <f>_xlfn.XLOOKUP(A101,Sheet1!A:A,Sheet1!B:B)</f>
        <v>Kristopher Meyers</v>
      </c>
      <c r="C101" s="2" t="str">
        <f>_xlfn.XLOOKUP(A:A,Sheet1!A:A,Sheet1!D:D)</f>
        <v>Male</v>
      </c>
      <c r="D101" s="8">
        <f>_xlfn.XLOOKUP(A:A,Sheet1!A:A,Sheet1!F:F)</f>
        <v>32</v>
      </c>
      <c r="E101" s="2" t="str">
        <f>_xlfn.XLOOKUP(A:A,Sheet1!A:A,Sheet1!G:G)</f>
        <v>Egypt</v>
      </c>
      <c r="F101" s="8" t="str">
        <f>_xlfn.XLOOKUP(A:A,Sheet1!A:A,Sheet1!H:H)</f>
        <v>Arabic</v>
      </c>
      <c r="G101" s="8" t="str">
        <f>_xlfn.XLOOKUP(A:A,Sheet1!A:A,Sheet1!I:I)</f>
        <v>UI/UX Design</v>
      </c>
      <c r="H101" s="8">
        <f>_xlfn.XLOOKUP(A:A,Sheet1!A:A,Sheet1!K:K)</f>
        <v>10</v>
      </c>
      <c r="I101" s="9">
        <f>_xlfn.XLOOKUP(A:A,Sheet1!A:A,Sheet1!M:M)</f>
        <v>50</v>
      </c>
      <c r="J101" s="10">
        <f>_xlfn.XLOOKUP(A:A,Sheet1!A:A,Sheet1!O:O)</f>
        <v>1.2</v>
      </c>
      <c r="K101" t="str">
        <f>_xlfn.XLOOKUP(A:A,Sheet1!A:A,Sheet1!P:P)</f>
        <v>No</v>
      </c>
      <c r="L101" s="12">
        <f>_xlfn.XLOOKUP(A:A,Sheet1!A:A,Sheet1!S:S)</f>
        <v>0.89</v>
      </c>
    </row>
    <row r="102" spans="1:12" x14ac:dyDescent="0.35">
      <c r="A102" s="8" t="s">
        <v>255</v>
      </c>
      <c r="B102" s="2" t="str">
        <f>_xlfn.XLOOKUP(A102,Sheet1!A:A,Sheet1!B:B)</f>
        <v>Thomas Roth</v>
      </c>
      <c r="C102" s="2" t="str">
        <f>_xlfn.XLOOKUP(A:A,Sheet1!A:A,Sheet1!D:D)</f>
        <v>Male</v>
      </c>
      <c r="D102" s="8">
        <f>_xlfn.XLOOKUP(A:A,Sheet1!A:A,Sheet1!F:F)</f>
        <v>35</v>
      </c>
      <c r="E102" s="2" t="str">
        <f>_xlfn.XLOOKUP(A:A,Sheet1!A:A,Sheet1!G:G)</f>
        <v>India</v>
      </c>
      <c r="F102" s="8" t="str">
        <f>_xlfn.XLOOKUP(A:A,Sheet1!A:A,Sheet1!H:H)</f>
        <v>Hindi</v>
      </c>
      <c r="G102" s="8" t="str">
        <f>_xlfn.XLOOKUP(A:A,Sheet1!A:A,Sheet1!I:I)</f>
        <v>Mobile Apps</v>
      </c>
      <c r="H102" s="8">
        <f>_xlfn.XLOOKUP(A:A,Sheet1!A:A,Sheet1!K:K)</f>
        <v>0</v>
      </c>
      <c r="I102" s="9">
        <f>_xlfn.XLOOKUP(A:A,Sheet1!A:A,Sheet1!M:M)</f>
        <v>40</v>
      </c>
      <c r="J102" s="10">
        <f>_xlfn.XLOOKUP(A:A,Sheet1!A:A,Sheet1!O:O)</f>
        <v>2</v>
      </c>
      <c r="K102" t="str">
        <f>_xlfn.XLOOKUP(A:A,Sheet1!A:A,Sheet1!P:P)</f>
        <v>Yes</v>
      </c>
      <c r="L102" s="12">
        <f>_xlfn.XLOOKUP(A:A,Sheet1!A:A,Sheet1!S:S)</f>
        <v>0.64</v>
      </c>
    </row>
    <row r="103" spans="1:12" x14ac:dyDescent="0.35">
      <c r="A103" s="8" t="s">
        <v>257</v>
      </c>
      <c r="B103" s="2" t="str">
        <f>_xlfn.XLOOKUP(A103,Sheet1!A:A,Sheet1!B:B)</f>
        <v>Vicki Brown</v>
      </c>
      <c r="C103" s="2" t="str">
        <f>_xlfn.XLOOKUP(A:A,Sheet1!A:A,Sheet1!D:D)</f>
        <v>Female</v>
      </c>
      <c r="D103" s="8">
        <f>_xlfn.XLOOKUP(A:A,Sheet1!A:A,Sheet1!F:F)</f>
        <v>51</v>
      </c>
      <c r="E103" s="2" t="str">
        <f>_xlfn.XLOOKUP(A:A,Sheet1!A:A,Sheet1!G:G)</f>
        <v>Russia</v>
      </c>
      <c r="F103" s="8" t="str">
        <f>_xlfn.XLOOKUP(A:A,Sheet1!A:A,Sheet1!H:H)</f>
        <v>Russian</v>
      </c>
      <c r="G103" s="8" t="str">
        <f>_xlfn.XLOOKUP(A:A,Sheet1!A:A,Sheet1!I:I)</f>
        <v>Graphic Design</v>
      </c>
      <c r="H103" s="8">
        <f>_xlfn.XLOOKUP(A:A,Sheet1!A:A,Sheet1!K:K)</f>
        <v>2</v>
      </c>
      <c r="I103" s="9">
        <f>_xlfn.XLOOKUP(A:A,Sheet1!A:A,Sheet1!M:M)</f>
        <v>30</v>
      </c>
      <c r="J103" s="10">
        <f>_xlfn.XLOOKUP(A:A,Sheet1!A:A,Sheet1!O:O)</f>
        <v>4.5</v>
      </c>
      <c r="K103" t="str">
        <f>_xlfn.XLOOKUP(A:A,Sheet1!A:A,Sheet1!P:P)</f>
        <v>No</v>
      </c>
      <c r="L103" s="12">
        <f>_xlfn.XLOOKUP(A:A,Sheet1!A:A,Sheet1!S:S)</f>
        <v>0.64</v>
      </c>
    </row>
    <row r="104" spans="1:12" x14ac:dyDescent="0.35">
      <c r="A104" s="8" t="s">
        <v>259</v>
      </c>
      <c r="B104" s="2" t="str">
        <f>_xlfn.XLOOKUP(A104,Sheet1!A:A,Sheet1!B:B)</f>
        <v>Stacy Sutton</v>
      </c>
      <c r="C104" s="2" t="str">
        <f>_xlfn.XLOOKUP(A:A,Sheet1!A:A,Sheet1!D:D)</f>
        <v>Female</v>
      </c>
      <c r="D104" s="8">
        <f>_xlfn.XLOOKUP(A:A,Sheet1!A:A,Sheet1!F:F)</f>
        <v>50</v>
      </c>
      <c r="E104" s="2" t="str">
        <f>_xlfn.XLOOKUP(A:A,Sheet1!A:A,Sheet1!G:G)</f>
        <v>Russia</v>
      </c>
      <c r="F104" s="8" t="str">
        <f>_xlfn.XLOOKUP(A:A,Sheet1!A:A,Sheet1!H:H)</f>
        <v>Russian</v>
      </c>
      <c r="G104" s="8" t="str">
        <f>_xlfn.XLOOKUP(A:A,Sheet1!A:A,Sheet1!I:I)</f>
        <v>DevOps</v>
      </c>
      <c r="H104" s="8">
        <f>_xlfn.XLOOKUP(A:A,Sheet1!A:A,Sheet1!K:K)</f>
        <v>30</v>
      </c>
      <c r="I104" s="9">
        <f>_xlfn.XLOOKUP(A:A,Sheet1!A:A,Sheet1!M:M)</f>
        <v>100</v>
      </c>
      <c r="J104" s="10">
        <f>_xlfn.XLOOKUP(A:A,Sheet1!A:A,Sheet1!O:O)</f>
        <v>3</v>
      </c>
      <c r="K104" t="str">
        <f>_xlfn.XLOOKUP(A:A,Sheet1!A:A,Sheet1!P:P)</f>
        <v>Yes</v>
      </c>
      <c r="L104" s="12">
        <f>_xlfn.XLOOKUP(A:A,Sheet1!A:A,Sheet1!S:S)</f>
        <v>0.73</v>
      </c>
    </row>
    <row r="105" spans="1:12" x14ac:dyDescent="0.35">
      <c r="A105" s="8" t="s">
        <v>261</v>
      </c>
      <c r="B105" s="2" t="str">
        <f>_xlfn.XLOOKUP(A105,Sheet1!A:A,Sheet1!B:B)</f>
        <v>Kimberly Holland</v>
      </c>
      <c r="C105" s="2" t="str">
        <f>_xlfn.XLOOKUP(A:A,Sheet1!A:A,Sheet1!D:D)</f>
        <v>Female</v>
      </c>
      <c r="D105" s="8">
        <f>_xlfn.XLOOKUP(A:A,Sheet1!A:A,Sheet1!F:F)</f>
        <v>21</v>
      </c>
      <c r="E105" s="2" t="str">
        <f>_xlfn.XLOOKUP(A:A,Sheet1!A:A,Sheet1!G:G)</f>
        <v>Turkey</v>
      </c>
      <c r="F105" s="8" t="str">
        <f>_xlfn.XLOOKUP(A:A,Sheet1!A:A,Sheet1!H:H)</f>
        <v>Turkish</v>
      </c>
      <c r="G105" s="8" t="str">
        <f>_xlfn.XLOOKUP(A:A,Sheet1!A:A,Sheet1!I:I)</f>
        <v>Blockchain Development</v>
      </c>
      <c r="H105" s="8">
        <f>_xlfn.XLOOKUP(A:A,Sheet1!A:A,Sheet1!K:K)</f>
        <v>2</v>
      </c>
      <c r="I105" s="9">
        <f>_xlfn.XLOOKUP(A:A,Sheet1!A:A,Sheet1!M:M)</f>
        <v>50</v>
      </c>
      <c r="J105" s="10">
        <f>_xlfn.XLOOKUP(A:A,Sheet1!A:A,Sheet1!O:O)</f>
        <v>4.9000000000000004</v>
      </c>
      <c r="K105" t="str">
        <f>_xlfn.XLOOKUP(A:A,Sheet1!A:A,Sheet1!P:P)</f>
        <v>Yes</v>
      </c>
      <c r="L105" s="12">
        <f>_xlfn.XLOOKUP(A:A,Sheet1!A:A,Sheet1!S:S)</f>
        <v>0.68</v>
      </c>
    </row>
    <row r="106" spans="1:12" x14ac:dyDescent="0.35">
      <c r="A106" s="8" t="s">
        <v>263</v>
      </c>
      <c r="B106" s="2" t="str">
        <f>_xlfn.XLOOKUP(A106,Sheet1!A:A,Sheet1!B:B)</f>
        <v>Travis Richardson</v>
      </c>
      <c r="C106" s="2" t="str">
        <f>_xlfn.XLOOKUP(A:A,Sheet1!A:A,Sheet1!D:D)</f>
        <v>Male</v>
      </c>
      <c r="D106" s="8">
        <f>_xlfn.XLOOKUP(A:A,Sheet1!A:A,Sheet1!F:F)</f>
        <v>25</v>
      </c>
      <c r="E106" s="2" t="str">
        <f>_xlfn.XLOOKUP(A:A,Sheet1!A:A,Sheet1!G:G)</f>
        <v>United States</v>
      </c>
      <c r="F106" s="8" t="str">
        <f>_xlfn.XLOOKUP(A:A,Sheet1!A:A,Sheet1!H:H)</f>
        <v>English</v>
      </c>
      <c r="G106" s="8" t="str">
        <f>_xlfn.XLOOKUP(A:A,Sheet1!A:A,Sheet1!I:I)</f>
        <v>Graphic Design</v>
      </c>
      <c r="H106" s="8">
        <f>_xlfn.XLOOKUP(A:A,Sheet1!A:A,Sheet1!K:K)</f>
        <v>3</v>
      </c>
      <c r="I106" s="9">
        <f>_xlfn.XLOOKUP(A:A,Sheet1!A:A,Sheet1!M:M)</f>
        <v>30</v>
      </c>
      <c r="J106" s="10">
        <f>_xlfn.XLOOKUP(A:A,Sheet1!A:A,Sheet1!O:O)</f>
        <v>2.5125695216907653</v>
      </c>
      <c r="K106" t="str">
        <f>_xlfn.XLOOKUP(A:A,Sheet1!A:A,Sheet1!P:P)</f>
        <v>No</v>
      </c>
      <c r="L106" s="12">
        <f>_xlfn.XLOOKUP(A:A,Sheet1!A:A,Sheet1!S:S)</f>
        <v>0.88</v>
      </c>
    </row>
    <row r="107" spans="1:12" x14ac:dyDescent="0.35">
      <c r="A107" s="8" t="s">
        <v>265</v>
      </c>
      <c r="B107" s="2" t="str">
        <f>_xlfn.XLOOKUP(A107,Sheet1!A:A,Sheet1!B:B)</f>
        <v>Jasmin Ho</v>
      </c>
      <c r="C107" s="2" t="str">
        <f>_xlfn.XLOOKUP(A:A,Sheet1!A:A,Sheet1!D:D)</f>
        <v>Female</v>
      </c>
      <c r="D107" s="8">
        <f>_xlfn.XLOOKUP(A:A,Sheet1!A:A,Sheet1!F:F)</f>
        <v>57</v>
      </c>
      <c r="E107" s="2" t="str">
        <f>_xlfn.XLOOKUP(A:A,Sheet1!A:A,Sheet1!G:G)</f>
        <v>France</v>
      </c>
      <c r="F107" s="8" t="str">
        <f>_xlfn.XLOOKUP(A:A,Sheet1!A:A,Sheet1!H:H)</f>
        <v>French</v>
      </c>
      <c r="G107" s="8" t="str">
        <f>_xlfn.XLOOKUP(A:A,Sheet1!A:A,Sheet1!I:I)</f>
        <v>DevOps</v>
      </c>
      <c r="H107" s="8">
        <f>_xlfn.XLOOKUP(A:A,Sheet1!A:A,Sheet1!K:K)</f>
        <v>21</v>
      </c>
      <c r="I107" s="9">
        <f>_xlfn.XLOOKUP(A:A,Sheet1!A:A,Sheet1!M:M)</f>
        <v>40</v>
      </c>
      <c r="J107" s="10">
        <f>_xlfn.XLOOKUP(A:A,Sheet1!A:A,Sheet1!O:O)</f>
        <v>2.5</v>
      </c>
      <c r="K107" t="str">
        <f>_xlfn.XLOOKUP(A:A,Sheet1!A:A,Sheet1!P:P)</f>
        <v>No</v>
      </c>
      <c r="L107" s="12">
        <f>_xlfn.XLOOKUP(A:A,Sheet1!A:A,Sheet1!S:S)</f>
        <v>0.77</v>
      </c>
    </row>
    <row r="108" spans="1:12" x14ac:dyDescent="0.35">
      <c r="A108" s="8" t="s">
        <v>267</v>
      </c>
      <c r="B108" s="2" t="str">
        <f>_xlfn.XLOOKUP(A108,Sheet1!A:A,Sheet1!B:B)</f>
        <v>Mark Paul</v>
      </c>
      <c r="C108" s="2" t="str">
        <f>_xlfn.XLOOKUP(A:A,Sheet1!A:A,Sheet1!D:D)</f>
        <v>Male</v>
      </c>
      <c r="D108" s="8">
        <f>_xlfn.XLOOKUP(A:A,Sheet1!A:A,Sheet1!F:F)</f>
        <v>58</v>
      </c>
      <c r="E108" s="2" t="str">
        <f>_xlfn.XLOOKUP(A:A,Sheet1!A:A,Sheet1!G:G)</f>
        <v>Russia</v>
      </c>
      <c r="F108" s="8" t="str">
        <f>_xlfn.XLOOKUP(A:A,Sheet1!A:A,Sheet1!H:H)</f>
        <v>Russian</v>
      </c>
      <c r="G108" s="8" t="str">
        <f>_xlfn.XLOOKUP(A:A,Sheet1!A:A,Sheet1!I:I)</f>
        <v>Blockchain Development</v>
      </c>
      <c r="H108" s="8">
        <f>_xlfn.XLOOKUP(A:A,Sheet1!A:A,Sheet1!K:K)</f>
        <v>3</v>
      </c>
      <c r="I108" s="9">
        <f>_xlfn.XLOOKUP(A:A,Sheet1!A:A,Sheet1!M:M)</f>
        <v>40</v>
      </c>
      <c r="J108" s="11">
        <v>0</v>
      </c>
      <c r="K108" t="str">
        <f>_xlfn.XLOOKUP(A:A,Sheet1!A:A,Sheet1!P:P)</f>
        <v>Yes</v>
      </c>
      <c r="L108" s="12">
        <f>_xlfn.XLOOKUP(A:A,Sheet1!A:A,Sheet1!S:S)</f>
        <v>0.79269417475728277</v>
      </c>
    </row>
    <row r="109" spans="1:12" x14ac:dyDescent="0.35">
      <c r="A109" s="8" t="s">
        <v>269</v>
      </c>
      <c r="B109" s="2" t="str">
        <f>_xlfn.XLOOKUP(A109,Sheet1!A:A,Sheet1!B:B)</f>
        <v>Jennifer Lewis</v>
      </c>
      <c r="C109" s="2" t="str">
        <f>_xlfn.XLOOKUP(A:A,Sheet1!A:A,Sheet1!D:D)</f>
        <v>Female</v>
      </c>
      <c r="D109" s="8">
        <f>_xlfn.XLOOKUP(A:A,Sheet1!A:A,Sheet1!F:F)</f>
        <v>45</v>
      </c>
      <c r="E109" s="2" t="str">
        <f>_xlfn.XLOOKUP(A:A,Sheet1!A:A,Sheet1!G:G)</f>
        <v>Indonesia</v>
      </c>
      <c r="F109" s="8" t="str">
        <f>_xlfn.XLOOKUP(A:A,Sheet1!A:A,Sheet1!H:H)</f>
        <v>Indonesian</v>
      </c>
      <c r="G109" s="8" t="str">
        <f>_xlfn.XLOOKUP(A:A,Sheet1!A:A,Sheet1!I:I)</f>
        <v>Mobile Apps</v>
      </c>
      <c r="H109" s="8">
        <f>_xlfn.XLOOKUP(A:A,Sheet1!A:A,Sheet1!K:K)</f>
        <v>19</v>
      </c>
      <c r="I109" s="9">
        <f>_xlfn.XLOOKUP(A:A,Sheet1!A:A,Sheet1!M:M)</f>
        <v>40</v>
      </c>
      <c r="J109" s="10">
        <f>_xlfn.XLOOKUP(A:A,Sheet1!A:A,Sheet1!O:O)</f>
        <v>2.5125695216907653</v>
      </c>
      <c r="K109" t="str">
        <f>_xlfn.XLOOKUP(A:A,Sheet1!A:A,Sheet1!P:P)</f>
        <v>Yes</v>
      </c>
      <c r="L109" s="12">
        <f>_xlfn.XLOOKUP(A:A,Sheet1!A:A,Sheet1!S:S)</f>
        <v>0.72</v>
      </c>
    </row>
    <row r="110" spans="1:12" x14ac:dyDescent="0.35">
      <c r="A110" s="8" t="s">
        <v>271</v>
      </c>
      <c r="B110" s="2" t="str">
        <f>_xlfn.XLOOKUP(A110,Sheet1!A:A,Sheet1!B:B)</f>
        <v>Elizabeth Lester</v>
      </c>
      <c r="C110" s="2" t="str">
        <f>_xlfn.XLOOKUP(A:A,Sheet1!A:A,Sheet1!D:D)</f>
        <v>Female</v>
      </c>
      <c r="D110" s="8">
        <f>_xlfn.XLOOKUP(A:A,Sheet1!A:A,Sheet1!F:F)</f>
        <v>23</v>
      </c>
      <c r="E110" s="2" t="str">
        <f>_xlfn.XLOOKUP(A:A,Sheet1!A:A,Sheet1!G:G)</f>
        <v>United States</v>
      </c>
      <c r="F110" s="8" t="str">
        <f>_xlfn.XLOOKUP(A:A,Sheet1!A:A,Sheet1!H:H)</f>
        <v>English</v>
      </c>
      <c r="G110" s="8" t="str">
        <f>_xlfn.XLOOKUP(A:A,Sheet1!A:A,Sheet1!I:I)</f>
        <v>Web Development</v>
      </c>
      <c r="H110" s="8">
        <f>_xlfn.XLOOKUP(A:A,Sheet1!A:A,Sheet1!K:K)</f>
        <v>0</v>
      </c>
      <c r="I110" s="9">
        <f>_xlfn.XLOOKUP(A:A,Sheet1!A:A,Sheet1!M:M)</f>
        <v>20</v>
      </c>
      <c r="J110" s="10">
        <f>_xlfn.XLOOKUP(A:A,Sheet1!A:A,Sheet1!O:O)</f>
        <v>4.7</v>
      </c>
      <c r="K110" t="str">
        <f>_xlfn.XLOOKUP(A:A,Sheet1!A:A,Sheet1!P:P)</f>
        <v>Yes</v>
      </c>
      <c r="L110" s="12">
        <f>_xlfn.XLOOKUP(A:A,Sheet1!A:A,Sheet1!S:S)</f>
        <v>0.6</v>
      </c>
    </row>
    <row r="111" spans="1:12" x14ac:dyDescent="0.35">
      <c r="A111" s="8" t="s">
        <v>273</v>
      </c>
      <c r="B111" s="2" t="str">
        <f>_xlfn.XLOOKUP(A111,Sheet1!A:A,Sheet1!B:B)</f>
        <v>Kimberly Griffin</v>
      </c>
      <c r="C111" s="2" t="str">
        <f>_xlfn.XLOOKUP(A:A,Sheet1!A:A,Sheet1!D:D)</f>
        <v>Female</v>
      </c>
      <c r="D111" s="8">
        <f>_xlfn.XLOOKUP(A:A,Sheet1!A:A,Sheet1!F:F)</f>
        <v>46</v>
      </c>
      <c r="E111" s="2" t="str">
        <f>_xlfn.XLOOKUP(A:A,Sheet1!A:A,Sheet1!G:G)</f>
        <v>United States</v>
      </c>
      <c r="F111" s="8" t="str">
        <f>_xlfn.XLOOKUP(A:A,Sheet1!A:A,Sheet1!H:H)</f>
        <v>English</v>
      </c>
      <c r="G111" s="8" t="str">
        <f>_xlfn.XLOOKUP(A:A,Sheet1!A:A,Sheet1!I:I)</f>
        <v>AI</v>
      </c>
      <c r="H111" s="8">
        <f>_xlfn.XLOOKUP(A:A,Sheet1!A:A,Sheet1!K:K)</f>
        <v>9</v>
      </c>
      <c r="I111" s="9">
        <f>_xlfn.XLOOKUP(A:A,Sheet1!A:A,Sheet1!M:M)</f>
        <v>30</v>
      </c>
      <c r="J111" s="10">
        <f>_xlfn.XLOOKUP(A:A,Sheet1!A:A,Sheet1!O:O)</f>
        <v>3.5</v>
      </c>
      <c r="K111" t="str">
        <f>_xlfn.XLOOKUP(A:A,Sheet1!A:A,Sheet1!P:P)</f>
        <v>No</v>
      </c>
      <c r="L111" s="12">
        <f>_xlfn.XLOOKUP(A:A,Sheet1!A:A,Sheet1!S:S)</f>
        <v>0.72</v>
      </c>
    </row>
    <row r="112" spans="1:12" x14ac:dyDescent="0.35">
      <c r="A112" s="8" t="s">
        <v>275</v>
      </c>
      <c r="B112" s="2" t="str">
        <f>_xlfn.XLOOKUP(A112,Sheet1!A:A,Sheet1!B:B)</f>
        <v>Tyler Warner</v>
      </c>
      <c r="C112" s="2" t="str">
        <f>_xlfn.XLOOKUP(A:A,Sheet1!A:A,Sheet1!D:D)</f>
        <v>Male</v>
      </c>
      <c r="D112" s="8">
        <f>_xlfn.XLOOKUP(A:A,Sheet1!A:A,Sheet1!F:F)</f>
        <v>27</v>
      </c>
      <c r="E112" s="2" t="str">
        <f>_xlfn.XLOOKUP(A:A,Sheet1!A:A,Sheet1!G:G)</f>
        <v>Argentina</v>
      </c>
      <c r="F112" s="8" t="str">
        <f>_xlfn.XLOOKUP(A:A,Sheet1!A:A,Sheet1!H:H)</f>
        <v>Spanish</v>
      </c>
      <c r="G112" s="8" t="str">
        <f>_xlfn.XLOOKUP(A:A,Sheet1!A:A,Sheet1!I:I)</f>
        <v>UI/UX Design</v>
      </c>
      <c r="H112" s="8">
        <f>_xlfn.XLOOKUP(A:A,Sheet1!A:A,Sheet1!K:K)</f>
        <v>5</v>
      </c>
      <c r="I112" s="9">
        <f>_xlfn.XLOOKUP(A:A,Sheet1!A:A,Sheet1!M:M)</f>
        <v>30</v>
      </c>
      <c r="J112" s="10">
        <f>_xlfn.XLOOKUP(A:A,Sheet1!A:A,Sheet1!O:O)</f>
        <v>2.5125695216907653</v>
      </c>
      <c r="K112" t="str">
        <f>_xlfn.XLOOKUP(A:A,Sheet1!A:A,Sheet1!P:P)</f>
        <v>No</v>
      </c>
      <c r="L112" s="12">
        <f>_xlfn.XLOOKUP(A:A,Sheet1!A:A,Sheet1!S:S)</f>
        <v>0.92</v>
      </c>
    </row>
    <row r="113" spans="1:12" x14ac:dyDescent="0.35">
      <c r="A113" s="8" t="s">
        <v>277</v>
      </c>
      <c r="B113" s="2" t="str">
        <f>_xlfn.XLOOKUP(A113,Sheet1!A:A,Sheet1!B:B)</f>
        <v>Jane Cox</v>
      </c>
      <c r="C113" s="2" t="str">
        <f>_xlfn.XLOOKUP(A:A,Sheet1!A:A,Sheet1!D:D)</f>
        <v>Female</v>
      </c>
      <c r="D113" s="8">
        <f>_xlfn.XLOOKUP(A:A,Sheet1!A:A,Sheet1!F:F)</f>
        <v>32</v>
      </c>
      <c r="E113" s="2" t="str">
        <f>_xlfn.XLOOKUP(A:A,Sheet1!A:A,Sheet1!G:G)</f>
        <v>United States</v>
      </c>
      <c r="F113" s="8" t="str">
        <f>_xlfn.XLOOKUP(A:A,Sheet1!A:A,Sheet1!H:H)</f>
        <v>English</v>
      </c>
      <c r="G113" s="8" t="str">
        <f>_xlfn.XLOOKUP(A:A,Sheet1!A:A,Sheet1!I:I)</f>
        <v>Machine Learning</v>
      </c>
      <c r="H113" s="8">
        <f>_xlfn.XLOOKUP(A:A,Sheet1!A:A,Sheet1!K:K)</f>
        <v>6</v>
      </c>
      <c r="I113" s="9">
        <f>_xlfn.XLOOKUP(A:A,Sheet1!A:A,Sheet1!M:M)</f>
        <v>50</v>
      </c>
      <c r="J113" s="10">
        <f>_xlfn.XLOOKUP(A:A,Sheet1!A:A,Sheet1!O:O)</f>
        <v>3.4</v>
      </c>
      <c r="K113" t="str">
        <f>_xlfn.XLOOKUP(A:A,Sheet1!A:A,Sheet1!P:P)</f>
        <v>Yes</v>
      </c>
      <c r="L113" s="12">
        <f>_xlfn.XLOOKUP(A:A,Sheet1!A:A,Sheet1!S:S)</f>
        <v>0.79269417475728277</v>
      </c>
    </row>
    <row r="114" spans="1:12" x14ac:dyDescent="0.35">
      <c r="A114" s="8" t="s">
        <v>279</v>
      </c>
      <c r="B114" s="2" t="str">
        <f>_xlfn.XLOOKUP(A114,Sheet1!A:A,Sheet1!B:B)</f>
        <v>Leah Williams</v>
      </c>
      <c r="C114" s="2" t="str">
        <f>_xlfn.XLOOKUP(A:A,Sheet1!A:A,Sheet1!D:D)</f>
        <v>Female</v>
      </c>
      <c r="D114" s="8">
        <f>_xlfn.XLOOKUP(A:A,Sheet1!A:A,Sheet1!F:F)</f>
        <v>48</v>
      </c>
      <c r="E114" s="2" t="str">
        <f>_xlfn.XLOOKUP(A:A,Sheet1!A:A,Sheet1!G:G)</f>
        <v>Argentina</v>
      </c>
      <c r="F114" s="8" t="str">
        <f>_xlfn.XLOOKUP(A:A,Sheet1!A:A,Sheet1!H:H)</f>
        <v>Spanish</v>
      </c>
      <c r="G114" s="8" t="str">
        <f>_xlfn.XLOOKUP(A:A,Sheet1!A:A,Sheet1!I:I)</f>
        <v>Machine Learning</v>
      </c>
      <c r="H114" s="8">
        <f>_xlfn.XLOOKUP(A:A,Sheet1!A:A,Sheet1!K:K)</f>
        <v>6</v>
      </c>
      <c r="I114" s="9">
        <f>_xlfn.XLOOKUP(A:A,Sheet1!A:A,Sheet1!M:M)</f>
        <v>75</v>
      </c>
      <c r="J114" s="10">
        <f>_xlfn.XLOOKUP(A:A,Sheet1!A:A,Sheet1!O:O)</f>
        <v>2.5</v>
      </c>
      <c r="K114" t="str">
        <f>_xlfn.XLOOKUP(A:A,Sheet1!A:A,Sheet1!P:P)</f>
        <v>No</v>
      </c>
      <c r="L114" s="12">
        <f>_xlfn.XLOOKUP(A:A,Sheet1!A:A,Sheet1!S:S)</f>
        <v>0.92</v>
      </c>
    </row>
    <row r="115" spans="1:12" x14ac:dyDescent="0.35">
      <c r="A115" s="8" t="s">
        <v>281</v>
      </c>
      <c r="B115" s="2" t="str">
        <f>_xlfn.XLOOKUP(A115,Sheet1!A:A,Sheet1!B:B)</f>
        <v>Kevin Wong</v>
      </c>
      <c r="C115" s="2" t="str">
        <f>_xlfn.XLOOKUP(A:A,Sheet1!A:A,Sheet1!D:D)</f>
        <v>Male</v>
      </c>
      <c r="D115" s="8">
        <f>_xlfn.XLOOKUP(A:A,Sheet1!A:A,Sheet1!F:F)</f>
        <v>30</v>
      </c>
      <c r="E115" s="2" t="str">
        <f>_xlfn.XLOOKUP(A:A,Sheet1!A:A,Sheet1!G:G)</f>
        <v>Turkey</v>
      </c>
      <c r="F115" s="8" t="str">
        <f>_xlfn.XLOOKUP(A:A,Sheet1!A:A,Sheet1!H:H)</f>
        <v>Turkish</v>
      </c>
      <c r="G115" s="8" t="str">
        <f>_xlfn.XLOOKUP(A:A,Sheet1!A:A,Sheet1!I:I)</f>
        <v>Mobile Apps</v>
      </c>
      <c r="H115" s="8">
        <f>_xlfn.XLOOKUP(A:A,Sheet1!A:A,Sheet1!K:K)</f>
        <v>3</v>
      </c>
      <c r="I115" s="9">
        <f>_xlfn.XLOOKUP(A:A,Sheet1!A:A,Sheet1!M:M)</f>
        <v>30</v>
      </c>
      <c r="J115" s="10">
        <f>_xlfn.XLOOKUP(A:A,Sheet1!A:A,Sheet1!O:O)</f>
        <v>1.1000000000000001</v>
      </c>
      <c r="K115" t="str">
        <f>_xlfn.XLOOKUP(A:A,Sheet1!A:A,Sheet1!P:P)</f>
        <v>Yes</v>
      </c>
      <c r="L115" s="12">
        <f>_xlfn.XLOOKUP(A:A,Sheet1!A:A,Sheet1!S:S)</f>
        <v>0.79269417475728277</v>
      </c>
    </row>
    <row r="116" spans="1:12" x14ac:dyDescent="0.35">
      <c r="A116" s="8" t="s">
        <v>283</v>
      </c>
      <c r="B116" s="2" t="str">
        <f>_xlfn.XLOOKUP(A116,Sheet1!A:A,Sheet1!B:B)</f>
        <v>Robert Andrews</v>
      </c>
      <c r="C116" s="2" t="str">
        <f>_xlfn.XLOOKUP(A:A,Sheet1!A:A,Sheet1!D:D)</f>
        <v>Male</v>
      </c>
      <c r="D116" s="8">
        <f>_xlfn.XLOOKUP(A:A,Sheet1!A:A,Sheet1!F:F)</f>
        <v>59</v>
      </c>
      <c r="E116" s="2" t="str">
        <f>_xlfn.XLOOKUP(A:A,Sheet1!A:A,Sheet1!G:G)</f>
        <v>Turkey</v>
      </c>
      <c r="F116" s="8" t="str">
        <f>_xlfn.XLOOKUP(A:A,Sheet1!A:A,Sheet1!H:H)</f>
        <v>Turkish</v>
      </c>
      <c r="G116" s="8" t="str">
        <f>_xlfn.XLOOKUP(A:A,Sheet1!A:A,Sheet1!I:I)</f>
        <v>AI</v>
      </c>
      <c r="H116" s="8">
        <f>_xlfn.XLOOKUP(A:A,Sheet1!A:A,Sheet1!K:K)</f>
        <v>13</v>
      </c>
      <c r="I116" s="9">
        <f>_xlfn.XLOOKUP(A:A,Sheet1!A:A,Sheet1!M:M)</f>
        <v>20</v>
      </c>
      <c r="J116" s="10">
        <f>_xlfn.XLOOKUP(A:A,Sheet1!A:A,Sheet1!O:O)</f>
        <v>4.8</v>
      </c>
      <c r="K116" t="str">
        <f>_xlfn.XLOOKUP(A:A,Sheet1!A:A,Sheet1!P:P)</f>
        <v>No</v>
      </c>
      <c r="L116" s="12">
        <f>_xlfn.XLOOKUP(A:A,Sheet1!A:A,Sheet1!S:S)</f>
        <v>0.79269417475728277</v>
      </c>
    </row>
    <row r="117" spans="1:12" x14ac:dyDescent="0.35">
      <c r="A117" s="8" t="s">
        <v>285</v>
      </c>
      <c r="B117" s="2" t="str">
        <f>_xlfn.XLOOKUP(A117,Sheet1!A:A,Sheet1!B:B)</f>
        <v>Jessica Torres</v>
      </c>
      <c r="C117" s="2" t="str">
        <f>_xlfn.XLOOKUP(A:A,Sheet1!A:A,Sheet1!D:D)</f>
        <v>Female</v>
      </c>
      <c r="D117" s="8">
        <f>_xlfn.XLOOKUP(A:A,Sheet1!A:A,Sheet1!F:F)</f>
        <v>32</v>
      </c>
      <c r="E117" s="2" t="str">
        <f>_xlfn.XLOOKUP(A:A,Sheet1!A:A,Sheet1!G:G)</f>
        <v>Mexico</v>
      </c>
      <c r="F117" s="8" t="str">
        <f>_xlfn.XLOOKUP(A:A,Sheet1!A:A,Sheet1!H:H)</f>
        <v>Spanish</v>
      </c>
      <c r="G117" s="8" t="str">
        <f>_xlfn.XLOOKUP(A:A,Sheet1!A:A,Sheet1!I:I)</f>
        <v>AI</v>
      </c>
      <c r="H117" s="8">
        <f>_xlfn.XLOOKUP(A:A,Sheet1!A:A,Sheet1!K:K)</f>
        <v>5</v>
      </c>
      <c r="I117" s="9">
        <f>_xlfn.XLOOKUP(A:A,Sheet1!A:A,Sheet1!M:M)</f>
        <v>30</v>
      </c>
      <c r="J117" s="10">
        <f>_xlfn.XLOOKUP(A:A,Sheet1!A:A,Sheet1!O:O)</f>
        <v>2.5125695216907653</v>
      </c>
      <c r="K117" t="str">
        <f>_xlfn.XLOOKUP(A:A,Sheet1!A:A,Sheet1!P:P)</f>
        <v>No</v>
      </c>
      <c r="L117" s="12">
        <f>_xlfn.XLOOKUP(A:A,Sheet1!A:A,Sheet1!S:S)</f>
        <v>0.86</v>
      </c>
    </row>
    <row r="118" spans="1:12" x14ac:dyDescent="0.35">
      <c r="A118" s="8" t="s">
        <v>287</v>
      </c>
      <c r="B118" s="2" t="str">
        <f>_xlfn.XLOOKUP(A118,Sheet1!A:A,Sheet1!B:B)</f>
        <v>Teresa Kim</v>
      </c>
      <c r="C118" s="2" t="str">
        <f>_xlfn.XLOOKUP(A:A,Sheet1!A:A,Sheet1!D:D)</f>
        <v>Female</v>
      </c>
      <c r="D118" s="8">
        <f>_xlfn.XLOOKUP(A:A,Sheet1!A:A,Sheet1!F:F)</f>
        <v>57</v>
      </c>
      <c r="E118" s="2" t="str">
        <f>_xlfn.XLOOKUP(A:A,Sheet1!A:A,Sheet1!G:G)</f>
        <v>Egypt</v>
      </c>
      <c r="F118" s="8" t="str">
        <f>_xlfn.XLOOKUP(A:A,Sheet1!A:A,Sheet1!H:H)</f>
        <v>Arabic</v>
      </c>
      <c r="G118" s="8" t="str">
        <f>_xlfn.XLOOKUP(A:A,Sheet1!A:A,Sheet1!I:I)</f>
        <v>UI/UX Design</v>
      </c>
      <c r="H118" s="8">
        <f>_xlfn.XLOOKUP(A:A,Sheet1!A:A,Sheet1!K:K)</f>
        <v>4</v>
      </c>
      <c r="I118" s="9">
        <f>_xlfn.XLOOKUP(A:A,Sheet1!A:A,Sheet1!M:M)</f>
        <v>40</v>
      </c>
      <c r="J118" s="10">
        <f>_xlfn.XLOOKUP(A:A,Sheet1!A:A,Sheet1!O:O)</f>
        <v>3.4</v>
      </c>
      <c r="K118" t="str">
        <f>_xlfn.XLOOKUP(A:A,Sheet1!A:A,Sheet1!P:P)</f>
        <v>Yes</v>
      </c>
      <c r="L118" s="12">
        <f>_xlfn.XLOOKUP(A:A,Sheet1!A:A,Sheet1!S:S)</f>
        <v>0.68</v>
      </c>
    </row>
    <row r="119" spans="1:12" x14ac:dyDescent="0.35">
      <c r="A119" s="8" t="s">
        <v>289</v>
      </c>
      <c r="B119" s="2" t="str">
        <f>_xlfn.XLOOKUP(A119,Sheet1!A:A,Sheet1!B:B)</f>
        <v>Jon Morgan</v>
      </c>
      <c r="C119" s="2" t="str">
        <f>_xlfn.XLOOKUP(A:A,Sheet1!A:A,Sheet1!D:D)</f>
        <v>Male</v>
      </c>
      <c r="D119" s="8">
        <f>_xlfn.XLOOKUP(A:A,Sheet1!A:A,Sheet1!F:F)</f>
        <v>27</v>
      </c>
      <c r="E119" s="2" t="str">
        <f>_xlfn.XLOOKUP(A:A,Sheet1!A:A,Sheet1!G:G)</f>
        <v>Australia</v>
      </c>
      <c r="F119" s="8" t="str">
        <f>_xlfn.XLOOKUP(A:A,Sheet1!A:A,Sheet1!H:H)</f>
        <v>English</v>
      </c>
      <c r="G119" s="8" t="str">
        <f>_xlfn.XLOOKUP(A:A,Sheet1!A:A,Sheet1!I:I)</f>
        <v>Machine Learning</v>
      </c>
      <c r="H119" s="8">
        <f>_xlfn.XLOOKUP(A:A,Sheet1!A:A,Sheet1!K:K)</f>
        <v>7</v>
      </c>
      <c r="I119" s="9">
        <f>_xlfn.XLOOKUP(A:A,Sheet1!A:A,Sheet1!M:M)</f>
        <v>20</v>
      </c>
      <c r="J119" s="10">
        <f>_xlfn.XLOOKUP(A:A,Sheet1!A:A,Sheet1!O:O)</f>
        <v>3.2</v>
      </c>
      <c r="K119" t="str">
        <f>_xlfn.XLOOKUP(A:A,Sheet1!A:A,Sheet1!P:P)</f>
        <v>Yes</v>
      </c>
      <c r="L119" s="12">
        <f>_xlfn.XLOOKUP(A:A,Sheet1!A:A,Sheet1!S:S)</f>
        <v>0.62</v>
      </c>
    </row>
    <row r="120" spans="1:12" x14ac:dyDescent="0.35">
      <c r="A120" s="8" t="s">
        <v>291</v>
      </c>
      <c r="B120" s="2" t="str">
        <f>_xlfn.XLOOKUP(A120,Sheet1!A:A,Sheet1!B:B)</f>
        <v>Gloria Chaney</v>
      </c>
      <c r="C120" s="2" t="str">
        <f>_xlfn.XLOOKUP(A:A,Sheet1!A:A,Sheet1!D:D)</f>
        <v>Female</v>
      </c>
      <c r="D120" s="8">
        <f>_xlfn.XLOOKUP(A:A,Sheet1!A:A,Sheet1!F:F)</f>
        <v>33</v>
      </c>
      <c r="E120" s="2" t="str">
        <f>_xlfn.XLOOKUP(A:A,Sheet1!A:A,Sheet1!G:G)</f>
        <v>Indonesia</v>
      </c>
      <c r="F120" s="8" t="str">
        <f>_xlfn.XLOOKUP(A:A,Sheet1!A:A,Sheet1!H:H)</f>
        <v>Indonesian</v>
      </c>
      <c r="G120" s="8" t="str">
        <f>_xlfn.XLOOKUP(A:A,Sheet1!A:A,Sheet1!I:I)</f>
        <v>Machine Learning</v>
      </c>
      <c r="H120" s="8">
        <f>_xlfn.XLOOKUP(A:A,Sheet1!A:A,Sheet1!K:K)</f>
        <v>13</v>
      </c>
      <c r="I120" s="9">
        <f>_xlfn.XLOOKUP(A:A,Sheet1!A:A,Sheet1!M:M)</f>
        <v>20</v>
      </c>
      <c r="J120" s="10">
        <f>_xlfn.XLOOKUP(A:A,Sheet1!A:A,Sheet1!O:O)</f>
        <v>3.2</v>
      </c>
      <c r="K120" t="str">
        <f>_xlfn.XLOOKUP(A:A,Sheet1!A:A,Sheet1!P:P)</f>
        <v>No</v>
      </c>
      <c r="L120" s="12">
        <f>_xlfn.XLOOKUP(A:A,Sheet1!A:A,Sheet1!S:S)</f>
        <v>0.79269417475728277</v>
      </c>
    </row>
    <row r="121" spans="1:12" x14ac:dyDescent="0.35">
      <c r="A121" s="8" t="s">
        <v>293</v>
      </c>
      <c r="B121" s="2" t="str">
        <f>_xlfn.XLOOKUP(A121,Sheet1!A:A,Sheet1!B:B)</f>
        <v>Jesse Campbell</v>
      </c>
      <c r="C121" s="2" t="str">
        <f>_xlfn.XLOOKUP(A:A,Sheet1!A:A,Sheet1!D:D)</f>
        <v>Male</v>
      </c>
      <c r="D121" s="8">
        <f>_xlfn.XLOOKUP(A:A,Sheet1!A:A,Sheet1!F:F)</f>
        <v>29</v>
      </c>
      <c r="E121" s="2" t="str">
        <f>_xlfn.XLOOKUP(A:A,Sheet1!A:A,Sheet1!G:G)</f>
        <v>South Korea</v>
      </c>
      <c r="F121" s="8" t="str">
        <f>_xlfn.XLOOKUP(A:A,Sheet1!A:A,Sheet1!H:H)</f>
        <v>Korean</v>
      </c>
      <c r="G121" s="8" t="str">
        <f>_xlfn.XLOOKUP(A:A,Sheet1!A:A,Sheet1!I:I)</f>
        <v>Data Analysis</v>
      </c>
      <c r="H121" s="8">
        <f>_xlfn.XLOOKUP(A:A,Sheet1!A:A,Sheet1!K:K)</f>
        <v>4</v>
      </c>
      <c r="I121" s="9">
        <f>_xlfn.XLOOKUP(A:A,Sheet1!A:A,Sheet1!M:M)</f>
        <v>30</v>
      </c>
      <c r="J121" s="11">
        <v>0</v>
      </c>
      <c r="K121" t="str">
        <f>_xlfn.XLOOKUP(A:A,Sheet1!A:A,Sheet1!P:P)</f>
        <v>Yes</v>
      </c>
      <c r="L121" s="12">
        <f>_xlfn.XLOOKUP(A:A,Sheet1!A:A,Sheet1!S:S)</f>
        <v>0.82</v>
      </c>
    </row>
    <row r="122" spans="1:12" x14ac:dyDescent="0.35">
      <c r="A122" s="8" t="s">
        <v>295</v>
      </c>
      <c r="B122" s="2" t="str">
        <f>_xlfn.XLOOKUP(A122,Sheet1!A:A,Sheet1!B:B)</f>
        <v xml:space="preserve">Allison Tucker </v>
      </c>
      <c r="C122" s="2" t="str">
        <f>_xlfn.XLOOKUP(A:A,Sheet1!A:A,Sheet1!D:D)</f>
        <v>Female</v>
      </c>
      <c r="D122" s="8">
        <f>_xlfn.XLOOKUP(A:A,Sheet1!A:A,Sheet1!F:F)</f>
        <v>36</v>
      </c>
      <c r="E122" s="2" t="str">
        <f>_xlfn.XLOOKUP(A:A,Sheet1!A:A,Sheet1!G:G)</f>
        <v>Indonesia</v>
      </c>
      <c r="F122" s="8" t="str">
        <f>_xlfn.XLOOKUP(A:A,Sheet1!A:A,Sheet1!H:H)</f>
        <v>Indonesian</v>
      </c>
      <c r="G122" s="8" t="str">
        <f>_xlfn.XLOOKUP(A:A,Sheet1!A:A,Sheet1!I:I)</f>
        <v>UI/UX Design</v>
      </c>
      <c r="H122" s="8">
        <f>_xlfn.XLOOKUP(A:A,Sheet1!A:A,Sheet1!K:K)</f>
        <v>13</v>
      </c>
      <c r="I122" s="9">
        <f>_xlfn.XLOOKUP(A:A,Sheet1!A:A,Sheet1!M:M)</f>
        <v>75</v>
      </c>
      <c r="J122" s="10">
        <f>_xlfn.XLOOKUP(A:A,Sheet1!A:A,Sheet1!O:O)</f>
        <v>2.5125695216907653</v>
      </c>
      <c r="K122" t="str">
        <f>_xlfn.XLOOKUP(A:A,Sheet1!A:A,Sheet1!P:P)</f>
        <v>Yes</v>
      </c>
      <c r="L122" s="12">
        <f>_xlfn.XLOOKUP(A:A,Sheet1!A:A,Sheet1!S:S)</f>
        <v>0.79269417475728277</v>
      </c>
    </row>
    <row r="123" spans="1:12" x14ac:dyDescent="0.35">
      <c r="A123" s="8" t="s">
        <v>296</v>
      </c>
      <c r="B123" s="2" t="str">
        <f>_xlfn.XLOOKUP(A123,Sheet1!A:A,Sheet1!B:B)</f>
        <v>Candice Petersen</v>
      </c>
      <c r="C123" s="2" t="str">
        <f>_xlfn.XLOOKUP(A:A,Sheet1!A:A,Sheet1!D:D)</f>
        <v>Female</v>
      </c>
      <c r="D123" s="8">
        <f>_xlfn.XLOOKUP(A:A,Sheet1!A:A,Sheet1!F:F)</f>
        <v>47</v>
      </c>
      <c r="E123" s="2" t="str">
        <f>_xlfn.XLOOKUP(A:A,Sheet1!A:A,Sheet1!G:G)</f>
        <v>Italy</v>
      </c>
      <c r="F123" s="8" t="str">
        <f>_xlfn.XLOOKUP(A:A,Sheet1!A:A,Sheet1!H:H)</f>
        <v>Italian</v>
      </c>
      <c r="G123" s="8" t="str">
        <f>_xlfn.XLOOKUP(A:A,Sheet1!A:A,Sheet1!I:I)</f>
        <v>DevOps</v>
      </c>
      <c r="H123" s="8">
        <f>_xlfn.XLOOKUP(A:A,Sheet1!A:A,Sheet1!K:K)</f>
        <v>5</v>
      </c>
      <c r="I123" s="9">
        <f>_xlfn.XLOOKUP(A:A,Sheet1!A:A,Sheet1!M:M)</f>
        <v>40</v>
      </c>
      <c r="J123" s="10">
        <f>_xlfn.XLOOKUP(A:A,Sheet1!A:A,Sheet1!O:O)</f>
        <v>3.7</v>
      </c>
      <c r="K123" t="str">
        <f>_xlfn.XLOOKUP(A:A,Sheet1!A:A,Sheet1!P:P)</f>
        <v>No</v>
      </c>
      <c r="L123" s="12">
        <f>_xlfn.XLOOKUP(A:A,Sheet1!A:A,Sheet1!S:S)</f>
        <v>0.93</v>
      </c>
    </row>
    <row r="124" spans="1:12" x14ac:dyDescent="0.35">
      <c r="A124" s="8" t="s">
        <v>298</v>
      </c>
      <c r="B124" s="2" t="str">
        <f>_xlfn.XLOOKUP(A124,Sheet1!A:A,Sheet1!B:B)</f>
        <v>Christopher Nichols</v>
      </c>
      <c r="C124" s="2" t="str">
        <f>_xlfn.XLOOKUP(A:A,Sheet1!A:A,Sheet1!D:D)</f>
        <v>Male</v>
      </c>
      <c r="D124" s="8">
        <f>_xlfn.XLOOKUP(A:A,Sheet1!A:A,Sheet1!F:F)</f>
        <v>48</v>
      </c>
      <c r="E124" s="2" t="str">
        <f>_xlfn.XLOOKUP(A:A,Sheet1!A:A,Sheet1!G:G)</f>
        <v>Canada</v>
      </c>
      <c r="F124" s="8" t="str">
        <f>_xlfn.XLOOKUP(A:A,Sheet1!A:A,Sheet1!H:H)</f>
        <v>English</v>
      </c>
      <c r="G124" s="8" t="str">
        <f>_xlfn.XLOOKUP(A:A,Sheet1!A:A,Sheet1!I:I)</f>
        <v>Machine Learning</v>
      </c>
      <c r="H124" s="8">
        <f>_xlfn.XLOOKUP(A:A,Sheet1!A:A,Sheet1!K:K)</f>
        <v>15</v>
      </c>
      <c r="I124" s="9">
        <f>_xlfn.XLOOKUP(A:A,Sheet1!A:A,Sheet1!M:M)</f>
        <v>50</v>
      </c>
      <c r="J124" s="10">
        <f>_xlfn.XLOOKUP(A:A,Sheet1!A:A,Sheet1!O:O)</f>
        <v>1</v>
      </c>
      <c r="K124" t="str">
        <f>_xlfn.XLOOKUP(A:A,Sheet1!A:A,Sheet1!P:P)</f>
        <v>Yes</v>
      </c>
      <c r="L124" s="12">
        <f>_xlfn.XLOOKUP(A:A,Sheet1!A:A,Sheet1!S:S)</f>
        <v>0.64</v>
      </c>
    </row>
    <row r="125" spans="1:12" x14ac:dyDescent="0.35">
      <c r="A125" s="8" t="s">
        <v>300</v>
      </c>
      <c r="B125" s="2" t="str">
        <f>_xlfn.XLOOKUP(A125,Sheet1!A:A,Sheet1!B:B)</f>
        <v>Debra Garcia</v>
      </c>
      <c r="C125" s="2" t="str">
        <f>_xlfn.XLOOKUP(A:A,Sheet1!A:A,Sheet1!D:D)</f>
        <v>Female</v>
      </c>
      <c r="D125" s="8">
        <f>_xlfn.XLOOKUP(A:A,Sheet1!A:A,Sheet1!F:F)</f>
        <v>27</v>
      </c>
      <c r="E125" s="2" t="str">
        <f>_xlfn.XLOOKUP(A:A,Sheet1!A:A,Sheet1!G:G)</f>
        <v>China</v>
      </c>
      <c r="F125" s="8" t="str">
        <f>_xlfn.XLOOKUP(A:A,Sheet1!A:A,Sheet1!H:H)</f>
        <v>Mandarin</v>
      </c>
      <c r="G125" s="8" t="str">
        <f>_xlfn.XLOOKUP(A:A,Sheet1!A:A,Sheet1!I:I)</f>
        <v>UI/UX Design</v>
      </c>
      <c r="H125" s="8">
        <f>_xlfn.XLOOKUP(A:A,Sheet1!A:A,Sheet1!K:K)</f>
        <v>8</v>
      </c>
      <c r="I125" s="9">
        <f>_xlfn.XLOOKUP(A:A,Sheet1!A:A,Sheet1!M:M)</f>
        <v>50</v>
      </c>
      <c r="J125" s="11">
        <v>0</v>
      </c>
      <c r="K125" t="str">
        <f>_xlfn.XLOOKUP(A:A,Sheet1!A:A,Sheet1!P:P)</f>
        <v>No</v>
      </c>
      <c r="L125" s="12">
        <f>_xlfn.XLOOKUP(A:A,Sheet1!A:A,Sheet1!S:S)</f>
        <v>0.79269417475728277</v>
      </c>
    </row>
    <row r="126" spans="1:12" x14ac:dyDescent="0.35">
      <c r="A126" s="8" t="s">
        <v>302</v>
      </c>
      <c r="B126" s="2" t="str">
        <f>_xlfn.XLOOKUP(A126,Sheet1!A:A,Sheet1!B:B)</f>
        <v>Andrew Fuentes</v>
      </c>
      <c r="C126" s="2" t="str">
        <f>_xlfn.XLOOKUP(A:A,Sheet1!A:A,Sheet1!D:D)</f>
        <v>Male</v>
      </c>
      <c r="D126" s="8">
        <f>_xlfn.XLOOKUP(A:A,Sheet1!A:A,Sheet1!F:F)</f>
        <v>34</v>
      </c>
      <c r="E126" s="2" t="str">
        <f>_xlfn.XLOOKUP(A:A,Sheet1!A:A,Sheet1!G:G)</f>
        <v>Australia</v>
      </c>
      <c r="F126" s="8" t="str">
        <f>_xlfn.XLOOKUP(A:A,Sheet1!A:A,Sheet1!H:H)</f>
        <v>English</v>
      </c>
      <c r="G126" s="8" t="str">
        <f>_xlfn.XLOOKUP(A:A,Sheet1!A:A,Sheet1!I:I)</f>
        <v>Web Development</v>
      </c>
      <c r="H126" s="8">
        <f>_xlfn.XLOOKUP(A:A,Sheet1!A:A,Sheet1!K:K)</f>
        <v>10</v>
      </c>
      <c r="I126" s="9">
        <f>_xlfn.XLOOKUP(A:A,Sheet1!A:A,Sheet1!M:M)</f>
        <v>40</v>
      </c>
      <c r="J126" s="10">
        <f>_xlfn.XLOOKUP(A:A,Sheet1!A:A,Sheet1!O:O)</f>
        <v>1.7</v>
      </c>
      <c r="K126" t="str">
        <f>_xlfn.XLOOKUP(A:A,Sheet1!A:A,Sheet1!P:P)</f>
        <v>No</v>
      </c>
      <c r="L126" s="12">
        <f>_xlfn.XLOOKUP(A:A,Sheet1!A:A,Sheet1!S:S)</f>
        <v>0.96</v>
      </c>
    </row>
    <row r="127" spans="1:12" x14ac:dyDescent="0.35">
      <c r="A127" s="8" t="s">
        <v>304</v>
      </c>
      <c r="B127" s="2" t="str">
        <f>_xlfn.XLOOKUP(A127,Sheet1!A:A,Sheet1!B:B)</f>
        <v>Jason Carter</v>
      </c>
      <c r="C127" s="2" t="str">
        <f>_xlfn.XLOOKUP(A:A,Sheet1!A:A,Sheet1!D:D)</f>
        <v>Male</v>
      </c>
      <c r="D127" s="8">
        <f>_xlfn.XLOOKUP(A:A,Sheet1!A:A,Sheet1!F:F)</f>
        <v>49</v>
      </c>
      <c r="E127" s="2" t="str">
        <f>_xlfn.XLOOKUP(A:A,Sheet1!A:A,Sheet1!G:G)</f>
        <v>South Korea</v>
      </c>
      <c r="F127" s="8" t="str">
        <f>_xlfn.XLOOKUP(A:A,Sheet1!A:A,Sheet1!H:H)</f>
        <v>Korean</v>
      </c>
      <c r="G127" s="8" t="str">
        <f>_xlfn.XLOOKUP(A:A,Sheet1!A:A,Sheet1!I:I)</f>
        <v>Data Analysis</v>
      </c>
      <c r="H127" s="8">
        <f>_xlfn.XLOOKUP(A:A,Sheet1!A:A,Sheet1!K:K)</f>
        <v>19</v>
      </c>
      <c r="I127" s="9">
        <f>_xlfn.XLOOKUP(A:A,Sheet1!A:A,Sheet1!M:M)</f>
        <v>40</v>
      </c>
      <c r="J127" s="10">
        <f>_xlfn.XLOOKUP(A:A,Sheet1!A:A,Sheet1!O:O)</f>
        <v>5</v>
      </c>
      <c r="K127" t="str">
        <f>_xlfn.XLOOKUP(A:A,Sheet1!A:A,Sheet1!P:P)</f>
        <v>Yes</v>
      </c>
      <c r="L127" s="12">
        <f>_xlfn.XLOOKUP(A:A,Sheet1!A:A,Sheet1!S:S)</f>
        <v>0.83</v>
      </c>
    </row>
    <row r="128" spans="1:12" x14ac:dyDescent="0.35">
      <c r="A128" s="8" t="s">
        <v>306</v>
      </c>
      <c r="B128" s="2" t="str">
        <f>_xlfn.XLOOKUP(A128,Sheet1!A:A,Sheet1!B:B)</f>
        <v>Austin Romero</v>
      </c>
      <c r="C128" s="2" t="str">
        <f>_xlfn.XLOOKUP(A:A,Sheet1!A:A,Sheet1!D:D)</f>
        <v>Male</v>
      </c>
      <c r="D128" s="8">
        <f>_xlfn.XLOOKUP(A:A,Sheet1!A:A,Sheet1!F:F)</f>
        <v>30</v>
      </c>
      <c r="E128" s="2" t="str">
        <f>_xlfn.XLOOKUP(A:A,Sheet1!A:A,Sheet1!G:G)</f>
        <v>Brazil</v>
      </c>
      <c r="F128" s="8" t="str">
        <f>_xlfn.XLOOKUP(A:A,Sheet1!A:A,Sheet1!H:H)</f>
        <v>Portuguese</v>
      </c>
      <c r="G128" s="8" t="str">
        <f>_xlfn.XLOOKUP(A:A,Sheet1!A:A,Sheet1!I:I)</f>
        <v>Mobile Apps</v>
      </c>
      <c r="H128" s="8">
        <f>_xlfn.XLOOKUP(A:A,Sheet1!A:A,Sheet1!K:K)</f>
        <v>10</v>
      </c>
      <c r="I128" s="9">
        <f>_xlfn.XLOOKUP(A:A,Sheet1!A:A,Sheet1!M:M)</f>
        <v>100</v>
      </c>
      <c r="J128" s="10">
        <f>_xlfn.XLOOKUP(A:A,Sheet1!A:A,Sheet1!O:O)</f>
        <v>1.7</v>
      </c>
      <c r="K128" t="str">
        <f>_xlfn.XLOOKUP(A:A,Sheet1!A:A,Sheet1!P:P)</f>
        <v>Yes</v>
      </c>
      <c r="L128" s="12">
        <f>_xlfn.XLOOKUP(A:A,Sheet1!A:A,Sheet1!S:S)</f>
        <v>0.64</v>
      </c>
    </row>
    <row r="129" spans="1:12" x14ac:dyDescent="0.35">
      <c r="A129" s="8" t="s">
        <v>308</v>
      </c>
      <c r="B129" s="2" t="str">
        <f>_xlfn.XLOOKUP(A129,Sheet1!A:A,Sheet1!B:B)</f>
        <v>Clayton Burns</v>
      </c>
      <c r="C129" s="2" t="str">
        <f>_xlfn.XLOOKUP(A:A,Sheet1!A:A,Sheet1!D:D)</f>
        <v>Male</v>
      </c>
      <c r="D129" s="8">
        <f>_xlfn.XLOOKUP(A:A,Sheet1!A:A,Sheet1!F:F)</f>
        <v>31</v>
      </c>
      <c r="E129" s="2" t="str">
        <f>_xlfn.XLOOKUP(A:A,Sheet1!A:A,Sheet1!G:G)</f>
        <v>Egypt</v>
      </c>
      <c r="F129" s="8" t="str">
        <f>_xlfn.XLOOKUP(A:A,Sheet1!A:A,Sheet1!H:H)</f>
        <v>Arabic</v>
      </c>
      <c r="G129" s="8" t="str">
        <f>_xlfn.XLOOKUP(A:A,Sheet1!A:A,Sheet1!I:I)</f>
        <v>Graphic Design</v>
      </c>
      <c r="H129" s="8">
        <f>_xlfn.XLOOKUP(A:A,Sheet1!A:A,Sheet1!K:K)</f>
        <v>8</v>
      </c>
      <c r="I129" s="9">
        <f>_xlfn.XLOOKUP(A:A,Sheet1!A:A,Sheet1!M:M)</f>
        <v>40</v>
      </c>
      <c r="J129" s="10">
        <f>_xlfn.XLOOKUP(A:A,Sheet1!A:A,Sheet1!O:O)</f>
        <v>4.4000000000000004</v>
      </c>
      <c r="K129" t="str">
        <f>_xlfn.XLOOKUP(A:A,Sheet1!A:A,Sheet1!P:P)</f>
        <v>No</v>
      </c>
      <c r="L129" s="12">
        <f>_xlfn.XLOOKUP(A:A,Sheet1!A:A,Sheet1!S:S)</f>
        <v>0.7</v>
      </c>
    </row>
    <row r="130" spans="1:12" x14ac:dyDescent="0.35">
      <c r="A130" s="8" t="s">
        <v>310</v>
      </c>
      <c r="B130" s="2" t="str">
        <f>_xlfn.XLOOKUP(A130,Sheet1!A:A,Sheet1!B:B)</f>
        <v>Jonathan Clark</v>
      </c>
      <c r="C130" s="2" t="str">
        <f>_xlfn.XLOOKUP(A:A,Sheet1!A:A,Sheet1!D:D)</f>
        <v>Male</v>
      </c>
      <c r="D130" s="8">
        <f>_xlfn.XLOOKUP(A:A,Sheet1!A:A,Sheet1!F:F)</f>
        <v>58</v>
      </c>
      <c r="E130" s="2" t="str">
        <f>_xlfn.XLOOKUP(A:A,Sheet1!A:A,Sheet1!G:G)</f>
        <v>China</v>
      </c>
      <c r="F130" s="8" t="str">
        <f>_xlfn.XLOOKUP(A:A,Sheet1!A:A,Sheet1!H:H)</f>
        <v>Mandarin</v>
      </c>
      <c r="G130" s="8" t="str">
        <f>_xlfn.XLOOKUP(A:A,Sheet1!A:A,Sheet1!I:I)</f>
        <v>Machine Learning</v>
      </c>
      <c r="H130" s="8">
        <f>_xlfn.XLOOKUP(A:A,Sheet1!A:A,Sheet1!K:K)</f>
        <v>9</v>
      </c>
      <c r="I130" s="9">
        <f>_xlfn.XLOOKUP(A:A,Sheet1!A:A,Sheet1!M:M)</f>
        <v>20</v>
      </c>
      <c r="J130" s="11">
        <v>0</v>
      </c>
      <c r="K130" t="str">
        <f>_xlfn.XLOOKUP(A:A,Sheet1!A:A,Sheet1!P:P)</f>
        <v>No</v>
      </c>
      <c r="L130" s="12">
        <f>_xlfn.XLOOKUP(A:A,Sheet1!A:A,Sheet1!S:S)</f>
        <v>0.65</v>
      </c>
    </row>
    <row r="131" spans="1:12" x14ac:dyDescent="0.35">
      <c r="A131" s="8" t="s">
        <v>312</v>
      </c>
      <c r="B131" s="2" t="str">
        <f>_xlfn.XLOOKUP(A131,Sheet1!A:A,Sheet1!B:B)</f>
        <v>Alexander Griffin</v>
      </c>
      <c r="C131" s="2" t="str">
        <f>_xlfn.XLOOKUP(A:A,Sheet1!A:A,Sheet1!D:D)</f>
        <v>Male</v>
      </c>
      <c r="D131" s="8">
        <f>_xlfn.XLOOKUP(A:A,Sheet1!A:A,Sheet1!F:F)</f>
        <v>47</v>
      </c>
      <c r="E131" s="2" t="str">
        <f>_xlfn.XLOOKUP(A:A,Sheet1!A:A,Sheet1!G:G)</f>
        <v>France</v>
      </c>
      <c r="F131" s="8" t="str">
        <f>_xlfn.XLOOKUP(A:A,Sheet1!A:A,Sheet1!H:H)</f>
        <v>French</v>
      </c>
      <c r="G131" s="8" t="str">
        <f>_xlfn.XLOOKUP(A:A,Sheet1!A:A,Sheet1!I:I)</f>
        <v>Machine Learning</v>
      </c>
      <c r="H131" s="8">
        <f>_xlfn.XLOOKUP(A:A,Sheet1!A:A,Sheet1!K:K)</f>
        <v>13</v>
      </c>
      <c r="I131" s="9">
        <f>_xlfn.XLOOKUP(A:A,Sheet1!A:A,Sheet1!M:M)</f>
        <v>40</v>
      </c>
      <c r="J131" s="10">
        <f>_xlfn.XLOOKUP(A:A,Sheet1!A:A,Sheet1!O:O)</f>
        <v>3.4</v>
      </c>
      <c r="K131" t="str">
        <f>_xlfn.XLOOKUP(A:A,Sheet1!A:A,Sheet1!P:P)</f>
        <v>No</v>
      </c>
      <c r="L131" s="12">
        <f>_xlfn.XLOOKUP(A:A,Sheet1!A:A,Sheet1!S:S)</f>
        <v>0.67</v>
      </c>
    </row>
    <row r="132" spans="1:12" x14ac:dyDescent="0.35">
      <c r="A132" s="8" t="s">
        <v>314</v>
      </c>
      <c r="B132" s="2" t="str">
        <f>_xlfn.XLOOKUP(A132,Sheet1!A:A,Sheet1!B:B)</f>
        <v>Shelly Whitehead</v>
      </c>
      <c r="C132" s="2" t="str">
        <f>_xlfn.XLOOKUP(A:A,Sheet1!A:A,Sheet1!D:D)</f>
        <v>Female</v>
      </c>
      <c r="D132" s="8">
        <f>_xlfn.XLOOKUP(A:A,Sheet1!A:A,Sheet1!F:F)</f>
        <v>45</v>
      </c>
      <c r="E132" s="2" t="str">
        <f>_xlfn.XLOOKUP(A:A,Sheet1!A:A,Sheet1!G:G)</f>
        <v>United Kingdom</v>
      </c>
      <c r="F132" s="8" t="str">
        <f>_xlfn.XLOOKUP(A:A,Sheet1!A:A,Sheet1!H:H)</f>
        <v>English</v>
      </c>
      <c r="G132" s="8" t="str">
        <f>_xlfn.XLOOKUP(A:A,Sheet1!A:A,Sheet1!I:I)</f>
        <v>Cybersecurity</v>
      </c>
      <c r="H132" s="8">
        <f>_xlfn.XLOOKUP(A:A,Sheet1!A:A,Sheet1!K:K)</f>
        <v>14</v>
      </c>
      <c r="I132" s="9">
        <f>_xlfn.XLOOKUP(A:A,Sheet1!A:A,Sheet1!M:M)</f>
        <v>100</v>
      </c>
      <c r="J132" s="10">
        <f>_xlfn.XLOOKUP(A:A,Sheet1!A:A,Sheet1!O:O)</f>
        <v>1.1000000000000001</v>
      </c>
      <c r="K132" t="str">
        <f>_xlfn.XLOOKUP(A:A,Sheet1!A:A,Sheet1!P:P)</f>
        <v>No</v>
      </c>
      <c r="L132" s="12">
        <f>_xlfn.XLOOKUP(A:A,Sheet1!A:A,Sheet1!S:S)</f>
        <v>0.93</v>
      </c>
    </row>
    <row r="133" spans="1:12" x14ac:dyDescent="0.35">
      <c r="A133" s="8" t="s">
        <v>316</v>
      </c>
      <c r="B133" s="2" t="str">
        <f>_xlfn.XLOOKUP(A133,Sheet1!A:A,Sheet1!B:B)</f>
        <v>Kaitlyn Davis</v>
      </c>
      <c r="C133" s="2" t="str">
        <f>_xlfn.XLOOKUP(A:A,Sheet1!A:A,Sheet1!D:D)</f>
        <v>Female</v>
      </c>
      <c r="D133" s="8">
        <f>_xlfn.XLOOKUP(A:A,Sheet1!A:A,Sheet1!F:F)</f>
        <v>57</v>
      </c>
      <c r="E133" s="2" t="str">
        <f>_xlfn.XLOOKUP(A:A,Sheet1!A:A,Sheet1!G:G)</f>
        <v>France</v>
      </c>
      <c r="F133" s="8" t="str">
        <f>_xlfn.XLOOKUP(A:A,Sheet1!A:A,Sheet1!H:H)</f>
        <v>French</v>
      </c>
      <c r="G133" s="8" t="str">
        <f>_xlfn.XLOOKUP(A:A,Sheet1!A:A,Sheet1!I:I)</f>
        <v>Machine Learning</v>
      </c>
      <c r="H133" s="8">
        <f>_xlfn.XLOOKUP(A:A,Sheet1!A:A,Sheet1!K:K)</f>
        <v>0</v>
      </c>
      <c r="I133" s="9">
        <f>_xlfn.XLOOKUP(A:A,Sheet1!A:A,Sheet1!M:M)</f>
        <v>50</v>
      </c>
      <c r="J133" s="10">
        <f>_xlfn.XLOOKUP(A:A,Sheet1!A:A,Sheet1!O:O)</f>
        <v>1.6</v>
      </c>
      <c r="K133" t="str">
        <f>_xlfn.XLOOKUP(A:A,Sheet1!A:A,Sheet1!P:P)</f>
        <v>No</v>
      </c>
      <c r="L133" s="12">
        <f>_xlfn.XLOOKUP(A:A,Sheet1!A:A,Sheet1!S:S)</f>
        <v>0.6</v>
      </c>
    </row>
    <row r="134" spans="1:12" x14ac:dyDescent="0.35">
      <c r="A134" s="8" t="s">
        <v>318</v>
      </c>
      <c r="B134" s="2" t="str">
        <f>_xlfn.XLOOKUP(A134,Sheet1!A:A,Sheet1!B:B)</f>
        <v>Christopher Jones</v>
      </c>
      <c r="C134" s="2" t="str">
        <f>_xlfn.XLOOKUP(A:A,Sheet1!A:A,Sheet1!D:D)</f>
        <v>Male</v>
      </c>
      <c r="D134" s="8">
        <f>_xlfn.XLOOKUP(A:A,Sheet1!A:A,Sheet1!F:F)</f>
        <v>50</v>
      </c>
      <c r="E134" s="2" t="str">
        <f>_xlfn.XLOOKUP(A:A,Sheet1!A:A,Sheet1!G:G)</f>
        <v>India</v>
      </c>
      <c r="F134" s="8" t="str">
        <f>_xlfn.XLOOKUP(A:A,Sheet1!A:A,Sheet1!H:H)</f>
        <v>Hindi</v>
      </c>
      <c r="G134" s="8" t="str">
        <f>_xlfn.XLOOKUP(A:A,Sheet1!A:A,Sheet1!I:I)</f>
        <v>Web Development</v>
      </c>
      <c r="H134" s="8">
        <f>_xlfn.XLOOKUP(A:A,Sheet1!A:A,Sheet1!K:K)</f>
        <v>22</v>
      </c>
      <c r="I134" s="9">
        <f>_xlfn.XLOOKUP(A:A,Sheet1!A:A,Sheet1!M:M)</f>
        <v>100</v>
      </c>
      <c r="J134" s="10">
        <f>_xlfn.XLOOKUP(A:A,Sheet1!A:A,Sheet1!O:O)</f>
        <v>4.0999999999999996</v>
      </c>
      <c r="K134" t="str">
        <f>_xlfn.XLOOKUP(A:A,Sheet1!A:A,Sheet1!P:P)</f>
        <v>No</v>
      </c>
      <c r="L134" s="12">
        <f>_xlfn.XLOOKUP(A:A,Sheet1!A:A,Sheet1!S:S)</f>
        <v>0.62</v>
      </c>
    </row>
    <row r="135" spans="1:12" x14ac:dyDescent="0.35">
      <c r="A135" s="8" t="s">
        <v>320</v>
      </c>
      <c r="B135" s="2" t="str">
        <f>_xlfn.XLOOKUP(A135,Sheet1!A:A,Sheet1!B:B)</f>
        <v>Cindy Jacobs</v>
      </c>
      <c r="C135" s="2" t="str">
        <f>_xlfn.XLOOKUP(A:A,Sheet1!A:A,Sheet1!D:D)</f>
        <v>Female</v>
      </c>
      <c r="D135" s="8">
        <f>_xlfn.XLOOKUP(A:A,Sheet1!A:A,Sheet1!F:F)</f>
        <v>41</v>
      </c>
      <c r="E135" s="2" t="str">
        <f>_xlfn.XLOOKUP(A:A,Sheet1!A:A,Sheet1!G:G)</f>
        <v>Brazil</v>
      </c>
      <c r="F135" s="8" t="str">
        <f>_xlfn.XLOOKUP(A:A,Sheet1!A:A,Sheet1!H:H)</f>
        <v>Portuguese</v>
      </c>
      <c r="G135" s="8" t="str">
        <f>_xlfn.XLOOKUP(A:A,Sheet1!A:A,Sheet1!I:I)</f>
        <v>Machine Learning</v>
      </c>
      <c r="H135" s="8">
        <f>_xlfn.XLOOKUP(A:A,Sheet1!A:A,Sheet1!K:K)</f>
        <v>4</v>
      </c>
      <c r="I135" s="9">
        <f>_xlfn.XLOOKUP(A:A,Sheet1!A:A,Sheet1!M:M)</f>
        <v>40</v>
      </c>
      <c r="J135" s="10">
        <f>_xlfn.XLOOKUP(A:A,Sheet1!A:A,Sheet1!O:O)</f>
        <v>2.5</v>
      </c>
      <c r="K135" t="str">
        <f>_xlfn.XLOOKUP(A:A,Sheet1!A:A,Sheet1!P:P)</f>
        <v>No</v>
      </c>
      <c r="L135" s="12">
        <f>_xlfn.XLOOKUP(A:A,Sheet1!A:A,Sheet1!S:S)</f>
        <v>0.7</v>
      </c>
    </row>
    <row r="136" spans="1:12" x14ac:dyDescent="0.35">
      <c r="A136" s="8" t="s">
        <v>322</v>
      </c>
      <c r="B136" s="2" t="str">
        <f>_xlfn.XLOOKUP(A136,Sheet1!A:A,Sheet1!B:B)</f>
        <v>Penny Day</v>
      </c>
      <c r="C136" s="2" t="str">
        <f>_xlfn.XLOOKUP(A:A,Sheet1!A:A,Sheet1!D:D)</f>
        <v>Female</v>
      </c>
      <c r="D136" s="8">
        <f>_xlfn.XLOOKUP(A:A,Sheet1!A:A,Sheet1!F:F)</f>
        <v>45</v>
      </c>
      <c r="E136" s="2" t="str">
        <f>_xlfn.XLOOKUP(A:A,Sheet1!A:A,Sheet1!G:G)</f>
        <v>Indonesia</v>
      </c>
      <c r="F136" s="8" t="str">
        <f>_xlfn.XLOOKUP(A:A,Sheet1!A:A,Sheet1!H:H)</f>
        <v>Indonesian</v>
      </c>
      <c r="G136" s="8" t="str">
        <f>_xlfn.XLOOKUP(A:A,Sheet1!A:A,Sheet1!I:I)</f>
        <v>Blockchain Development</v>
      </c>
      <c r="H136" s="8">
        <f>_xlfn.XLOOKUP(A:A,Sheet1!A:A,Sheet1!K:K)</f>
        <v>22</v>
      </c>
      <c r="I136" s="9">
        <f>_xlfn.XLOOKUP(A:A,Sheet1!A:A,Sheet1!M:M)</f>
        <v>100</v>
      </c>
      <c r="J136" s="10">
        <f>_xlfn.XLOOKUP(A:A,Sheet1!A:A,Sheet1!O:O)</f>
        <v>4</v>
      </c>
      <c r="K136" t="str">
        <f>_xlfn.XLOOKUP(A:A,Sheet1!A:A,Sheet1!P:P)</f>
        <v>Yes</v>
      </c>
      <c r="L136" s="12">
        <f>_xlfn.XLOOKUP(A:A,Sheet1!A:A,Sheet1!S:S)</f>
        <v>0.75</v>
      </c>
    </row>
    <row r="137" spans="1:12" x14ac:dyDescent="0.35">
      <c r="A137" s="8" t="s">
        <v>324</v>
      </c>
      <c r="B137" s="2" t="str">
        <f>_xlfn.XLOOKUP(A137,Sheet1!A:A,Sheet1!B:B)</f>
        <v>Thomas Ingram</v>
      </c>
      <c r="C137" s="2" t="str">
        <f>_xlfn.XLOOKUP(A:A,Sheet1!A:A,Sheet1!D:D)</f>
        <v>Male</v>
      </c>
      <c r="D137" s="8">
        <f>_xlfn.XLOOKUP(A:A,Sheet1!A:A,Sheet1!F:F)</f>
        <v>60</v>
      </c>
      <c r="E137" s="2" t="str">
        <f>_xlfn.XLOOKUP(A:A,Sheet1!A:A,Sheet1!G:G)</f>
        <v>South Africa</v>
      </c>
      <c r="F137" s="8" t="str">
        <f>_xlfn.XLOOKUP(A:A,Sheet1!A:A,Sheet1!H:H)</f>
        <v>Afrikaans</v>
      </c>
      <c r="G137" s="8" t="str">
        <f>_xlfn.XLOOKUP(A:A,Sheet1!A:A,Sheet1!I:I)</f>
        <v>Cybersecurity</v>
      </c>
      <c r="H137" s="8">
        <f>_xlfn.XLOOKUP(A:A,Sheet1!A:A,Sheet1!K:K)</f>
        <v>39</v>
      </c>
      <c r="I137" s="9">
        <f>_xlfn.XLOOKUP(A:A,Sheet1!A:A,Sheet1!M:M)</f>
        <v>75</v>
      </c>
      <c r="J137" s="10">
        <f>_xlfn.XLOOKUP(A:A,Sheet1!A:A,Sheet1!O:O)</f>
        <v>1.4</v>
      </c>
      <c r="K137" t="str">
        <f>_xlfn.XLOOKUP(A:A,Sheet1!A:A,Sheet1!P:P)</f>
        <v>No</v>
      </c>
      <c r="L137" s="12">
        <f>_xlfn.XLOOKUP(A:A,Sheet1!A:A,Sheet1!S:S)</f>
        <v>0.7</v>
      </c>
    </row>
    <row r="138" spans="1:12" x14ac:dyDescent="0.35">
      <c r="A138" s="8" t="s">
        <v>326</v>
      </c>
      <c r="B138" s="2" t="str">
        <f>_xlfn.XLOOKUP(A138,Sheet1!A:A,Sheet1!B:B)</f>
        <v>Donna Hansen</v>
      </c>
      <c r="C138" s="2" t="str">
        <f>_xlfn.XLOOKUP(A:A,Sheet1!A:A,Sheet1!D:D)</f>
        <v>Female</v>
      </c>
      <c r="D138" s="8">
        <f>_xlfn.XLOOKUP(A:A,Sheet1!A:A,Sheet1!F:F)</f>
        <v>43</v>
      </c>
      <c r="E138" s="2" t="str">
        <f>_xlfn.XLOOKUP(A:A,Sheet1!A:A,Sheet1!G:G)</f>
        <v>United Kingdom</v>
      </c>
      <c r="F138" s="8" t="str">
        <f>_xlfn.XLOOKUP(A:A,Sheet1!A:A,Sheet1!H:H)</f>
        <v>English</v>
      </c>
      <c r="G138" s="8" t="str">
        <f>_xlfn.XLOOKUP(A:A,Sheet1!A:A,Sheet1!I:I)</f>
        <v>Cybersecurity</v>
      </c>
      <c r="H138" s="8">
        <f>_xlfn.XLOOKUP(A:A,Sheet1!A:A,Sheet1!K:K)</f>
        <v>5</v>
      </c>
      <c r="I138" s="9">
        <f>_xlfn.XLOOKUP(A:A,Sheet1!A:A,Sheet1!M:M)</f>
        <v>50</v>
      </c>
      <c r="J138" s="10">
        <f>_xlfn.XLOOKUP(A:A,Sheet1!A:A,Sheet1!O:O)</f>
        <v>2.5125695216907653</v>
      </c>
      <c r="K138" t="str">
        <f>_xlfn.XLOOKUP(A:A,Sheet1!A:A,Sheet1!P:P)</f>
        <v>Yes</v>
      </c>
      <c r="L138" s="12">
        <f>_xlfn.XLOOKUP(A:A,Sheet1!A:A,Sheet1!S:S)</f>
        <v>0.84</v>
      </c>
    </row>
    <row r="139" spans="1:12" x14ac:dyDescent="0.35">
      <c r="A139" s="8" t="s">
        <v>328</v>
      </c>
      <c r="B139" s="2" t="str">
        <f>_xlfn.XLOOKUP(A139,Sheet1!A:A,Sheet1!B:B)</f>
        <v>Donna Bailey</v>
      </c>
      <c r="C139" s="2" t="str">
        <f>_xlfn.XLOOKUP(A:A,Sheet1!A:A,Sheet1!D:D)</f>
        <v>Female</v>
      </c>
      <c r="D139" s="8">
        <f>_xlfn.XLOOKUP(A:A,Sheet1!A:A,Sheet1!F:F)</f>
        <v>39</v>
      </c>
      <c r="E139" s="2" t="str">
        <f>_xlfn.XLOOKUP(A:A,Sheet1!A:A,Sheet1!G:G)</f>
        <v>France</v>
      </c>
      <c r="F139" s="8" t="str">
        <f>_xlfn.XLOOKUP(A:A,Sheet1!A:A,Sheet1!H:H)</f>
        <v>French</v>
      </c>
      <c r="G139" s="8" t="str">
        <f>_xlfn.XLOOKUP(A:A,Sheet1!A:A,Sheet1!I:I)</f>
        <v>Cybersecurity</v>
      </c>
      <c r="H139" s="8">
        <f>_xlfn.XLOOKUP(A:A,Sheet1!A:A,Sheet1!K:K)</f>
        <v>5</v>
      </c>
      <c r="I139" s="9">
        <f>_xlfn.XLOOKUP(A:A,Sheet1!A:A,Sheet1!M:M)</f>
        <v>40</v>
      </c>
      <c r="J139" s="10">
        <f>_xlfn.XLOOKUP(A:A,Sheet1!A:A,Sheet1!O:O)</f>
        <v>1.2</v>
      </c>
      <c r="K139" t="str">
        <f>_xlfn.XLOOKUP(A:A,Sheet1!A:A,Sheet1!P:P)</f>
        <v>No</v>
      </c>
      <c r="L139" s="12">
        <f>_xlfn.XLOOKUP(A:A,Sheet1!A:A,Sheet1!S:S)</f>
        <v>0.83</v>
      </c>
    </row>
    <row r="140" spans="1:12" x14ac:dyDescent="0.35">
      <c r="A140" s="8" t="s">
        <v>330</v>
      </c>
      <c r="B140" s="2" t="str">
        <f>_xlfn.XLOOKUP(A140,Sheet1!A:A,Sheet1!B:B)</f>
        <v>Joshua Armstrong</v>
      </c>
      <c r="C140" s="2" t="str">
        <f>_xlfn.XLOOKUP(A:A,Sheet1!A:A,Sheet1!D:D)</f>
        <v>Male</v>
      </c>
      <c r="D140" s="8">
        <f>_xlfn.XLOOKUP(A:A,Sheet1!A:A,Sheet1!F:F)</f>
        <v>26</v>
      </c>
      <c r="E140" s="2" t="str">
        <f>_xlfn.XLOOKUP(A:A,Sheet1!A:A,Sheet1!G:G)</f>
        <v>Mexico</v>
      </c>
      <c r="F140" s="8" t="str">
        <f>_xlfn.XLOOKUP(A:A,Sheet1!A:A,Sheet1!H:H)</f>
        <v>Spanish</v>
      </c>
      <c r="G140" s="8" t="str">
        <f>_xlfn.XLOOKUP(A:A,Sheet1!A:A,Sheet1!I:I)</f>
        <v>UI/UX Design</v>
      </c>
      <c r="H140" s="8">
        <f>_xlfn.XLOOKUP(A:A,Sheet1!A:A,Sheet1!K:K)</f>
        <v>5</v>
      </c>
      <c r="I140" s="9">
        <f>_xlfn.XLOOKUP(A:A,Sheet1!A:A,Sheet1!M:M)</f>
        <v>50</v>
      </c>
      <c r="J140" s="11">
        <v>0</v>
      </c>
      <c r="K140" t="str">
        <f>_xlfn.XLOOKUP(A:A,Sheet1!A:A,Sheet1!P:P)</f>
        <v>No</v>
      </c>
      <c r="L140" s="12">
        <f>_xlfn.XLOOKUP(A:A,Sheet1!A:A,Sheet1!S:S)</f>
        <v>0.79269417475728277</v>
      </c>
    </row>
    <row r="141" spans="1:12" x14ac:dyDescent="0.35">
      <c r="A141" s="8" t="s">
        <v>332</v>
      </c>
      <c r="B141" s="2" t="str">
        <f>_xlfn.XLOOKUP(A141,Sheet1!A:A,Sheet1!B:B)</f>
        <v>Jonathan Garza</v>
      </c>
      <c r="C141" s="2" t="str">
        <f>_xlfn.XLOOKUP(A:A,Sheet1!A:A,Sheet1!D:D)</f>
        <v>Male</v>
      </c>
      <c r="D141" s="8">
        <f>_xlfn.XLOOKUP(A:A,Sheet1!A:A,Sheet1!F:F)</f>
        <v>31</v>
      </c>
      <c r="E141" s="2" t="str">
        <f>_xlfn.XLOOKUP(A:A,Sheet1!A:A,Sheet1!G:G)</f>
        <v>Germany</v>
      </c>
      <c r="F141" s="8" t="str">
        <f>_xlfn.XLOOKUP(A:A,Sheet1!A:A,Sheet1!H:H)</f>
        <v>German</v>
      </c>
      <c r="G141" s="8" t="str">
        <f>_xlfn.XLOOKUP(A:A,Sheet1!A:A,Sheet1!I:I)</f>
        <v>Cybersecurity</v>
      </c>
      <c r="H141" s="8">
        <f>_xlfn.XLOOKUP(A:A,Sheet1!A:A,Sheet1!K:K)</f>
        <v>11</v>
      </c>
      <c r="I141" s="9">
        <f>_xlfn.XLOOKUP(A:A,Sheet1!A:A,Sheet1!M:M)</f>
        <v>50</v>
      </c>
      <c r="J141" s="10">
        <f>_xlfn.XLOOKUP(A:A,Sheet1!A:A,Sheet1!O:O)</f>
        <v>3.1</v>
      </c>
      <c r="K141" t="str">
        <f>_xlfn.XLOOKUP(A:A,Sheet1!A:A,Sheet1!P:P)</f>
        <v>No</v>
      </c>
      <c r="L141" s="12">
        <f>_xlfn.XLOOKUP(A:A,Sheet1!A:A,Sheet1!S:S)</f>
        <v>0.88</v>
      </c>
    </row>
    <row r="142" spans="1:12" x14ac:dyDescent="0.35">
      <c r="A142" s="8" t="s">
        <v>334</v>
      </c>
      <c r="B142" s="2" t="str">
        <f>_xlfn.XLOOKUP(A142,Sheet1!A:A,Sheet1!B:B)</f>
        <v>Charles Jones</v>
      </c>
      <c r="C142" s="2" t="str">
        <f>_xlfn.XLOOKUP(A:A,Sheet1!A:A,Sheet1!D:D)</f>
        <v>Male</v>
      </c>
      <c r="D142" s="8">
        <f>_xlfn.XLOOKUP(A:A,Sheet1!A:A,Sheet1!F:F)</f>
        <v>52</v>
      </c>
      <c r="E142" s="2" t="str">
        <f>_xlfn.XLOOKUP(A:A,Sheet1!A:A,Sheet1!G:G)</f>
        <v>France</v>
      </c>
      <c r="F142" s="8" t="str">
        <f>_xlfn.XLOOKUP(A:A,Sheet1!A:A,Sheet1!H:H)</f>
        <v>French</v>
      </c>
      <c r="G142" s="8" t="str">
        <f>_xlfn.XLOOKUP(A:A,Sheet1!A:A,Sheet1!I:I)</f>
        <v>UI/UX Design</v>
      </c>
      <c r="H142" s="8">
        <f>_xlfn.XLOOKUP(A:A,Sheet1!A:A,Sheet1!K:K)</f>
        <v>15</v>
      </c>
      <c r="I142" s="9">
        <f>_xlfn.XLOOKUP(A:A,Sheet1!A:A,Sheet1!M:M)</f>
        <v>50</v>
      </c>
      <c r="J142" s="11">
        <v>0</v>
      </c>
      <c r="K142" t="str">
        <f>_xlfn.XLOOKUP(A:A,Sheet1!A:A,Sheet1!P:P)</f>
        <v>Yes</v>
      </c>
      <c r="L142" s="12">
        <f>_xlfn.XLOOKUP(A:A,Sheet1!A:A,Sheet1!S:S)</f>
        <v>0.81</v>
      </c>
    </row>
    <row r="143" spans="1:12" x14ac:dyDescent="0.35">
      <c r="A143" s="8" t="s">
        <v>336</v>
      </c>
      <c r="B143" s="2" t="str">
        <f>_xlfn.XLOOKUP(A143,Sheet1!A:A,Sheet1!B:B)</f>
        <v>Lindsey Miles</v>
      </c>
      <c r="C143" s="2" t="str">
        <f>_xlfn.XLOOKUP(A:A,Sheet1!A:A,Sheet1!D:D)</f>
        <v>Female</v>
      </c>
      <c r="D143" s="8">
        <f>_xlfn.XLOOKUP(A:A,Sheet1!A:A,Sheet1!F:F)</f>
        <v>34</v>
      </c>
      <c r="E143" s="2" t="str">
        <f>_xlfn.XLOOKUP(A:A,Sheet1!A:A,Sheet1!G:G)</f>
        <v>India</v>
      </c>
      <c r="F143" s="8" t="str">
        <f>_xlfn.XLOOKUP(A:A,Sheet1!A:A,Sheet1!H:H)</f>
        <v>Hindi</v>
      </c>
      <c r="G143" s="8" t="str">
        <f>_xlfn.XLOOKUP(A:A,Sheet1!A:A,Sheet1!I:I)</f>
        <v>Data Analysis</v>
      </c>
      <c r="H143" s="8">
        <f>_xlfn.XLOOKUP(A:A,Sheet1!A:A,Sheet1!K:K)</f>
        <v>5</v>
      </c>
      <c r="I143" s="9">
        <f>_xlfn.XLOOKUP(A:A,Sheet1!A:A,Sheet1!M:M)</f>
        <v>20</v>
      </c>
      <c r="J143" s="10">
        <f>_xlfn.XLOOKUP(A:A,Sheet1!A:A,Sheet1!O:O)</f>
        <v>2.2000000000000002</v>
      </c>
      <c r="K143" t="str">
        <f>_xlfn.XLOOKUP(A:A,Sheet1!A:A,Sheet1!P:P)</f>
        <v>Yes</v>
      </c>
      <c r="L143" s="12">
        <f>_xlfn.XLOOKUP(A:A,Sheet1!A:A,Sheet1!S:S)</f>
        <v>0.8</v>
      </c>
    </row>
    <row r="144" spans="1:12" x14ac:dyDescent="0.35">
      <c r="A144" s="8" t="s">
        <v>338</v>
      </c>
      <c r="B144" s="2" t="str">
        <f>_xlfn.XLOOKUP(A144,Sheet1!A:A,Sheet1!B:B)</f>
        <v>Eduardo Reed</v>
      </c>
      <c r="C144" s="2" t="str">
        <f>_xlfn.XLOOKUP(A:A,Sheet1!A:A,Sheet1!D:D)</f>
        <v>Male</v>
      </c>
      <c r="D144" s="8">
        <f>_xlfn.XLOOKUP(A:A,Sheet1!A:A,Sheet1!F:F)</f>
        <v>45</v>
      </c>
      <c r="E144" s="2" t="str">
        <f>_xlfn.XLOOKUP(A:A,Sheet1!A:A,Sheet1!G:G)</f>
        <v>United Kingdom</v>
      </c>
      <c r="F144" s="8" t="str">
        <f>_xlfn.XLOOKUP(A:A,Sheet1!A:A,Sheet1!H:H)</f>
        <v>English</v>
      </c>
      <c r="G144" s="8" t="str">
        <f>_xlfn.XLOOKUP(A:A,Sheet1!A:A,Sheet1!I:I)</f>
        <v>Web Development</v>
      </c>
      <c r="H144" s="8">
        <f>_xlfn.XLOOKUP(A:A,Sheet1!A:A,Sheet1!K:K)</f>
        <v>7</v>
      </c>
      <c r="I144" s="9">
        <f>_xlfn.XLOOKUP(A:A,Sheet1!A:A,Sheet1!M:M)</f>
        <v>75</v>
      </c>
      <c r="J144" s="10">
        <f>_xlfn.XLOOKUP(A:A,Sheet1!A:A,Sheet1!O:O)</f>
        <v>3</v>
      </c>
      <c r="K144" t="str">
        <f>_xlfn.XLOOKUP(A:A,Sheet1!A:A,Sheet1!P:P)</f>
        <v>Yes</v>
      </c>
      <c r="L144" s="12">
        <f>_xlfn.XLOOKUP(A:A,Sheet1!A:A,Sheet1!S:S)</f>
        <v>0.67</v>
      </c>
    </row>
    <row r="145" spans="1:12" x14ac:dyDescent="0.35">
      <c r="A145" s="8" t="s">
        <v>340</v>
      </c>
      <c r="B145" s="2" t="str">
        <f>_xlfn.XLOOKUP(A145,Sheet1!A:A,Sheet1!B:B)</f>
        <v>Lee Fowler</v>
      </c>
      <c r="C145" s="2" t="str">
        <f>_xlfn.XLOOKUP(A:A,Sheet1!A:A,Sheet1!D:D)</f>
        <v>Male</v>
      </c>
      <c r="D145" s="8">
        <f>_xlfn.XLOOKUP(A:A,Sheet1!A:A,Sheet1!F:F)</f>
        <v>46</v>
      </c>
      <c r="E145" s="2" t="str">
        <f>_xlfn.XLOOKUP(A:A,Sheet1!A:A,Sheet1!G:G)</f>
        <v>United Kingdom</v>
      </c>
      <c r="F145" s="8" t="str">
        <f>_xlfn.XLOOKUP(A:A,Sheet1!A:A,Sheet1!H:H)</f>
        <v>English</v>
      </c>
      <c r="G145" s="8" t="str">
        <f>_xlfn.XLOOKUP(A:A,Sheet1!A:A,Sheet1!I:I)</f>
        <v>Cybersecurity</v>
      </c>
      <c r="H145" s="8">
        <f>_xlfn.XLOOKUP(A:A,Sheet1!A:A,Sheet1!K:K)</f>
        <v>9</v>
      </c>
      <c r="I145" s="9">
        <f>_xlfn.XLOOKUP(A:A,Sheet1!A:A,Sheet1!M:M)</f>
        <v>20</v>
      </c>
      <c r="J145" s="11">
        <v>0</v>
      </c>
      <c r="K145" t="str">
        <f>_xlfn.XLOOKUP(A:A,Sheet1!A:A,Sheet1!P:P)</f>
        <v>No</v>
      </c>
      <c r="L145" s="12">
        <f>_xlfn.XLOOKUP(A:A,Sheet1!A:A,Sheet1!S:S)</f>
        <v>0.82</v>
      </c>
    </row>
    <row r="146" spans="1:12" x14ac:dyDescent="0.35">
      <c r="A146" s="8" t="s">
        <v>342</v>
      </c>
      <c r="B146" s="2" t="str">
        <f>_xlfn.XLOOKUP(A146,Sheet1!A:A,Sheet1!B:B)</f>
        <v xml:space="preserve">Steven Jones </v>
      </c>
      <c r="C146" s="2" t="str">
        <f>_xlfn.XLOOKUP(A:A,Sheet1!A:A,Sheet1!D:D)</f>
        <v>Male</v>
      </c>
      <c r="D146" s="8">
        <f>_xlfn.XLOOKUP(A:A,Sheet1!A:A,Sheet1!F:F)</f>
        <v>56</v>
      </c>
      <c r="E146" s="2" t="str">
        <f>_xlfn.XLOOKUP(A:A,Sheet1!A:A,Sheet1!G:G)</f>
        <v>France</v>
      </c>
      <c r="F146" s="8" t="str">
        <f>_xlfn.XLOOKUP(A:A,Sheet1!A:A,Sheet1!H:H)</f>
        <v>French</v>
      </c>
      <c r="G146" s="8" t="str">
        <f>_xlfn.XLOOKUP(A:A,Sheet1!A:A,Sheet1!I:I)</f>
        <v>UI/UX Design</v>
      </c>
      <c r="H146" s="8">
        <f>_xlfn.XLOOKUP(A:A,Sheet1!A:A,Sheet1!K:K)</f>
        <v>21</v>
      </c>
      <c r="I146" s="9">
        <f>_xlfn.XLOOKUP(A:A,Sheet1!A:A,Sheet1!M:M)</f>
        <v>100</v>
      </c>
      <c r="J146" s="11">
        <v>0</v>
      </c>
      <c r="K146" t="str">
        <f>_xlfn.XLOOKUP(A:A,Sheet1!A:A,Sheet1!P:P)</f>
        <v>Yes</v>
      </c>
      <c r="L146" s="12">
        <f>_xlfn.XLOOKUP(A:A,Sheet1!A:A,Sheet1!S:S)</f>
        <v>0.78</v>
      </c>
    </row>
    <row r="147" spans="1:12" x14ac:dyDescent="0.35">
      <c r="A147" s="8" t="s">
        <v>343</v>
      </c>
      <c r="B147" s="2" t="str">
        <f>_xlfn.XLOOKUP(A147,Sheet1!A:A,Sheet1!B:B)</f>
        <v>Ashley Chen</v>
      </c>
      <c r="C147" s="2" t="str">
        <f>_xlfn.XLOOKUP(A:A,Sheet1!A:A,Sheet1!D:D)</f>
        <v>Female</v>
      </c>
      <c r="D147" s="8">
        <f>_xlfn.XLOOKUP(A:A,Sheet1!A:A,Sheet1!F:F)</f>
        <v>59</v>
      </c>
      <c r="E147" s="2" t="str">
        <f>_xlfn.XLOOKUP(A:A,Sheet1!A:A,Sheet1!G:G)</f>
        <v>Germany</v>
      </c>
      <c r="F147" s="8" t="str">
        <f>_xlfn.XLOOKUP(A:A,Sheet1!A:A,Sheet1!H:H)</f>
        <v>German</v>
      </c>
      <c r="G147" s="8" t="str">
        <f>_xlfn.XLOOKUP(A:A,Sheet1!A:A,Sheet1!I:I)</f>
        <v>AI</v>
      </c>
      <c r="H147" s="8">
        <f>_xlfn.XLOOKUP(A:A,Sheet1!A:A,Sheet1!K:K)</f>
        <v>7</v>
      </c>
      <c r="I147" s="9">
        <f>_xlfn.XLOOKUP(A:A,Sheet1!A:A,Sheet1!M:M)</f>
        <v>40</v>
      </c>
      <c r="J147" s="10">
        <f>_xlfn.XLOOKUP(A:A,Sheet1!A:A,Sheet1!O:O)</f>
        <v>1.4</v>
      </c>
      <c r="K147" t="str">
        <f>_xlfn.XLOOKUP(A:A,Sheet1!A:A,Sheet1!P:P)</f>
        <v>No</v>
      </c>
      <c r="L147" s="12">
        <f>_xlfn.XLOOKUP(A:A,Sheet1!A:A,Sheet1!S:S)</f>
        <v>0.81</v>
      </c>
    </row>
    <row r="148" spans="1:12" x14ac:dyDescent="0.35">
      <c r="A148" s="8" t="s">
        <v>345</v>
      </c>
      <c r="B148" s="2" t="str">
        <f>_xlfn.XLOOKUP(A148,Sheet1!A:A,Sheet1!B:B)</f>
        <v>Erica Davis</v>
      </c>
      <c r="C148" s="2" t="str">
        <f>_xlfn.XLOOKUP(A:A,Sheet1!A:A,Sheet1!D:D)</f>
        <v>Female</v>
      </c>
      <c r="D148" s="8">
        <f>_xlfn.XLOOKUP(A:A,Sheet1!A:A,Sheet1!F:F)</f>
        <v>54</v>
      </c>
      <c r="E148" s="2" t="str">
        <f>_xlfn.XLOOKUP(A:A,Sheet1!A:A,Sheet1!G:G)</f>
        <v>Egypt</v>
      </c>
      <c r="F148" s="8" t="str">
        <f>_xlfn.XLOOKUP(A:A,Sheet1!A:A,Sheet1!H:H)</f>
        <v>Arabic</v>
      </c>
      <c r="G148" s="8" t="str">
        <f>_xlfn.XLOOKUP(A:A,Sheet1!A:A,Sheet1!I:I)</f>
        <v>Blockchain Development</v>
      </c>
      <c r="H148" s="8">
        <f>_xlfn.XLOOKUP(A:A,Sheet1!A:A,Sheet1!K:K)</f>
        <v>4</v>
      </c>
      <c r="I148" s="9">
        <f>_xlfn.XLOOKUP(A:A,Sheet1!A:A,Sheet1!M:M)</f>
        <v>40</v>
      </c>
      <c r="J148" s="10">
        <f>_xlfn.XLOOKUP(A:A,Sheet1!A:A,Sheet1!O:O)</f>
        <v>1.4</v>
      </c>
      <c r="K148" t="str">
        <f>_xlfn.XLOOKUP(A:A,Sheet1!A:A,Sheet1!P:P)</f>
        <v>Yes</v>
      </c>
      <c r="L148" s="12">
        <f>_xlfn.XLOOKUP(A:A,Sheet1!A:A,Sheet1!S:S)</f>
        <v>0.74</v>
      </c>
    </row>
    <row r="149" spans="1:12" x14ac:dyDescent="0.35">
      <c r="A149" s="8" t="s">
        <v>347</v>
      </c>
      <c r="B149" s="2" t="str">
        <f>_xlfn.XLOOKUP(A149,Sheet1!A:A,Sheet1!B:B)</f>
        <v>Wayne Gonzales</v>
      </c>
      <c r="C149" s="2" t="str">
        <f>_xlfn.XLOOKUP(A:A,Sheet1!A:A,Sheet1!D:D)</f>
        <v>Male</v>
      </c>
      <c r="D149" s="8">
        <f>_xlfn.XLOOKUP(A:A,Sheet1!A:A,Sheet1!F:F)</f>
        <v>36</v>
      </c>
      <c r="E149" s="2" t="str">
        <f>_xlfn.XLOOKUP(A:A,Sheet1!A:A,Sheet1!G:G)</f>
        <v>Germany</v>
      </c>
      <c r="F149" s="8" t="str">
        <f>_xlfn.XLOOKUP(A:A,Sheet1!A:A,Sheet1!H:H)</f>
        <v>German</v>
      </c>
      <c r="G149" s="8" t="str">
        <f>_xlfn.XLOOKUP(A:A,Sheet1!A:A,Sheet1!I:I)</f>
        <v>UI/UX Design</v>
      </c>
      <c r="H149" s="8">
        <f>_xlfn.XLOOKUP(A:A,Sheet1!A:A,Sheet1!K:K)</f>
        <v>7</v>
      </c>
      <c r="I149" s="9">
        <f>_xlfn.XLOOKUP(A:A,Sheet1!A:A,Sheet1!M:M)</f>
        <v>30</v>
      </c>
      <c r="J149" s="11">
        <v>0</v>
      </c>
      <c r="K149" t="str">
        <f>_xlfn.XLOOKUP(A:A,Sheet1!A:A,Sheet1!P:P)</f>
        <v>No</v>
      </c>
      <c r="L149" s="12">
        <f>_xlfn.XLOOKUP(A:A,Sheet1!A:A,Sheet1!S:S)</f>
        <v>0.88</v>
      </c>
    </row>
    <row r="150" spans="1:12" x14ac:dyDescent="0.35">
      <c r="A150" s="8" t="s">
        <v>349</v>
      </c>
      <c r="B150" s="2" t="str">
        <f>_xlfn.XLOOKUP(A150,Sheet1!A:A,Sheet1!B:B)</f>
        <v>Gary Ballard</v>
      </c>
      <c r="C150" s="2" t="str">
        <f>_xlfn.XLOOKUP(A:A,Sheet1!A:A,Sheet1!D:D)</f>
        <v>Male</v>
      </c>
      <c r="D150" s="8">
        <f>_xlfn.XLOOKUP(A:A,Sheet1!A:A,Sheet1!F:F)</f>
        <v>25</v>
      </c>
      <c r="E150" s="2" t="str">
        <f>_xlfn.XLOOKUP(A:A,Sheet1!A:A,Sheet1!G:G)</f>
        <v>Mexico</v>
      </c>
      <c r="F150" s="8" t="str">
        <f>_xlfn.XLOOKUP(A:A,Sheet1!A:A,Sheet1!H:H)</f>
        <v>Spanish</v>
      </c>
      <c r="G150" s="8" t="str">
        <f>_xlfn.XLOOKUP(A:A,Sheet1!A:A,Sheet1!I:I)</f>
        <v>Data Analysis</v>
      </c>
      <c r="H150" s="8">
        <f>_xlfn.XLOOKUP(A:A,Sheet1!A:A,Sheet1!K:K)</f>
        <v>0</v>
      </c>
      <c r="I150" s="9">
        <f>_xlfn.XLOOKUP(A:A,Sheet1!A:A,Sheet1!M:M)</f>
        <v>40</v>
      </c>
      <c r="J150" s="11">
        <v>0</v>
      </c>
      <c r="K150" t="str">
        <f>_xlfn.XLOOKUP(A:A,Sheet1!A:A,Sheet1!P:P)</f>
        <v>No</v>
      </c>
      <c r="L150" s="12">
        <f>_xlfn.XLOOKUP(A:A,Sheet1!A:A,Sheet1!S:S)</f>
        <v>0.9</v>
      </c>
    </row>
    <row r="151" spans="1:12" x14ac:dyDescent="0.35">
      <c r="A151" s="8" t="s">
        <v>351</v>
      </c>
      <c r="B151" s="2" t="str">
        <f>_xlfn.XLOOKUP(A151,Sheet1!A:A,Sheet1!B:B)</f>
        <v>Maria Mcguire</v>
      </c>
      <c r="C151" s="2" t="str">
        <f>_xlfn.XLOOKUP(A:A,Sheet1!A:A,Sheet1!D:D)</f>
        <v>Female</v>
      </c>
      <c r="D151" s="8">
        <f>_xlfn.XLOOKUP(A:A,Sheet1!A:A,Sheet1!F:F)</f>
        <v>37</v>
      </c>
      <c r="E151" s="2" t="str">
        <f>_xlfn.XLOOKUP(A:A,Sheet1!A:A,Sheet1!G:G)</f>
        <v>Russia</v>
      </c>
      <c r="F151" s="8" t="str">
        <f>_xlfn.XLOOKUP(A:A,Sheet1!A:A,Sheet1!H:H)</f>
        <v>Russian</v>
      </c>
      <c r="G151" s="8" t="str">
        <f>_xlfn.XLOOKUP(A:A,Sheet1!A:A,Sheet1!I:I)</f>
        <v>Data Analysis</v>
      </c>
      <c r="H151" s="8">
        <f>_xlfn.XLOOKUP(A:A,Sheet1!A:A,Sheet1!K:K)</f>
        <v>15</v>
      </c>
      <c r="I151" s="9">
        <f>_xlfn.XLOOKUP(A:A,Sheet1!A:A,Sheet1!M:M)</f>
        <v>40</v>
      </c>
      <c r="J151" s="10">
        <f>_xlfn.XLOOKUP(A:A,Sheet1!A:A,Sheet1!O:O)</f>
        <v>2.9</v>
      </c>
      <c r="K151" t="str">
        <f>_xlfn.XLOOKUP(A:A,Sheet1!A:A,Sheet1!P:P)</f>
        <v>No</v>
      </c>
      <c r="L151" s="12">
        <f>_xlfn.XLOOKUP(A:A,Sheet1!A:A,Sheet1!S:S)</f>
        <v>0.79269417475728277</v>
      </c>
    </row>
    <row r="152" spans="1:12" x14ac:dyDescent="0.35">
      <c r="A152" s="8" t="s">
        <v>353</v>
      </c>
      <c r="B152" s="2" t="str">
        <f>_xlfn.XLOOKUP(A152,Sheet1!A:A,Sheet1!B:B)</f>
        <v>Matthew Richards</v>
      </c>
      <c r="C152" s="2" t="str">
        <f>_xlfn.XLOOKUP(A:A,Sheet1!A:A,Sheet1!D:D)</f>
        <v>Male</v>
      </c>
      <c r="D152" s="8">
        <f>_xlfn.XLOOKUP(A:A,Sheet1!A:A,Sheet1!F:F)</f>
        <v>41</v>
      </c>
      <c r="E152" s="2" t="str">
        <f>_xlfn.XLOOKUP(A:A,Sheet1!A:A,Sheet1!G:G)</f>
        <v>Turkey</v>
      </c>
      <c r="F152" s="8" t="str">
        <f>_xlfn.XLOOKUP(A:A,Sheet1!A:A,Sheet1!H:H)</f>
        <v>Turkish</v>
      </c>
      <c r="G152" s="8" t="str">
        <f>_xlfn.XLOOKUP(A:A,Sheet1!A:A,Sheet1!I:I)</f>
        <v>Data Analysis</v>
      </c>
      <c r="H152" s="8">
        <f>_xlfn.XLOOKUP(A:A,Sheet1!A:A,Sheet1!K:K)</f>
        <v>10</v>
      </c>
      <c r="I152" s="9">
        <f>_xlfn.XLOOKUP(A:A,Sheet1!A:A,Sheet1!M:M)</f>
        <v>40</v>
      </c>
      <c r="J152" s="11">
        <v>0</v>
      </c>
      <c r="K152" t="str">
        <f>_xlfn.XLOOKUP(A:A,Sheet1!A:A,Sheet1!P:P)</f>
        <v>No</v>
      </c>
      <c r="L152" s="12">
        <f>_xlfn.XLOOKUP(A:A,Sheet1!A:A,Sheet1!S:S)</f>
        <v>0.79269417475728277</v>
      </c>
    </row>
    <row r="153" spans="1:12" x14ac:dyDescent="0.35">
      <c r="A153" s="8" t="s">
        <v>355</v>
      </c>
      <c r="B153" s="2" t="str">
        <f>_xlfn.XLOOKUP(A153,Sheet1!A:A,Sheet1!B:B)</f>
        <v>Patrick Malone</v>
      </c>
      <c r="C153" s="2" t="str">
        <f>_xlfn.XLOOKUP(A:A,Sheet1!A:A,Sheet1!D:D)</f>
        <v>Male</v>
      </c>
      <c r="D153" s="8">
        <f>_xlfn.XLOOKUP(A:A,Sheet1!A:A,Sheet1!F:F)</f>
        <v>29</v>
      </c>
      <c r="E153" s="2" t="str">
        <f>_xlfn.XLOOKUP(A:A,Sheet1!A:A,Sheet1!G:G)</f>
        <v>Spain</v>
      </c>
      <c r="F153" s="8" t="str">
        <f>_xlfn.XLOOKUP(A:A,Sheet1!A:A,Sheet1!H:H)</f>
        <v>Spanish</v>
      </c>
      <c r="G153" s="8" t="str">
        <f>_xlfn.XLOOKUP(A:A,Sheet1!A:A,Sheet1!I:I)</f>
        <v>Data Analysis</v>
      </c>
      <c r="H153" s="8">
        <f>_xlfn.XLOOKUP(A:A,Sheet1!A:A,Sheet1!K:K)</f>
        <v>11</v>
      </c>
      <c r="I153" s="9">
        <f>_xlfn.XLOOKUP(A:A,Sheet1!A:A,Sheet1!M:M)</f>
        <v>20</v>
      </c>
      <c r="J153" s="10">
        <f>_xlfn.XLOOKUP(A:A,Sheet1!A:A,Sheet1!O:O)</f>
        <v>2.7</v>
      </c>
      <c r="K153" t="str">
        <f>_xlfn.XLOOKUP(A:A,Sheet1!A:A,Sheet1!P:P)</f>
        <v>No</v>
      </c>
      <c r="L153" s="12">
        <f>_xlfn.XLOOKUP(A:A,Sheet1!A:A,Sheet1!S:S)</f>
        <v>0.93</v>
      </c>
    </row>
    <row r="154" spans="1:12" x14ac:dyDescent="0.35">
      <c r="A154" s="8" t="s">
        <v>357</v>
      </c>
      <c r="B154" s="2" t="str">
        <f>_xlfn.XLOOKUP(A154,Sheet1!A:A,Sheet1!B:B)</f>
        <v>Cindy Martin</v>
      </c>
      <c r="C154" s="2" t="str">
        <f>_xlfn.XLOOKUP(A:A,Sheet1!A:A,Sheet1!D:D)</f>
        <v>Female</v>
      </c>
      <c r="D154" s="8">
        <f>_xlfn.XLOOKUP(A:A,Sheet1!A:A,Sheet1!F:F)</f>
        <v>55</v>
      </c>
      <c r="E154" s="2" t="str">
        <f>_xlfn.XLOOKUP(A:A,Sheet1!A:A,Sheet1!G:G)</f>
        <v>Argentina</v>
      </c>
      <c r="F154" s="8" t="str">
        <f>_xlfn.XLOOKUP(A:A,Sheet1!A:A,Sheet1!H:H)</f>
        <v>Spanish</v>
      </c>
      <c r="G154" s="8" t="str">
        <f>_xlfn.XLOOKUP(A:A,Sheet1!A:A,Sheet1!I:I)</f>
        <v>Mobile Apps</v>
      </c>
      <c r="H154" s="8">
        <f>_xlfn.XLOOKUP(A:A,Sheet1!A:A,Sheet1!K:K)</f>
        <v>12</v>
      </c>
      <c r="I154" s="9">
        <f>_xlfn.XLOOKUP(A:A,Sheet1!A:A,Sheet1!M:M)</f>
        <v>100</v>
      </c>
      <c r="J154" s="10">
        <f>_xlfn.XLOOKUP(A:A,Sheet1!A:A,Sheet1!O:O)</f>
        <v>1.8</v>
      </c>
      <c r="K154" t="str">
        <f>_xlfn.XLOOKUP(A:A,Sheet1!A:A,Sheet1!P:P)</f>
        <v>Yes</v>
      </c>
      <c r="L154" s="12">
        <f>_xlfn.XLOOKUP(A:A,Sheet1!A:A,Sheet1!S:S)</f>
        <v>0.79269417475728277</v>
      </c>
    </row>
    <row r="155" spans="1:12" x14ac:dyDescent="0.35">
      <c r="A155" s="8" t="s">
        <v>359</v>
      </c>
      <c r="B155" s="2" t="str">
        <f>_xlfn.XLOOKUP(A155,Sheet1!A:A,Sheet1!B:B)</f>
        <v>Anne Edwards</v>
      </c>
      <c r="C155" s="2" t="str">
        <f>_xlfn.XLOOKUP(A:A,Sheet1!A:A,Sheet1!D:D)</f>
        <v>Female</v>
      </c>
      <c r="D155" s="8">
        <f>_xlfn.XLOOKUP(A:A,Sheet1!A:A,Sheet1!F:F)</f>
        <v>38</v>
      </c>
      <c r="E155" s="2" t="str">
        <f>_xlfn.XLOOKUP(A:A,Sheet1!A:A,Sheet1!G:G)</f>
        <v>Japan</v>
      </c>
      <c r="F155" s="8" t="str">
        <f>_xlfn.XLOOKUP(A:A,Sheet1!A:A,Sheet1!H:H)</f>
        <v>Japanese</v>
      </c>
      <c r="G155" s="8" t="str">
        <f>_xlfn.XLOOKUP(A:A,Sheet1!A:A,Sheet1!I:I)</f>
        <v>DevOps</v>
      </c>
      <c r="H155" s="8">
        <f>_xlfn.XLOOKUP(A:A,Sheet1!A:A,Sheet1!K:K)</f>
        <v>20</v>
      </c>
      <c r="I155" s="9">
        <f>_xlfn.XLOOKUP(A:A,Sheet1!A:A,Sheet1!M:M)</f>
        <v>75</v>
      </c>
      <c r="J155" s="10">
        <f>_xlfn.XLOOKUP(A:A,Sheet1!A:A,Sheet1!O:O)</f>
        <v>1.1000000000000001</v>
      </c>
      <c r="K155" t="str">
        <f>_xlfn.XLOOKUP(A:A,Sheet1!A:A,Sheet1!P:P)</f>
        <v>No</v>
      </c>
      <c r="L155" s="12">
        <f>_xlfn.XLOOKUP(A:A,Sheet1!A:A,Sheet1!S:S)</f>
        <v>0.71</v>
      </c>
    </row>
    <row r="156" spans="1:12" x14ac:dyDescent="0.35">
      <c r="A156" s="8" t="s">
        <v>361</v>
      </c>
      <c r="B156" s="2" t="str">
        <f>_xlfn.XLOOKUP(A156,Sheet1!A:A,Sheet1!B:B)</f>
        <v>Mitchell Martin</v>
      </c>
      <c r="C156" s="2" t="str">
        <f>_xlfn.XLOOKUP(A:A,Sheet1!A:A,Sheet1!D:D)</f>
        <v>Male</v>
      </c>
      <c r="D156" s="8">
        <f>_xlfn.XLOOKUP(A:A,Sheet1!A:A,Sheet1!F:F)</f>
        <v>47</v>
      </c>
      <c r="E156" s="2" t="str">
        <f>_xlfn.XLOOKUP(A:A,Sheet1!A:A,Sheet1!G:G)</f>
        <v>South Korea</v>
      </c>
      <c r="F156" s="8" t="str">
        <f>_xlfn.XLOOKUP(A:A,Sheet1!A:A,Sheet1!H:H)</f>
        <v>Korean</v>
      </c>
      <c r="G156" s="8" t="str">
        <f>_xlfn.XLOOKUP(A:A,Sheet1!A:A,Sheet1!I:I)</f>
        <v>DevOps</v>
      </c>
      <c r="H156" s="8">
        <f>_xlfn.XLOOKUP(A:A,Sheet1!A:A,Sheet1!K:K)</f>
        <v>29</v>
      </c>
      <c r="I156" s="9">
        <f>_xlfn.XLOOKUP(A:A,Sheet1!A:A,Sheet1!M:M)</f>
        <v>40</v>
      </c>
      <c r="J156" s="10">
        <f>_xlfn.XLOOKUP(A:A,Sheet1!A:A,Sheet1!O:O)</f>
        <v>4.3</v>
      </c>
      <c r="K156" t="str">
        <f>_xlfn.XLOOKUP(A:A,Sheet1!A:A,Sheet1!P:P)</f>
        <v>Yes</v>
      </c>
      <c r="L156" s="12">
        <f>_xlfn.XLOOKUP(A:A,Sheet1!A:A,Sheet1!S:S)</f>
        <v>0.95</v>
      </c>
    </row>
    <row r="157" spans="1:12" x14ac:dyDescent="0.35">
      <c r="A157" s="8" t="s">
        <v>363</v>
      </c>
      <c r="B157" s="2" t="str">
        <f>_xlfn.XLOOKUP(A157,Sheet1!A:A,Sheet1!B:B)</f>
        <v>Mitchell Patrick</v>
      </c>
      <c r="C157" s="2" t="str">
        <f>_xlfn.XLOOKUP(A:A,Sheet1!A:A,Sheet1!D:D)</f>
        <v>Male</v>
      </c>
      <c r="D157" s="8">
        <f>_xlfn.XLOOKUP(A:A,Sheet1!A:A,Sheet1!F:F)</f>
        <v>60</v>
      </c>
      <c r="E157" s="2" t="str">
        <f>_xlfn.XLOOKUP(A:A,Sheet1!A:A,Sheet1!G:G)</f>
        <v>Brazil</v>
      </c>
      <c r="F157" s="8" t="str">
        <f>_xlfn.XLOOKUP(A:A,Sheet1!A:A,Sheet1!H:H)</f>
        <v>Portuguese</v>
      </c>
      <c r="G157" s="8" t="str">
        <f>_xlfn.XLOOKUP(A:A,Sheet1!A:A,Sheet1!I:I)</f>
        <v>Web Development</v>
      </c>
      <c r="H157" s="8">
        <f>_xlfn.XLOOKUP(A:A,Sheet1!A:A,Sheet1!K:K)</f>
        <v>15</v>
      </c>
      <c r="I157" s="9">
        <f>_xlfn.XLOOKUP(A:A,Sheet1!A:A,Sheet1!M:M)</f>
        <v>100</v>
      </c>
      <c r="J157" s="10">
        <f>_xlfn.XLOOKUP(A:A,Sheet1!A:A,Sheet1!O:O)</f>
        <v>1.5</v>
      </c>
      <c r="K157" t="str">
        <f>_xlfn.XLOOKUP(A:A,Sheet1!A:A,Sheet1!P:P)</f>
        <v>No</v>
      </c>
      <c r="L157" s="12">
        <f>_xlfn.XLOOKUP(A:A,Sheet1!A:A,Sheet1!S:S)</f>
        <v>0.8</v>
      </c>
    </row>
    <row r="158" spans="1:12" x14ac:dyDescent="0.35">
      <c r="A158" s="8" t="s">
        <v>365</v>
      </c>
      <c r="B158" s="2" t="str">
        <f>_xlfn.XLOOKUP(A158,Sheet1!A:A,Sheet1!B:B)</f>
        <v>Rebecca Lyons</v>
      </c>
      <c r="C158" s="2" t="str">
        <f>_xlfn.XLOOKUP(A:A,Sheet1!A:A,Sheet1!D:D)</f>
        <v>Female</v>
      </c>
      <c r="D158" s="8">
        <f>_xlfn.XLOOKUP(A:A,Sheet1!A:A,Sheet1!F:F)</f>
        <v>43</v>
      </c>
      <c r="E158" s="2" t="str">
        <f>_xlfn.XLOOKUP(A:A,Sheet1!A:A,Sheet1!G:G)</f>
        <v>Italy</v>
      </c>
      <c r="F158" s="8" t="str">
        <f>_xlfn.XLOOKUP(A:A,Sheet1!A:A,Sheet1!H:H)</f>
        <v>Italian</v>
      </c>
      <c r="G158" s="8" t="str">
        <f>_xlfn.XLOOKUP(A:A,Sheet1!A:A,Sheet1!I:I)</f>
        <v>Data Analysis</v>
      </c>
      <c r="H158" s="8">
        <f>_xlfn.XLOOKUP(A:A,Sheet1!A:A,Sheet1!K:K)</f>
        <v>9</v>
      </c>
      <c r="I158" s="9">
        <f>_xlfn.XLOOKUP(A:A,Sheet1!A:A,Sheet1!M:M)</f>
        <v>20</v>
      </c>
      <c r="J158" s="10">
        <f>_xlfn.XLOOKUP(A:A,Sheet1!A:A,Sheet1!O:O)</f>
        <v>2.2000000000000002</v>
      </c>
      <c r="K158" t="str">
        <f>_xlfn.XLOOKUP(A:A,Sheet1!A:A,Sheet1!P:P)</f>
        <v>No</v>
      </c>
      <c r="L158" s="12">
        <f>_xlfn.XLOOKUP(A:A,Sheet1!A:A,Sheet1!S:S)</f>
        <v>0.79269417475728277</v>
      </c>
    </row>
    <row r="159" spans="1:12" x14ac:dyDescent="0.35">
      <c r="A159" s="8" t="s">
        <v>367</v>
      </c>
      <c r="B159" s="2" t="str">
        <f>_xlfn.XLOOKUP(A159,Sheet1!A:A,Sheet1!B:B)</f>
        <v>Christian Lopez</v>
      </c>
      <c r="C159" s="2" t="str">
        <f>_xlfn.XLOOKUP(A:A,Sheet1!A:A,Sheet1!D:D)</f>
        <v>Male</v>
      </c>
      <c r="D159" s="8">
        <f>_xlfn.XLOOKUP(A:A,Sheet1!A:A,Sheet1!F:F)</f>
        <v>56</v>
      </c>
      <c r="E159" s="2" t="str">
        <f>_xlfn.XLOOKUP(A:A,Sheet1!A:A,Sheet1!G:G)</f>
        <v>South Africa</v>
      </c>
      <c r="F159" s="8" t="str">
        <f>_xlfn.XLOOKUP(A:A,Sheet1!A:A,Sheet1!H:H)</f>
        <v>Afrikaans</v>
      </c>
      <c r="G159" s="8" t="str">
        <f>_xlfn.XLOOKUP(A:A,Sheet1!A:A,Sheet1!I:I)</f>
        <v>Data Analysis</v>
      </c>
      <c r="H159" s="8">
        <f>_xlfn.XLOOKUP(A:A,Sheet1!A:A,Sheet1!K:K)</f>
        <v>9</v>
      </c>
      <c r="I159" s="9">
        <f>_xlfn.XLOOKUP(A:A,Sheet1!A:A,Sheet1!M:M)</f>
        <v>100</v>
      </c>
      <c r="J159" s="10">
        <f>_xlfn.XLOOKUP(A:A,Sheet1!A:A,Sheet1!O:O)</f>
        <v>3.2</v>
      </c>
      <c r="K159" t="str">
        <f>_xlfn.XLOOKUP(A:A,Sheet1!A:A,Sheet1!P:P)</f>
        <v>No</v>
      </c>
      <c r="L159" s="12">
        <f>_xlfn.XLOOKUP(A:A,Sheet1!A:A,Sheet1!S:S)</f>
        <v>0.62</v>
      </c>
    </row>
    <row r="160" spans="1:12" x14ac:dyDescent="0.35">
      <c r="A160" s="8" t="s">
        <v>369</v>
      </c>
      <c r="B160" s="2" t="str">
        <f>_xlfn.XLOOKUP(A160,Sheet1!A:A,Sheet1!B:B)</f>
        <v>Nathan Blair</v>
      </c>
      <c r="C160" s="2" t="str">
        <f>_xlfn.XLOOKUP(A:A,Sheet1!A:A,Sheet1!D:D)</f>
        <v>Male</v>
      </c>
      <c r="D160" s="8">
        <f>_xlfn.XLOOKUP(A:A,Sheet1!A:A,Sheet1!F:F)</f>
        <v>42</v>
      </c>
      <c r="E160" s="2" t="str">
        <f>_xlfn.XLOOKUP(A:A,Sheet1!A:A,Sheet1!G:G)</f>
        <v>Russia</v>
      </c>
      <c r="F160" s="8" t="str">
        <f>_xlfn.XLOOKUP(A:A,Sheet1!A:A,Sheet1!H:H)</f>
        <v>Russian</v>
      </c>
      <c r="G160" s="8" t="str">
        <f>_xlfn.XLOOKUP(A:A,Sheet1!A:A,Sheet1!I:I)</f>
        <v>DevOps</v>
      </c>
      <c r="H160" s="8">
        <f>_xlfn.XLOOKUP(A:A,Sheet1!A:A,Sheet1!K:K)</f>
        <v>2</v>
      </c>
      <c r="I160" s="9">
        <f>_xlfn.XLOOKUP(A:A,Sheet1!A:A,Sheet1!M:M)</f>
        <v>50</v>
      </c>
      <c r="J160" s="10">
        <f>_xlfn.XLOOKUP(A:A,Sheet1!A:A,Sheet1!O:O)</f>
        <v>1.9</v>
      </c>
      <c r="K160" t="str">
        <f>_xlfn.XLOOKUP(A:A,Sheet1!A:A,Sheet1!P:P)</f>
        <v>No</v>
      </c>
      <c r="L160" s="12">
        <f>_xlfn.XLOOKUP(A:A,Sheet1!A:A,Sheet1!S:S)</f>
        <v>0.95</v>
      </c>
    </row>
    <row r="161" spans="1:12" x14ac:dyDescent="0.35">
      <c r="A161" s="8" t="s">
        <v>371</v>
      </c>
      <c r="B161" s="2" t="str">
        <f>_xlfn.XLOOKUP(A161,Sheet1!A:A,Sheet1!B:B)</f>
        <v>Patricia Lopez</v>
      </c>
      <c r="C161" s="2" t="str">
        <f>_xlfn.XLOOKUP(A:A,Sheet1!A:A,Sheet1!D:D)</f>
        <v>Female</v>
      </c>
      <c r="D161" s="8">
        <f>_xlfn.XLOOKUP(A:A,Sheet1!A:A,Sheet1!F:F)</f>
        <v>20</v>
      </c>
      <c r="E161" s="2" t="str">
        <f>_xlfn.XLOOKUP(A:A,Sheet1!A:A,Sheet1!G:G)</f>
        <v>Spain</v>
      </c>
      <c r="F161" s="8" t="str">
        <f>_xlfn.XLOOKUP(A:A,Sheet1!A:A,Sheet1!H:H)</f>
        <v>Spanish</v>
      </c>
      <c r="G161" s="8" t="str">
        <f>_xlfn.XLOOKUP(A:A,Sheet1!A:A,Sheet1!I:I)</f>
        <v>Graphic Design</v>
      </c>
      <c r="H161" s="8">
        <f>_xlfn.XLOOKUP(A:A,Sheet1!A:A,Sheet1!K:K)</f>
        <v>0</v>
      </c>
      <c r="I161" s="9">
        <f>_xlfn.XLOOKUP(A:A,Sheet1!A:A,Sheet1!M:M)</f>
        <v>40</v>
      </c>
      <c r="J161" s="10">
        <f>_xlfn.XLOOKUP(A:A,Sheet1!A:A,Sheet1!O:O)</f>
        <v>2.5</v>
      </c>
      <c r="K161" t="str">
        <f>_xlfn.XLOOKUP(A:A,Sheet1!A:A,Sheet1!P:P)</f>
        <v>No</v>
      </c>
      <c r="L161" s="12">
        <f>_xlfn.XLOOKUP(A:A,Sheet1!A:A,Sheet1!S:S)</f>
        <v>0.79</v>
      </c>
    </row>
    <row r="162" spans="1:12" x14ac:dyDescent="0.35">
      <c r="A162" s="8" t="s">
        <v>373</v>
      </c>
      <c r="B162" s="2" t="str">
        <f>_xlfn.XLOOKUP(A162,Sheet1!A:A,Sheet1!B:B)</f>
        <v>Michelle Wu</v>
      </c>
      <c r="C162" s="2" t="str">
        <f>_xlfn.XLOOKUP(A:A,Sheet1!A:A,Sheet1!D:D)</f>
        <v>Female</v>
      </c>
      <c r="D162" s="8">
        <f>_xlfn.XLOOKUP(A:A,Sheet1!A:A,Sheet1!F:F)</f>
        <v>47</v>
      </c>
      <c r="E162" s="2" t="str">
        <f>_xlfn.XLOOKUP(A:A,Sheet1!A:A,Sheet1!G:G)</f>
        <v>Indonesia</v>
      </c>
      <c r="F162" s="8" t="str">
        <f>_xlfn.XLOOKUP(A:A,Sheet1!A:A,Sheet1!H:H)</f>
        <v>Indonesian</v>
      </c>
      <c r="G162" s="8" t="str">
        <f>_xlfn.XLOOKUP(A:A,Sheet1!A:A,Sheet1!I:I)</f>
        <v>UI/UX Design</v>
      </c>
      <c r="H162" s="8">
        <f>_xlfn.XLOOKUP(A:A,Sheet1!A:A,Sheet1!K:K)</f>
        <v>12</v>
      </c>
      <c r="I162" s="9">
        <f>_xlfn.XLOOKUP(A:A,Sheet1!A:A,Sheet1!M:M)</f>
        <v>40</v>
      </c>
      <c r="J162" s="10">
        <f>_xlfn.XLOOKUP(A:A,Sheet1!A:A,Sheet1!O:O)</f>
        <v>4.5</v>
      </c>
      <c r="K162" t="str">
        <f>_xlfn.XLOOKUP(A:A,Sheet1!A:A,Sheet1!P:P)</f>
        <v>No</v>
      </c>
      <c r="L162" s="12">
        <f>_xlfn.XLOOKUP(A:A,Sheet1!A:A,Sheet1!S:S)</f>
        <v>0.62</v>
      </c>
    </row>
    <row r="163" spans="1:12" x14ac:dyDescent="0.35">
      <c r="A163" s="8" t="s">
        <v>375</v>
      </c>
      <c r="B163" s="2" t="str">
        <f>_xlfn.XLOOKUP(A163,Sheet1!A:A,Sheet1!B:B)</f>
        <v>Donald Mitchell</v>
      </c>
      <c r="C163" s="2" t="str">
        <f>_xlfn.XLOOKUP(A:A,Sheet1!A:A,Sheet1!D:D)</f>
        <v>Male</v>
      </c>
      <c r="D163" s="8">
        <f>_xlfn.XLOOKUP(A:A,Sheet1!A:A,Sheet1!F:F)</f>
        <v>41</v>
      </c>
      <c r="E163" s="2" t="str">
        <f>_xlfn.XLOOKUP(A:A,Sheet1!A:A,Sheet1!G:G)</f>
        <v>Argentina</v>
      </c>
      <c r="F163" s="8" t="str">
        <f>_xlfn.XLOOKUP(A:A,Sheet1!A:A,Sheet1!H:H)</f>
        <v>Spanish</v>
      </c>
      <c r="G163" s="8" t="str">
        <f>_xlfn.XLOOKUP(A:A,Sheet1!A:A,Sheet1!I:I)</f>
        <v>Data Analysis</v>
      </c>
      <c r="H163" s="8">
        <f>_xlfn.XLOOKUP(A:A,Sheet1!A:A,Sheet1!K:K)</f>
        <v>12</v>
      </c>
      <c r="I163" s="9">
        <f>_xlfn.XLOOKUP(A:A,Sheet1!A:A,Sheet1!M:M)</f>
        <v>30</v>
      </c>
      <c r="J163" s="10">
        <f>_xlfn.XLOOKUP(A:A,Sheet1!A:A,Sheet1!O:O)</f>
        <v>4.0999999999999996</v>
      </c>
      <c r="K163" t="str">
        <f>_xlfn.XLOOKUP(A:A,Sheet1!A:A,Sheet1!P:P)</f>
        <v>No</v>
      </c>
      <c r="L163" s="12">
        <f>_xlfn.XLOOKUP(A:A,Sheet1!A:A,Sheet1!S:S)</f>
        <v>0.68</v>
      </c>
    </row>
    <row r="164" spans="1:12" x14ac:dyDescent="0.35">
      <c r="A164" s="8" t="s">
        <v>377</v>
      </c>
      <c r="B164" s="2" t="str">
        <f>_xlfn.XLOOKUP(A164,Sheet1!A:A,Sheet1!B:B)</f>
        <v>Sean Gordon</v>
      </c>
      <c r="C164" s="2" t="str">
        <f>_xlfn.XLOOKUP(A:A,Sheet1!A:A,Sheet1!D:D)</f>
        <v>Male</v>
      </c>
      <c r="D164" s="8">
        <f>_xlfn.XLOOKUP(A:A,Sheet1!A:A,Sheet1!F:F)</f>
        <v>56</v>
      </c>
      <c r="E164" s="2" t="str">
        <f>_xlfn.XLOOKUP(A:A,Sheet1!A:A,Sheet1!G:G)</f>
        <v>Indonesia</v>
      </c>
      <c r="F164" s="8" t="str">
        <f>_xlfn.XLOOKUP(A:A,Sheet1!A:A,Sheet1!H:H)</f>
        <v>Indonesian</v>
      </c>
      <c r="G164" s="8" t="str">
        <f>_xlfn.XLOOKUP(A:A,Sheet1!A:A,Sheet1!I:I)</f>
        <v>DevOps</v>
      </c>
      <c r="H164" s="8">
        <f>_xlfn.XLOOKUP(A:A,Sheet1!A:A,Sheet1!K:K)</f>
        <v>15</v>
      </c>
      <c r="I164" s="9">
        <f>_xlfn.XLOOKUP(A:A,Sheet1!A:A,Sheet1!M:M)</f>
        <v>75</v>
      </c>
      <c r="J164" s="11">
        <v>0</v>
      </c>
      <c r="K164" t="str">
        <f>_xlfn.XLOOKUP(A:A,Sheet1!A:A,Sheet1!P:P)</f>
        <v>No</v>
      </c>
      <c r="L164" s="12">
        <f>_xlfn.XLOOKUP(A:A,Sheet1!A:A,Sheet1!S:S)</f>
        <v>0.79269417475728277</v>
      </c>
    </row>
    <row r="165" spans="1:12" x14ac:dyDescent="0.35">
      <c r="A165" s="8" t="s">
        <v>379</v>
      </c>
      <c r="B165" s="2" t="str">
        <f>_xlfn.XLOOKUP(A165,Sheet1!A:A,Sheet1!B:B)</f>
        <v>Gregory Clarke</v>
      </c>
      <c r="C165" s="2" t="str">
        <f>_xlfn.XLOOKUP(A:A,Sheet1!A:A,Sheet1!D:D)</f>
        <v>Male</v>
      </c>
      <c r="D165" s="8">
        <f>_xlfn.XLOOKUP(A:A,Sheet1!A:A,Sheet1!F:F)</f>
        <v>59</v>
      </c>
      <c r="E165" s="2" t="str">
        <f>_xlfn.XLOOKUP(A:A,Sheet1!A:A,Sheet1!G:G)</f>
        <v>United Kingdom</v>
      </c>
      <c r="F165" s="8" t="str">
        <f>_xlfn.XLOOKUP(A:A,Sheet1!A:A,Sheet1!H:H)</f>
        <v>English</v>
      </c>
      <c r="G165" s="8" t="str">
        <f>_xlfn.XLOOKUP(A:A,Sheet1!A:A,Sheet1!I:I)</f>
        <v>DevOps</v>
      </c>
      <c r="H165" s="8">
        <f>_xlfn.XLOOKUP(A:A,Sheet1!A:A,Sheet1!K:K)</f>
        <v>29</v>
      </c>
      <c r="I165" s="9">
        <f>_xlfn.XLOOKUP(A:A,Sheet1!A:A,Sheet1!M:M)</f>
        <v>75</v>
      </c>
      <c r="J165" s="10">
        <f>_xlfn.XLOOKUP(A:A,Sheet1!A:A,Sheet1!O:O)</f>
        <v>2.5125695216907653</v>
      </c>
      <c r="K165" t="str">
        <f>_xlfn.XLOOKUP(A:A,Sheet1!A:A,Sheet1!P:P)</f>
        <v>No</v>
      </c>
      <c r="L165" s="12">
        <f>_xlfn.XLOOKUP(A:A,Sheet1!A:A,Sheet1!S:S)</f>
        <v>0.8</v>
      </c>
    </row>
    <row r="166" spans="1:12" x14ac:dyDescent="0.35">
      <c r="A166" s="8" t="s">
        <v>381</v>
      </c>
      <c r="B166" s="2" t="str">
        <f>_xlfn.XLOOKUP(A166,Sheet1!A:A,Sheet1!B:B)</f>
        <v>Steven Whitney</v>
      </c>
      <c r="C166" s="2" t="str">
        <f>_xlfn.XLOOKUP(A:A,Sheet1!A:A,Sheet1!D:D)</f>
        <v>Male</v>
      </c>
      <c r="D166" s="8">
        <f>_xlfn.XLOOKUP(A:A,Sheet1!A:A,Sheet1!F:F)</f>
        <v>56</v>
      </c>
      <c r="E166" s="2" t="str">
        <f>_xlfn.XLOOKUP(A:A,Sheet1!A:A,Sheet1!G:G)</f>
        <v>Japan</v>
      </c>
      <c r="F166" s="8" t="str">
        <f>_xlfn.XLOOKUP(A:A,Sheet1!A:A,Sheet1!H:H)</f>
        <v>Japanese</v>
      </c>
      <c r="G166" s="8" t="str">
        <f>_xlfn.XLOOKUP(A:A,Sheet1!A:A,Sheet1!I:I)</f>
        <v>Cybersecurity</v>
      </c>
      <c r="H166" s="8">
        <f>_xlfn.XLOOKUP(A:A,Sheet1!A:A,Sheet1!K:K)</f>
        <v>15</v>
      </c>
      <c r="I166" s="9">
        <f>_xlfn.XLOOKUP(A:A,Sheet1!A:A,Sheet1!M:M)</f>
        <v>40</v>
      </c>
      <c r="J166" s="10">
        <f>_xlfn.XLOOKUP(A:A,Sheet1!A:A,Sheet1!O:O)</f>
        <v>3.7</v>
      </c>
      <c r="K166" t="str">
        <f>_xlfn.XLOOKUP(A:A,Sheet1!A:A,Sheet1!P:P)</f>
        <v>No</v>
      </c>
      <c r="L166" s="12">
        <f>_xlfn.XLOOKUP(A:A,Sheet1!A:A,Sheet1!S:S)</f>
        <v>0.92</v>
      </c>
    </row>
    <row r="167" spans="1:12" x14ac:dyDescent="0.35">
      <c r="A167" s="8" t="s">
        <v>383</v>
      </c>
      <c r="B167" s="2" t="str">
        <f>_xlfn.XLOOKUP(A167,Sheet1!A:A,Sheet1!B:B)</f>
        <v>Robin Acosta</v>
      </c>
      <c r="C167" s="2" t="str">
        <f>_xlfn.XLOOKUP(A:A,Sheet1!A:A,Sheet1!D:D)</f>
        <v>Female</v>
      </c>
      <c r="D167" s="8">
        <f>_xlfn.XLOOKUP(A:A,Sheet1!A:A,Sheet1!F:F)</f>
        <v>31</v>
      </c>
      <c r="E167" s="2" t="str">
        <f>_xlfn.XLOOKUP(A:A,Sheet1!A:A,Sheet1!G:G)</f>
        <v>South Africa</v>
      </c>
      <c r="F167" s="8" t="str">
        <f>_xlfn.XLOOKUP(A:A,Sheet1!A:A,Sheet1!H:H)</f>
        <v>Afrikaans</v>
      </c>
      <c r="G167" s="8" t="str">
        <f>_xlfn.XLOOKUP(A:A,Sheet1!A:A,Sheet1!I:I)</f>
        <v>Web Development</v>
      </c>
      <c r="H167" s="8">
        <f>_xlfn.XLOOKUP(A:A,Sheet1!A:A,Sheet1!K:K)</f>
        <v>9</v>
      </c>
      <c r="I167" s="9">
        <f>_xlfn.XLOOKUP(A:A,Sheet1!A:A,Sheet1!M:M)</f>
        <v>75</v>
      </c>
      <c r="J167" s="10">
        <f>_xlfn.XLOOKUP(A:A,Sheet1!A:A,Sheet1!O:O)</f>
        <v>1.3</v>
      </c>
      <c r="K167" t="str">
        <f>_xlfn.XLOOKUP(A:A,Sheet1!A:A,Sheet1!P:P)</f>
        <v>Yes</v>
      </c>
      <c r="L167" s="12">
        <f>_xlfn.XLOOKUP(A:A,Sheet1!A:A,Sheet1!S:S)</f>
        <v>0.65</v>
      </c>
    </row>
    <row r="168" spans="1:12" x14ac:dyDescent="0.35">
      <c r="A168" s="8" t="s">
        <v>385</v>
      </c>
      <c r="B168" s="2" t="str">
        <f>_xlfn.XLOOKUP(A168,Sheet1!A:A,Sheet1!B:B)</f>
        <v>John Smith</v>
      </c>
      <c r="C168" s="2" t="str">
        <f>_xlfn.XLOOKUP(A:A,Sheet1!A:A,Sheet1!D:D)</f>
        <v>Male</v>
      </c>
      <c r="D168" s="8">
        <f>_xlfn.XLOOKUP(A:A,Sheet1!A:A,Sheet1!F:F)</f>
        <v>60</v>
      </c>
      <c r="E168" s="2" t="str">
        <f>_xlfn.XLOOKUP(A:A,Sheet1!A:A,Sheet1!G:G)</f>
        <v>South Korea</v>
      </c>
      <c r="F168" s="8" t="str">
        <f>_xlfn.XLOOKUP(A:A,Sheet1!A:A,Sheet1!H:H)</f>
        <v>Korean</v>
      </c>
      <c r="G168" s="8" t="str">
        <f>_xlfn.XLOOKUP(A:A,Sheet1!A:A,Sheet1!I:I)</f>
        <v>Mobile Apps</v>
      </c>
      <c r="H168" s="8">
        <f>_xlfn.XLOOKUP(A:A,Sheet1!A:A,Sheet1!K:K)</f>
        <v>33</v>
      </c>
      <c r="I168" s="9">
        <f>_xlfn.XLOOKUP(A:A,Sheet1!A:A,Sheet1!M:M)</f>
        <v>40</v>
      </c>
      <c r="J168" s="10">
        <f>_xlfn.XLOOKUP(A:A,Sheet1!A:A,Sheet1!O:O)</f>
        <v>3.6</v>
      </c>
      <c r="K168" t="str">
        <f>_xlfn.XLOOKUP(A:A,Sheet1!A:A,Sheet1!P:P)</f>
        <v>Yes</v>
      </c>
      <c r="L168" s="12">
        <f>_xlfn.XLOOKUP(A:A,Sheet1!A:A,Sheet1!S:S)</f>
        <v>0.87</v>
      </c>
    </row>
    <row r="169" spans="1:12" x14ac:dyDescent="0.35">
      <c r="A169" s="8" t="s">
        <v>387</v>
      </c>
      <c r="B169" s="2" t="str">
        <f>_xlfn.XLOOKUP(A169,Sheet1!A:A,Sheet1!B:B)</f>
        <v>Susan Baker</v>
      </c>
      <c r="C169" s="2" t="str">
        <f>_xlfn.XLOOKUP(A:A,Sheet1!A:A,Sheet1!D:D)</f>
        <v>Female</v>
      </c>
      <c r="D169" s="8">
        <f>_xlfn.XLOOKUP(A:A,Sheet1!A:A,Sheet1!F:F)</f>
        <v>31</v>
      </c>
      <c r="E169" s="2" t="str">
        <f>_xlfn.XLOOKUP(A:A,Sheet1!A:A,Sheet1!G:G)</f>
        <v>Canada</v>
      </c>
      <c r="F169" s="8" t="str">
        <f>_xlfn.XLOOKUP(A:A,Sheet1!A:A,Sheet1!H:H)</f>
        <v>English</v>
      </c>
      <c r="G169" s="8" t="str">
        <f>_xlfn.XLOOKUP(A:A,Sheet1!A:A,Sheet1!I:I)</f>
        <v>Web Development</v>
      </c>
      <c r="H169" s="8">
        <f>_xlfn.XLOOKUP(A:A,Sheet1!A:A,Sheet1!K:K)</f>
        <v>10</v>
      </c>
      <c r="I169" s="9">
        <f>_xlfn.XLOOKUP(A:A,Sheet1!A:A,Sheet1!M:M)</f>
        <v>75</v>
      </c>
      <c r="J169" s="11">
        <v>0</v>
      </c>
      <c r="K169" t="str">
        <f>_xlfn.XLOOKUP(A:A,Sheet1!A:A,Sheet1!P:P)</f>
        <v>No</v>
      </c>
      <c r="L169" s="12">
        <f>_xlfn.XLOOKUP(A:A,Sheet1!A:A,Sheet1!S:S)</f>
        <v>0.7</v>
      </c>
    </row>
    <row r="170" spans="1:12" x14ac:dyDescent="0.35">
      <c r="A170" s="8" t="s">
        <v>389</v>
      </c>
      <c r="B170" s="2" t="str">
        <f>_xlfn.XLOOKUP(A170,Sheet1!A:A,Sheet1!B:B)</f>
        <v>Anthony Larsen</v>
      </c>
      <c r="C170" s="2" t="str">
        <f>_xlfn.XLOOKUP(A:A,Sheet1!A:A,Sheet1!D:D)</f>
        <v>Male</v>
      </c>
      <c r="D170" s="8">
        <f>_xlfn.XLOOKUP(A:A,Sheet1!A:A,Sheet1!F:F)</f>
        <v>60</v>
      </c>
      <c r="E170" s="2" t="str">
        <f>_xlfn.XLOOKUP(A:A,Sheet1!A:A,Sheet1!G:G)</f>
        <v>Argentina</v>
      </c>
      <c r="F170" s="8" t="str">
        <f>_xlfn.XLOOKUP(A:A,Sheet1!A:A,Sheet1!H:H)</f>
        <v>Spanish</v>
      </c>
      <c r="G170" s="8" t="str">
        <f>_xlfn.XLOOKUP(A:A,Sheet1!A:A,Sheet1!I:I)</f>
        <v>Cybersecurity</v>
      </c>
      <c r="H170" s="8">
        <f>_xlfn.XLOOKUP(A:A,Sheet1!A:A,Sheet1!K:K)</f>
        <v>20</v>
      </c>
      <c r="I170" s="9">
        <f>_xlfn.XLOOKUP(A:A,Sheet1!A:A,Sheet1!M:M)</f>
        <v>40</v>
      </c>
      <c r="J170" s="10">
        <f>_xlfn.XLOOKUP(A:A,Sheet1!A:A,Sheet1!O:O)</f>
        <v>1.4</v>
      </c>
      <c r="K170" t="str">
        <f>_xlfn.XLOOKUP(A:A,Sheet1!A:A,Sheet1!P:P)</f>
        <v>No</v>
      </c>
      <c r="L170" s="12">
        <f>_xlfn.XLOOKUP(A:A,Sheet1!A:A,Sheet1!S:S)</f>
        <v>0.87</v>
      </c>
    </row>
    <row r="171" spans="1:12" x14ac:dyDescent="0.35">
      <c r="A171" s="8" t="s">
        <v>391</v>
      </c>
      <c r="B171" s="2" t="str">
        <f>_xlfn.XLOOKUP(A171,Sheet1!A:A,Sheet1!B:B)</f>
        <v>Nicholas Carpenter</v>
      </c>
      <c r="C171" s="2" t="str">
        <f>_xlfn.XLOOKUP(A:A,Sheet1!A:A,Sheet1!D:D)</f>
        <v>Male</v>
      </c>
      <c r="D171" s="8">
        <f>_xlfn.XLOOKUP(A:A,Sheet1!A:A,Sheet1!F:F)</f>
        <v>46</v>
      </c>
      <c r="E171" s="2" t="str">
        <f>_xlfn.XLOOKUP(A:A,Sheet1!A:A,Sheet1!G:G)</f>
        <v>France</v>
      </c>
      <c r="F171" s="8" t="str">
        <f>_xlfn.XLOOKUP(A:A,Sheet1!A:A,Sheet1!H:H)</f>
        <v>French</v>
      </c>
      <c r="G171" s="8" t="str">
        <f>_xlfn.XLOOKUP(A:A,Sheet1!A:A,Sheet1!I:I)</f>
        <v>DevOps</v>
      </c>
      <c r="H171" s="8">
        <f>_xlfn.XLOOKUP(A:A,Sheet1!A:A,Sheet1!K:K)</f>
        <v>23</v>
      </c>
      <c r="I171" s="9">
        <f>_xlfn.XLOOKUP(A:A,Sheet1!A:A,Sheet1!M:M)</f>
        <v>20</v>
      </c>
      <c r="J171" s="10">
        <f>_xlfn.XLOOKUP(A:A,Sheet1!A:A,Sheet1!O:O)</f>
        <v>2.9</v>
      </c>
      <c r="K171" t="str">
        <f>_xlfn.XLOOKUP(A:A,Sheet1!A:A,Sheet1!P:P)</f>
        <v>No</v>
      </c>
      <c r="L171" s="12">
        <f>_xlfn.XLOOKUP(A:A,Sheet1!A:A,Sheet1!S:S)</f>
        <v>0.72</v>
      </c>
    </row>
    <row r="172" spans="1:12" x14ac:dyDescent="0.35">
      <c r="A172" s="8" t="s">
        <v>393</v>
      </c>
      <c r="B172" s="2" t="str">
        <f>_xlfn.XLOOKUP(A172,Sheet1!A:A,Sheet1!B:B)</f>
        <v>Debra Salazar</v>
      </c>
      <c r="C172" s="2" t="str">
        <f>_xlfn.XLOOKUP(A:A,Sheet1!A:A,Sheet1!D:D)</f>
        <v>Female</v>
      </c>
      <c r="D172" s="8">
        <f>_xlfn.XLOOKUP(A:A,Sheet1!A:A,Sheet1!F:F)</f>
        <v>41</v>
      </c>
      <c r="E172" s="2" t="str">
        <f>_xlfn.XLOOKUP(A:A,Sheet1!A:A,Sheet1!G:G)</f>
        <v>Netherlands</v>
      </c>
      <c r="F172" s="8" t="str">
        <f>_xlfn.XLOOKUP(A:A,Sheet1!A:A,Sheet1!H:H)</f>
        <v>Dutch</v>
      </c>
      <c r="G172" s="8" t="str">
        <f>_xlfn.XLOOKUP(A:A,Sheet1!A:A,Sheet1!I:I)</f>
        <v>Blockchain Development</v>
      </c>
      <c r="H172" s="8">
        <f>_xlfn.XLOOKUP(A:A,Sheet1!A:A,Sheet1!K:K)</f>
        <v>9</v>
      </c>
      <c r="I172" s="9">
        <f>_xlfn.XLOOKUP(A:A,Sheet1!A:A,Sheet1!M:M)</f>
        <v>40</v>
      </c>
      <c r="J172" s="10">
        <f>_xlfn.XLOOKUP(A:A,Sheet1!A:A,Sheet1!O:O)</f>
        <v>2.8</v>
      </c>
      <c r="K172" t="str">
        <f>_xlfn.XLOOKUP(A:A,Sheet1!A:A,Sheet1!P:P)</f>
        <v>No</v>
      </c>
      <c r="L172" s="12">
        <f>_xlfn.XLOOKUP(A:A,Sheet1!A:A,Sheet1!S:S)</f>
        <v>0.8</v>
      </c>
    </row>
    <row r="173" spans="1:12" x14ac:dyDescent="0.35">
      <c r="A173" s="8" t="s">
        <v>395</v>
      </c>
      <c r="B173" s="2" t="str">
        <f>_xlfn.XLOOKUP(A173,Sheet1!A:A,Sheet1!B:B)</f>
        <v>William Smith</v>
      </c>
      <c r="C173" s="2" t="str">
        <f>_xlfn.XLOOKUP(A:A,Sheet1!A:A,Sheet1!D:D)</f>
        <v>Male</v>
      </c>
      <c r="D173" s="8">
        <f>_xlfn.XLOOKUP(A:A,Sheet1!A:A,Sheet1!F:F)</f>
        <v>34</v>
      </c>
      <c r="E173" s="2" t="str">
        <f>_xlfn.XLOOKUP(A:A,Sheet1!A:A,Sheet1!G:G)</f>
        <v>Japan</v>
      </c>
      <c r="F173" s="8" t="str">
        <f>_xlfn.XLOOKUP(A:A,Sheet1!A:A,Sheet1!H:H)</f>
        <v>Japanese</v>
      </c>
      <c r="G173" s="8" t="str">
        <f>_xlfn.XLOOKUP(A:A,Sheet1!A:A,Sheet1!I:I)</f>
        <v>UI/UX Design</v>
      </c>
      <c r="H173" s="8">
        <f>_xlfn.XLOOKUP(A:A,Sheet1!A:A,Sheet1!K:K)</f>
        <v>0</v>
      </c>
      <c r="I173" s="9">
        <f>_xlfn.XLOOKUP(A:A,Sheet1!A:A,Sheet1!M:M)</f>
        <v>20</v>
      </c>
      <c r="J173" s="10">
        <f>_xlfn.XLOOKUP(A:A,Sheet1!A:A,Sheet1!O:O)</f>
        <v>1.7</v>
      </c>
      <c r="K173" t="str">
        <f>_xlfn.XLOOKUP(A:A,Sheet1!A:A,Sheet1!P:P)</f>
        <v>No</v>
      </c>
      <c r="L173" s="12">
        <f>_xlfn.XLOOKUP(A:A,Sheet1!A:A,Sheet1!S:S)</f>
        <v>0.66</v>
      </c>
    </row>
    <row r="174" spans="1:12" x14ac:dyDescent="0.35">
      <c r="A174" s="8" t="s">
        <v>397</v>
      </c>
      <c r="B174" s="2" t="str">
        <f>_xlfn.XLOOKUP(A174,Sheet1!A:A,Sheet1!B:B)</f>
        <v>Caroline Gross</v>
      </c>
      <c r="C174" s="2" t="str">
        <f>_xlfn.XLOOKUP(A:A,Sheet1!A:A,Sheet1!D:D)</f>
        <v>Female</v>
      </c>
      <c r="D174" s="8">
        <f>_xlfn.XLOOKUP(A:A,Sheet1!A:A,Sheet1!F:F)</f>
        <v>42</v>
      </c>
      <c r="E174" s="2" t="str">
        <f>_xlfn.XLOOKUP(A:A,Sheet1!A:A,Sheet1!G:G)</f>
        <v>Netherlands</v>
      </c>
      <c r="F174" s="8" t="str">
        <f>_xlfn.XLOOKUP(A:A,Sheet1!A:A,Sheet1!H:H)</f>
        <v>Dutch</v>
      </c>
      <c r="G174" s="8" t="str">
        <f>_xlfn.XLOOKUP(A:A,Sheet1!A:A,Sheet1!I:I)</f>
        <v>Graphic Design</v>
      </c>
      <c r="H174" s="8">
        <f>_xlfn.XLOOKUP(A:A,Sheet1!A:A,Sheet1!K:K)</f>
        <v>7</v>
      </c>
      <c r="I174" s="9">
        <f>_xlfn.XLOOKUP(A:A,Sheet1!A:A,Sheet1!M:M)</f>
        <v>40</v>
      </c>
      <c r="J174" s="11">
        <v>0</v>
      </c>
      <c r="K174" t="str">
        <f>_xlfn.XLOOKUP(A:A,Sheet1!A:A,Sheet1!P:P)</f>
        <v>Yes</v>
      </c>
      <c r="L174" s="12">
        <f>_xlfn.XLOOKUP(A:A,Sheet1!A:A,Sheet1!S:S)</f>
        <v>0.79269417475728277</v>
      </c>
    </row>
    <row r="175" spans="1:12" x14ac:dyDescent="0.35">
      <c r="A175" s="8" t="s">
        <v>399</v>
      </c>
      <c r="B175" s="2" t="str">
        <f>_xlfn.XLOOKUP(A175,Sheet1!A:A,Sheet1!B:B)</f>
        <v>Jeremy Sawyer</v>
      </c>
      <c r="C175" s="2" t="str">
        <f>_xlfn.XLOOKUP(A:A,Sheet1!A:A,Sheet1!D:D)</f>
        <v>Male</v>
      </c>
      <c r="D175" s="8">
        <f>_xlfn.XLOOKUP(A:A,Sheet1!A:A,Sheet1!F:F)</f>
        <v>31</v>
      </c>
      <c r="E175" s="2" t="str">
        <f>_xlfn.XLOOKUP(A:A,Sheet1!A:A,Sheet1!G:G)</f>
        <v>United Kingdom</v>
      </c>
      <c r="F175" s="8" t="str">
        <f>_xlfn.XLOOKUP(A:A,Sheet1!A:A,Sheet1!H:H)</f>
        <v>English</v>
      </c>
      <c r="G175" s="8" t="str">
        <f>_xlfn.XLOOKUP(A:A,Sheet1!A:A,Sheet1!I:I)</f>
        <v>Data Analysis</v>
      </c>
      <c r="H175" s="8">
        <f>_xlfn.XLOOKUP(A:A,Sheet1!A:A,Sheet1!K:K)</f>
        <v>4</v>
      </c>
      <c r="I175" s="9">
        <f>_xlfn.XLOOKUP(A:A,Sheet1!A:A,Sheet1!M:M)</f>
        <v>75</v>
      </c>
      <c r="J175" s="10">
        <f>_xlfn.XLOOKUP(A:A,Sheet1!A:A,Sheet1!O:O)</f>
        <v>1.1000000000000001</v>
      </c>
      <c r="K175" t="str">
        <f>_xlfn.XLOOKUP(A:A,Sheet1!A:A,Sheet1!P:P)</f>
        <v>Yes</v>
      </c>
      <c r="L175" s="12">
        <f>_xlfn.XLOOKUP(A:A,Sheet1!A:A,Sheet1!S:S)</f>
        <v>0.64</v>
      </c>
    </row>
    <row r="176" spans="1:12" x14ac:dyDescent="0.35">
      <c r="A176" s="8" t="s">
        <v>401</v>
      </c>
      <c r="B176" s="2" t="str">
        <f>_xlfn.XLOOKUP(A176,Sheet1!A:A,Sheet1!B:B)</f>
        <v>Eduardo Burns</v>
      </c>
      <c r="C176" s="2" t="str">
        <f>_xlfn.XLOOKUP(A:A,Sheet1!A:A,Sheet1!D:D)</f>
        <v>Male</v>
      </c>
      <c r="D176" s="8">
        <f>_xlfn.XLOOKUP(A:A,Sheet1!A:A,Sheet1!F:F)</f>
        <v>29</v>
      </c>
      <c r="E176" s="2" t="str">
        <f>_xlfn.XLOOKUP(A:A,Sheet1!A:A,Sheet1!G:G)</f>
        <v>Brazil</v>
      </c>
      <c r="F176" s="8" t="str">
        <f>_xlfn.XLOOKUP(A:A,Sheet1!A:A,Sheet1!H:H)</f>
        <v>Portuguese</v>
      </c>
      <c r="G176" s="8" t="str">
        <f>_xlfn.XLOOKUP(A:A,Sheet1!A:A,Sheet1!I:I)</f>
        <v>UI/UX Design</v>
      </c>
      <c r="H176" s="8">
        <f>_xlfn.XLOOKUP(A:A,Sheet1!A:A,Sheet1!K:K)</f>
        <v>9</v>
      </c>
      <c r="I176" s="9">
        <f>_xlfn.XLOOKUP(A:A,Sheet1!A:A,Sheet1!M:M)</f>
        <v>20</v>
      </c>
      <c r="J176" s="10">
        <f>_xlfn.XLOOKUP(A:A,Sheet1!A:A,Sheet1!O:O)</f>
        <v>2.5125695216907653</v>
      </c>
      <c r="K176" t="str">
        <f>_xlfn.XLOOKUP(A:A,Sheet1!A:A,Sheet1!P:P)</f>
        <v>No</v>
      </c>
      <c r="L176" s="12">
        <f>_xlfn.XLOOKUP(A:A,Sheet1!A:A,Sheet1!S:S)</f>
        <v>0.68</v>
      </c>
    </row>
    <row r="177" spans="1:12" x14ac:dyDescent="0.35">
      <c r="A177" s="8" t="s">
        <v>403</v>
      </c>
      <c r="B177" s="2" t="str">
        <f>_xlfn.XLOOKUP(A177,Sheet1!A:A,Sheet1!B:B)</f>
        <v>Amanda Jones</v>
      </c>
      <c r="C177" s="2" t="str">
        <f>_xlfn.XLOOKUP(A:A,Sheet1!A:A,Sheet1!D:D)</f>
        <v>Female</v>
      </c>
      <c r="D177" s="8">
        <f>_xlfn.XLOOKUP(A:A,Sheet1!A:A,Sheet1!F:F)</f>
        <v>57</v>
      </c>
      <c r="E177" s="2" t="str">
        <f>_xlfn.XLOOKUP(A:A,Sheet1!A:A,Sheet1!G:G)</f>
        <v>Australia</v>
      </c>
      <c r="F177" s="8" t="str">
        <f>_xlfn.XLOOKUP(A:A,Sheet1!A:A,Sheet1!H:H)</f>
        <v>English</v>
      </c>
      <c r="G177" s="8" t="str">
        <f>_xlfn.XLOOKUP(A:A,Sheet1!A:A,Sheet1!I:I)</f>
        <v>Graphic Design</v>
      </c>
      <c r="H177" s="8">
        <f>_xlfn.XLOOKUP(A:A,Sheet1!A:A,Sheet1!K:K)</f>
        <v>17</v>
      </c>
      <c r="I177" s="9">
        <f>_xlfn.XLOOKUP(A:A,Sheet1!A:A,Sheet1!M:M)</f>
        <v>20</v>
      </c>
      <c r="J177" s="10">
        <f>_xlfn.XLOOKUP(A:A,Sheet1!A:A,Sheet1!O:O)</f>
        <v>3.6</v>
      </c>
      <c r="K177" t="str">
        <f>_xlfn.XLOOKUP(A:A,Sheet1!A:A,Sheet1!P:P)</f>
        <v>No</v>
      </c>
      <c r="L177" s="12">
        <f>_xlfn.XLOOKUP(A:A,Sheet1!A:A,Sheet1!S:S)</f>
        <v>0.63</v>
      </c>
    </row>
    <row r="178" spans="1:12" x14ac:dyDescent="0.35">
      <c r="A178" s="8" t="s">
        <v>405</v>
      </c>
      <c r="B178" s="2" t="str">
        <f>_xlfn.XLOOKUP(A178,Sheet1!A:A,Sheet1!B:B)</f>
        <v>Frederick Ware</v>
      </c>
      <c r="C178" s="2" t="str">
        <f>_xlfn.XLOOKUP(A:A,Sheet1!A:A,Sheet1!D:D)</f>
        <v>Male</v>
      </c>
      <c r="D178" s="8">
        <f>_xlfn.XLOOKUP(A:A,Sheet1!A:A,Sheet1!F:F)</f>
        <v>47</v>
      </c>
      <c r="E178" s="2" t="str">
        <f>_xlfn.XLOOKUP(A:A,Sheet1!A:A,Sheet1!G:G)</f>
        <v>India</v>
      </c>
      <c r="F178" s="8" t="str">
        <f>_xlfn.XLOOKUP(A:A,Sheet1!A:A,Sheet1!H:H)</f>
        <v>Hindi</v>
      </c>
      <c r="G178" s="8" t="str">
        <f>_xlfn.XLOOKUP(A:A,Sheet1!A:A,Sheet1!I:I)</f>
        <v>DevOps</v>
      </c>
      <c r="H178" s="8">
        <f>_xlfn.XLOOKUP(A:A,Sheet1!A:A,Sheet1!K:K)</f>
        <v>8</v>
      </c>
      <c r="I178" s="9">
        <f>_xlfn.XLOOKUP(A:A,Sheet1!A:A,Sheet1!M:M)</f>
        <v>20</v>
      </c>
      <c r="J178" s="10">
        <f>_xlfn.XLOOKUP(A:A,Sheet1!A:A,Sheet1!O:O)</f>
        <v>4.5</v>
      </c>
      <c r="K178" t="str">
        <f>_xlfn.XLOOKUP(A:A,Sheet1!A:A,Sheet1!P:P)</f>
        <v>Yes</v>
      </c>
      <c r="L178" s="12">
        <f>_xlfn.XLOOKUP(A:A,Sheet1!A:A,Sheet1!S:S)</f>
        <v>0.72</v>
      </c>
    </row>
    <row r="179" spans="1:12" x14ac:dyDescent="0.35">
      <c r="A179" s="8" t="s">
        <v>407</v>
      </c>
      <c r="B179" s="2" t="str">
        <f>_xlfn.XLOOKUP(A179,Sheet1!A:A,Sheet1!B:B)</f>
        <v>Michael Black</v>
      </c>
      <c r="C179" s="2" t="str">
        <f>_xlfn.XLOOKUP(A:A,Sheet1!A:A,Sheet1!D:D)</f>
        <v>Male</v>
      </c>
      <c r="D179" s="8">
        <f>_xlfn.XLOOKUP(A:A,Sheet1!A:A,Sheet1!F:F)</f>
        <v>47</v>
      </c>
      <c r="E179" s="2" t="str">
        <f>_xlfn.XLOOKUP(A:A,Sheet1!A:A,Sheet1!G:G)</f>
        <v>South Africa</v>
      </c>
      <c r="F179" s="8" t="str">
        <f>_xlfn.XLOOKUP(A:A,Sheet1!A:A,Sheet1!H:H)</f>
        <v>Afrikaans</v>
      </c>
      <c r="G179" s="8" t="str">
        <f>_xlfn.XLOOKUP(A:A,Sheet1!A:A,Sheet1!I:I)</f>
        <v>AI</v>
      </c>
      <c r="H179" s="8">
        <f>_xlfn.XLOOKUP(A:A,Sheet1!A:A,Sheet1!K:K)</f>
        <v>14</v>
      </c>
      <c r="I179" s="9">
        <f>_xlfn.XLOOKUP(A:A,Sheet1!A:A,Sheet1!M:M)</f>
        <v>30</v>
      </c>
      <c r="J179" s="11">
        <v>0</v>
      </c>
      <c r="K179" t="str">
        <f>_xlfn.XLOOKUP(A:A,Sheet1!A:A,Sheet1!P:P)</f>
        <v>Yes</v>
      </c>
      <c r="L179" s="12">
        <f>_xlfn.XLOOKUP(A:A,Sheet1!A:A,Sheet1!S:S)</f>
        <v>0.86</v>
      </c>
    </row>
    <row r="180" spans="1:12" x14ac:dyDescent="0.35">
      <c r="A180" s="8" t="s">
        <v>409</v>
      </c>
      <c r="B180" s="2" t="str">
        <f>_xlfn.XLOOKUP(A180,Sheet1!A:A,Sheet1!B:B)</f>
        <v>Patricia Sanders</v>
      </c>
      <c r="C180" s="2" t="str">
        <f>_xlfn.XLOOKUP(A:A,Sheet1!A:A,Sheet1!D:D)</f>
        <v>Female</v>
      </c>
      <c r="D180" s="8">
        <f>_xlfn.XLOOKUP(A:A,Sheet1!A:A,Sheet1!F:F)</f>
        <v>45</v>
      </c>
      <c r="E180" s="2" t="str">
        <f>_xlfn.XLOOKUP(A:A,Sheet1!A:A,Sheet1!G:G)</f>
        <v>France</v>
      </c>
      <c r="F180" s="8" t="str">
        <f>_xlfn.XLOOKUP(A:A,Sheet1!A:A,Sheet1!H:H)</f>
        <v>French</v>
      </c>
      <c r="G180" s="8" t="str">
        <f>_xlfn.XLOOKUP(A:A,Sheet1!A:A,Sheet1!I:I)</f>
        <v>Graphic Design</v>
      </c>
      <c r="H180" s="8">
        <f>_xlfn.XLOOKUP(A:A,Sheet1!A:A,Sheet1!K:K)</f>
        <v>21</v>
      </c>
      <c r="I180" s="9">
        <f>_xlfn.XLOOKUP(A:A,Sheet1!A:A,Sheet1!M:M)</f>
        <v>30</v>
      </c>
      <c r="J180" s="10">
        <f>_xlfn.XLOOKUP(A:A,Sheet1!A:A,Sheet1!O:O)</f>
        <v>1.5</v>
      </c>
      <c r="K180" t="str">
        <f>_xlfn.XLOOKUP(A:A,Sheet1!A:A,Sheet1!P:P)</f>
        <v>Yes</v>
      </c>
      <c r="L180" s="12">
        <f>_xlfn.XLOOKUP(A:A,Sheet1!A:A,Sheet1!S:S)</f>
        <v>0.73</v>
      </c>
    </row>
    <row r="181" spans="1:12" x14ac:dyDescent="0.35">
      <c r="A181" s="8" t="s">
        <v>411</v>
      </c>
      <c r="B181" s="2" t="str">
        <f>_xlfn.XLOOKUP(A181,Sheet1!A:A,Sheet1!B:B)</f>
        <v>Marc Joseph</v>
      </c>
      <c r="C181" s="2" t="str">
        <f>_xlfn.XLOOKUP(A:A,Sheet1!A:A,Sheet1!D:D)</f>
        <v>Male</v>
      </c>
      <c r="D181" s="8">
        <f>_xlfn.XLOOKUP(A:A,Sheet1!A:A,Sheet1!F:F)</f>
        <v>24</v>
      </c>
      <c r="E181" s="2" t="str">
        <f>_xlfn.XLOOKUP(A:A,Sheet1!A:A,Sheet1!G:G)</f>
        <v>Turkey</v>
      </c>
      <c r="F181" s="8" t="str">
        <f>_xlfn.XLOOKUP(A:A,Sheet1!A:A,Sheet1!H:H)</f>
        <v>Turkish</v>
      </c>
      <c r="G181" s="8" t="str">
        <f>_xlfn.XLOOKUP(A:A,Sheet1!A:A,Sheet1!I:I)</f>
        <v>Machine Learning</v>
      </c>
      <c r="H181" s="8">
        <f>_xlfn.XLOOKUP(A:A,Sheet1!A:A,Sheet1!K:K)</f>
        <v>1</v>
      </c>
      <c r="I181" s="9">
        <f>_xlfn.XLOOKUP(A:A,Sheet1!A:A,Sheet1!M:M)</f>
        <v>30</v>
      </c>
      <c r="J181" s="10">
        <f>_xlfn.XLOOKUP(A:A,Sheet1!A:A,Sheet1!O:O)</f>
        <v>3.7</v>
      </c>
      <c r="K181" t="str">
        <f>_xlfn.XLOOKUP(A:A,Sheet1!A:A,Sheet1!P:P)</f>
        <v>No</v>
      </c>
      <c r="L181" s="12">
        <f>_xlfn.XLOOKUP(A:A,Sheet1!A:A,Sheet1!S:S)</f>
        <v>0.95</v>
      </c>
    </row>
    <row r="182" spans="1:12" x14ac:dyDescent="0.35">
      <c r="A182" s="8" t="s">
        <v>413</v>
      </c>
      <c r="B182" s="2" t="str">
        <f>_xlfn.XLOOKUP(A182,Sheet1!A:A,Sheet1!B:B)</f>
        <v>Vanessa White</v>
      </c>
      <c r="C182" s="2" t="str">
        <f>_xlfn.XLOOKUP(A:A,Sheet1!A:A,Sheet1!D:D)</f>
        <v>Female</v>
      </c>
      <c r="D182" s="8">
        <f>_xlfn.XLOOKUP(A:A,Sheet1!A:A,Sheet1!F:F)</f>
        <v>31</v>
      </c>
      <c r="E182" s="2" t="str">
        <f>_xlfn.XLOOKUP(A:A,Sheet1!A:A,Sheet1!G:G)</f>
        <v>Argentina</v>
      </c>
      <c r="F182" s="8" t="str">
        <f>_xlfn.XLOOKUP(A:A,Sheet1!A:A,Sheet1!H:H)</f>
        <v>Spanish</v>
      </c>
      <c r="G182" s="8" t="str">
        <f>_xlfn.XLOOKUP(A:A,Sheet1!A:A,Sheet1!I:I)</f>
        <v>Mobile Apps</v>
      </c>
      <c r="H182" s="8">
        <f>_xlfn.XLOOKUP(A:A,Sheet1!A:A,Sheet1!K:K)</f>
        <v>12</v>
      </c>
      <c r="I182" s="9">
        <f>_xlfn.XLOOKUP(A:A,Sheet1!A:A,Sheet1!M:M)</f>
        <v>20</v>
      </c>
      <c r="J182" s="10">
        <f>_xlfn.XLOOKUP(A:A,Sheet1!A:A,Sheet1!O:O)</f>
        <v>2.2999999999999998</v>
      </c>
      <c r="K182" t="str">
        <f>_xlfn.XLOOKUP(A:A,Sheet1!A:A,Sheet1!P:P)</f>
        <v>No</v>
      </c>
      <c r="L182" s="12">
        <f>_xlfn.XLOOKUP(A:A,Sheet1!A:A,Sheet1!S:S)</f>
        <v>0.9</v>
      </c>
    </row>
    <row r="183" spans="1:12" x14ac:dyDescent="0.35">
      <c r="A183" s="8" t="s">
        <v>415</v>
      </c>
      <c r="B183" s="2" t="str">
        <f>_xlfn.XLOOKUP(A183,Sheet1!A:A,Sheet1!B:B)</f>
        <v>Jennifer Garcia</v>
      </c>
      <c r="C183" s="2" t="str">
        <f>_xlfn.XLOOKUP(A:A,Sheet1!A:A,Sheet1!D:D)</f>
        <v>Female</v>
      </c>
      <c r="D183" s="8">
        <f>_xlfn.XLOOKUP(A:A,Sheet1!A:A,Sheet1!F:F)</f>
        <v>20</v>
      </c>
      <c r="E183" s="2" t="str">
        <f>_xlfn.XLOOKUP(A:A,Sheet1!A:A,Sheet1!G:G)</f>
        <v>Mexico</v>
      </c>
      <c r="F183" s="8" t="str">
        <f>_xlfn.XLOOKUP(A:A,Sheet1!A:A,Sheet1!H:H)</f>
        <v>Spanish</v>
      </c>
      <c r="G183" s="8" t="str">
        <f>_xlfn.XLOOKUP(A:A,Sheet1!A:A,Sheet1!I:I)</f>
        <v>Graphic Design</v>
      </c>
      <c r="H183" s="8">
        <f>_xlfn.XLOOKUP(A:A,Sheet1!A:A,Sheet1!K:K)</f>
        <v>2</v>
      </c>
      <c r="I183" s="9">
        <f>_xlfn.XLOOKUP(A:A,Sheet1!A:A,Sheet1!M:M)</f>
        <v>20</v>
      </c>
      <c r="J183" s="10">
        <f>_xlfn.XLOOKUP(A:A,Sheet1!A:A,Sheet1!O:O)</f>
        <v>2.8</v>
      </c>
      <c r="K183" t="str">
        <f>_xlfn.XLOOKUP(A:A,Sheet1!A:A,Sheet1!P:P)</f>
        <v>No</v>
      </c>
      <c r="L183" s="12">
        <f>_xlfn.XLOOKUP(A:A,Sheet1!A:A,Sheet1!S:S)</f>
        <v>0.78</v>
      </c>
    </row>
    <row r="184" spans="1:12" x14ac:dyDescent="0.35">
      <c r="A184" s="8" t="s">
        <v>417</v>
      </c>
      <c r="B184" s="2" t="str">
        <f>_xlfn.XLOOKUP(A184,Sheet1!A:A,Sheet1!B:B)</f>
        <v>Michael Zavala</v>
      </c>
      <c r="C184" s="2" t="str">
        <f>_xlfn.XLOOKUP(A:A,Sheet1!A:A,Sheet1!D:D)</f>
        <v>Male</v>
      </c>
      <c r="D184" s="8">
        <f>_xlfn.XLOOKUP(A:A,Sheet1!A:A,Sheet1!F:F)</f>
        <v>38</v>
      </c>
      <c r="E184" s="2" t="str">
        <f>_xlfn.XLOOKUP(A:A,Sheet1!A:A,Sheet1!G:G)</f>
        <v>Japan</v>
      </c>
      <c r="F184" s="8" t="str">
        <f>_xlfn.XLOOKUP(A:A,Sheet1!A:A,Sheet1!H:H)</f>
        <v>Japanese</v>
      </c>
      <c r="G184" s="8" t="str">
        <f>_xlfn.XLOOKUP(A:A,Sheet1!A:A,Sheet1!I:I)</f>
        <v>Web Development</v>
      </c>
      <c r="H184" s="8">
        <f>_xlfn.XLOOKUP(A:A,Sheet1!A:A,Sheet1!K:K)</f>
        <v>3</v>
      </c>
      <c r="I184" s="9">
        <f>_xlfn.XLOOKUP(A:A,Sheet1!A:A,Sheet1!M:M)</f>
        <v>30</v>
      </c>
      <c r="J184" s="10">
        <f>_xlfn.XLOOKUP(A:A,Sheet1!A:A,Sheet1!O:O)</f>
        <v>3.5</v>
      </c>
      <c r="K184" t="str">
        <f>_xlfn.XLOOKUP(A:A,Sheet1!A:A,Sheet1!P:P)</f>
        <v>No</v>
      </c>
      <c r="L184" s="12">
        <f>_xlfn.XLOOKUP(A:A,Sheet1!A:A,Sheet1!S:S)</f>
        <v>0.97</v>
      </c>
    </row>
    <row r="185" spans="1:12" x14ac:dyDescent="0.35">
      <c r="A185" s="8" t="s">
        <v>419</v>
      </c>
      <c r="B185" s="2" t="str">
        <f>_xlfn.XLOOKUP(A185,Sheet1!A:A,Sheet1!B:B)</f>
        <v>Kimberly Williams</v>
      </c>
      <c r="C185" s="2" t="str">
        <f>_xlfn.XLOOKUP(A:A,Sheet1!A:A,Sheet1!D:D)</f>
        <v>Female</v>
      </c>
      <c r="D185" s="8">
        <f>_xlfn.XLOOKUP(A:A,Sheet1!A:A,Sheet1!F:F)</f>
        <v>33</v>
      </c>
      <c r="E185" s="2" t="str">
        <f>_xlfn.XLOOKUP(A:A,Sheet1!A:A,Sheet1!G:G)</f>
        <v>Germany</v>
      </c>
      <c r="F185" s="8" t="str">
        <f>_xlfn.XLOOKUP(A:A,Sheet1!A:A,Sheet1!H:H)</f>
        <v>German</v>
      </c>
      <c r="G185" s="8" t="str">
        <f>_xlfn.XLOOKUP(A:A,Sheet1!A:A,Sheet1!I:I)</f>
        <v>UI/UX Design</v>
      </c>
      <c r="H185" s="8">
        <f>_xlfn.XLOOKUP(A:A,Sheet1!A:A,Sheet1!K:K)</f>
        <v>11</v>
      </c>
      <c r="I185" s="9">
        <f>_xlfn.XLOOKUP(A:A,Sheet1!A:A,Sheet1!M:M)</f>
        <v>40</v>
      </c>
      <c r="J185" s="11">
        <v>0</v>
      </c>
      <c r="K185" t="str">
        <f>_xlfn.XLOOKUP(A:A,Sheet1!A:A,Sheet1!P:P)</f>
        <v>Yes</v>
      </c>
      <c r="L185" s="12">
        <f>_xlfn.XLOOKUP(A:A,Sheet1!A:A,Sheet1!S:S)</f>
        <v>0.65</v>
      </c>
    </row>
    <row r="186" spans="1:12" x14ac:dyDescent="0.35">
      <c r="A186" s="8" t="s">
        <v>421</v>
      </c>
      <c r="B186" s="2" t="str">
        <f>_xlfn.XLOOKUP(A186,Sheet1!A:A,Sheet1!B:B)</f>
        <v>Elizabeth Jenkins</v>
      </c>
      <c r="C186" s="2" t="str">
        <f>_xlfn.XLOOKUP(A:A,Sheet1!A:A,Sheet1!D:D)</f>
        <v>Female</v>
      </c>
      <c r="D186" s="8">
        <f>_xlfn.XLOOKUP(A:A,Sheet1!A:A,Sheet1!F:F)</f>
        <v>31</v>
      </c>
      <c r="E186" s="2" t="str">
        <f>_xlfn.XLOOKUP(A:A,Sheet1!A:A,Sheet1!G:G)</f>
        <v>Australia</v>
      </c>
      <c r="F186" s="8" t="str">
        <f>_xlfn.XLOOKUP(A:A,Sheet1!A:A,Sheet1!H:H)</f>
        <v>English</v>
      </c>
      <c r="G186" s="8" t="str">
        <f>_xlfn.XLOOKUP(A:A,Sheet1!A:A,Sheet1!I:I)</f>
        <v>Web Development</v>
      </c>
      <c r="H186" s="8">
        <f>_xlfn.XLOOKUP(A:A,Sheet1!A:A,Sheet1!K:K)</f>
        <v>4</v>
      </c>
      <c r="I186" s="9">
        <f>_xlfn.XLOOKUP(A:A,Sheet1!A:A,Sheet1!M:M)</f>
        <v>40</v>
      </c>
      <c r="J186" s="10">
        <f>_xlfn.XLOOKUP(A:A,Sheet1!A:A,Sheet1!O:O)</f>
        <v>3.2</v>
      </c>
      <c r="K186" t="str">
        <f>_xlfn.XLOOKUP(A:A,Sheet1!A:A,Sheet1!P:P)</f>
        <v>Yes</v>
      </c>
      <c r="L186" s="12">
        <f>_xlfn.XLOOKUP(A:A,Sheet1!A:A,Sheet1!S:S)</f>
        <v>0.78</v>
      </c>
    </row>
    <row r="187" spans="1:12" x14ac:dyDescent="0.35">
      <c r="A187" s="8" t="s">
        <v>423</v>
      </c>
      <c r="B187" s="2" t="str">
        <f>_xlfn.XLOOKUP(A187,Sheet1!A:A,Sheet1!B:B)</f>
        <v>Brandon Ford</v>
      </c>
      <c r="C187" s="2" t="str">
        <f>_xlfn.XLOOKUP(A:A,Sheet1!A:A,Sheet1!D:D)</f>
        <v>Male</v>
      </c>
      <c r="D187" s="8">
        <f>_xlfn.XLOOKUP(A:A,Sheet1!A:A,Sheet1!F:F)</f>
        <v>41</v>
      </c>
      <c r="E187" s="2" t="str">
        <f>_xlfn.XLOOKUP(A:A,Sheet1!A:A,Sheet1!G:G)</f>
        <v>Spain</v>
      </c>
      <c r="F187" s="8" t="str">
        <f>_xlfn.XLOOKUP(A:A,Sheet1!A:A,Sheet1!H:H)</f>
        <v>Spanish</v>
      </c>
      <c r="G187" s="8" t="str">
        <f>_xlfn.XLOOKUP(A:A,Sheet1!A:A,Sheet1!I:I)</f>
        <v>Machine Learning</v>
      </c>
      <c r="H187" s="8">
        <f>_xlfn.XLOOKUP(A:A,Sheet1!A:A,Sheet1!K:K)</f>
        <v>21</v>
      </c>
      <c r="I187" s="9">
        <f>_xlfn.XLOOKUP(A:A,Sheet1!A:A,Sheet1!M:M)</f>
        <v>50</v>
      </c>
      <c r="J187" s="10">
        <f>_xlfn.XLOOKUP(A:A,Sheet1!A:A,Sheet1!O:O)</f>
        <v>3.3</v>
      </c>
      <c r="K187" t="str">
        <f>_xlfn.XLOOKUP(A:A,Sheet1!A:A,Sheet1!P:P)</f>
        <v>Yes</v>
      </c>
      <c r="L187" s="12">
        <f>_xlfn.XLOOKUP(A:A,Sheet1!A:A,Sheet1!S:S)</f>
        <v>0.65</v>
      </c>
    </row>
    <row r="188" spans="1:12" x14ac:dyDescent="0.35">
      <c r="A188" s="8" t="s">
        <v>425</v>
      </c>
      <c r="B188" s="2" t="str">
        <f>_xlfn.XLOOKUP(A188,Sheet1!A:A,Sheet1!B:B)</f>
        <v>Justin House</v>
      </c>
      <c r="C188" s="2" t="str">
        <f>_xlfn.XLOOKUP(A:A,Sheet1!A:A,Sheet1!D:D)</f>
        <v>Male</v>
      </c>
      <c r="D188" s="8">
        <f>_xlfn.XLOOKUP(A:A,Sheet1!A:A,Sheet1!F:F)</f>
        <v>54</v>
      </c>
      <c r="E188" s="2" t="str">
        <f>_xlfn.XLOOKUP(A:A,Sheet1!A:A,Sheet1!G:G)</f>
        <v>Turkey</v>
      </c>
      <c r="F188" s="8" t="str">
        <f>_xlfn.XLOOKUP(A:A,Sheet1!A:A,Sheet1!H:H)</f>
        <v>Turkish</v>
      </c>
      <c r="G188" s="8" t="str">
        <f>_xlfn.XLOOKUP(A:A,Sheet1!A:A,Sheet1!I:I)</f>
        <v>Web Development</v>
      </c>
      <c r="H188" s="8">
        <f>_xlfn.XLOOKUP(A:A,Sheet1!A:A,Sheet1!K:K)</f>
        <v>0</v>
      </c>
      <c r="I188" s="9">
        <f>_xlfn.XLOOKUP(A:A,Sheet1!A:A,Sheet1!M:M)</f>
        <v>20</v>
      </c>
      <c r="J188" s="10">
        <f>_xlfn.XLOOKUP(A:A,Sheet1!A:A,Sheet1!O:O)</f>
        <v>4.9000000000000004</v>
      </c>
      <c r="K188" t="str">
        <f>_xlfn.XLOOKUP(A:A,Sheet1!A:A,Sheet1!P:P)</f>
        <v>No</v>
      </c>
      <c r="L188" s="12">
        <f>_xlfn.XLOOKUP(A:A,Sheet1!A:A,Sheet1!S:S)</f>
        <v>0.79269417475728277</v>
      </c>
    </row>
    <row r="189" spans="1:12" x14ac:dyDescent="0.35">
      <c r="A189" s="8" t="s">
        <v>427</v>
      </c>
      <c r="B189" s="2" t="str">
        <f>_xlfn.XLOOKUP(A189,Sheet1!A:A,Sheet1!B:B)</f>
        <v>Henry Mullen</v>
      </c>
      <c r="C189" s="2" t="str">
        <f>_xlfn.XLOOKUP(A:A,Sheet1!A:A,Sheet1!D:D)</f>
        <v>Male</v>
      </c>
      <c r="D189" s="8">
        <f>_xlfn.XLOOKUP(A:A,Sheet1!A:A,Sheet1!F:F)</f>
        <v>50</v>
      </c>
      <c r="E189" s="2" t="str">
        <f>_xlfn.XLOOKUP(A:A,Sheet1!A:A,Sheet1!G:G)</f>
        <v>Mexico</v>
      </c>
      <c r="F189" s="8" t="str">
        <f>_xlfn.XLOOKUP(A:A,Sheet1!A:A,Sheet1!H:H)</f>
        <v>Spanish</v>
      </c>
      <c r="G189" s="8" t="str">
        <f>_xlfn.XLOOKUP(A:A,Sheet1!A:A,Sheet1!I:I)</f>
        <v>Data Analysis</v>
      </c>
      <c r="H189" s="8">
        <f>_xlfn.XLOOKUP(A:A,Sheet1!A:A,Sheet1!K:K)</f>
        <v>6</v>
      </c>
      <c r="I189" s="9">
        <f>_xlfn.XLOOKUP(A:A,Sheet1!A:A,Sheet1!M:M)</f>
        <v>30</v>
      </c>
      <c r="J189" s="10">
        <f>_xlfn.XLOOKUP(A:A,Sheet1!A:A,Sheet1!O:O)</f>
        <v>2.2000000000000002</v>
      </c>
      <c r="K189" t="str">
        <f>_xlfn.XLOOKUP(A:A,Sheet1!A:A,Sheet1!P:P)</f>
        <v>Yes</v>
      </c>
      <c r="L189" s="12">
        <f>_xlfn.XLOOKUP(A:A,Sheet1!A:A,Sheet1!S:S)</f>
        <v>0.95</v>
      </c>
    </row>
    <row r="190" spans="1:12" x14ac:dyDescent="0.35">
      <c r="A190" s="8" t="s">
        <v>429</v>
      </c>
      <c r="B190" s="2" t="str">
        <f>_xlfn.XLOOKUP(A190,Sheet1!A:A,Sheet1!B:B)</f>
        <v>Jesse Cochran</v>
      </c>
      <c r="C190" s="2" t="str">
        <f>_xlfn.XLOOKUP(A:A,Sheet1!A:A,Sheet1!D:D)</f>
        <v>Male</v>
      </c>
      <c r="D190" s="8">
        <f>_xlfn.XLOOKUP(A:A,Sheet1!A:A,Sheet1!F:F)</f>
        <v>48</v>
      </c>
      <c r="E190" s="2" t="str">
        <f>_xlfn.XLOOKUP(A:A,Sheet1!A:A,Sheet1!G:G)</f>
        <v>Brazil</v>
      </c>
      <c r="F190" s="8" t="str">
        <f>_xlfn.XLOOKUP(A:A,Sheet1!A:A,Sheet1!H:H)</f>
        <v>Portuguese</v>
      </c>
      <c r="G190" s="8" t="str">
        <f>_xlfn.XLOOKUP(A:A,Sheet1!A:A,Sheet1!I:I)</f>
        <v>Machine Learning</v>
      </c>
      <c r="H190" s="8">
        <f>_xlfn.XLOOKUP(A:A,Sheet1!A:A,Sheet1!K:K)</f>
        <v>18</v>
      </c>
      <c r="I190" s="9">
        <f>_xlfn.XLOOKUP(A:A,Sheet1!A:A,Sheet1!M:M)</f>
        <v>40</v>
      </c>
      <c r="J190" s="10">
        <f>_xlfn.XLOOKUP(A:A,Sheet1!A:A,Sheet1!O:O)</f>
        <v>2.5125695216907653</v>
      </c>
      <c r="K190" t="str">
        <f>_xlfn.XLOOKUP(A:A,Sheet1!A:A,Sheet1!P:P)</f>
        <v>Yes</v>
      </c>
      <c r="L190" s="12">
        <f>_xlfn.XLOOKUP(A:A,Sheet1!A:A,Sheet1!S:S)</f>
        <v>0.88</v>
      </c>
    </row>
    <row r="191" spans="1:12" x14ac:dyDescent="0.35">
      <c r="A191" s="8" t="s">
        <v>431</v>
      </c>
      <c r="B191" s="2" t="str">
        <f>_xlfn.XLOOKUP(A191,Sheet1!A:A,Sheet1!B:B)</f>
        <v>Melissa Rich</v>
      </c>
      <c r="C191" s="2" t="str">
        <f>_xlfn.XLOOKUP(A:A,Sheet1!A:A,Sheet1!D:D)</f>
        <v>Female</v>
      </c>
      <c r="D191" s="8">
        <f>_xlfn.XLOOKUP(A:A,Sheet1!A:A,Sheet1!F:F)</f>
        <v>49</v>
      </c>
      <c r="E191" s="2" t="str">
        <f>_xlfn.XLOOKUP(A:A,Sheet1!A:A,Sheet1!G:G)</f>
        <v>Mexico</v>
      </c>
      <c r="F191" s="8" t="str">
        <f>_xlfn.XLOOKUP(A:A,Sheet1!A:A,Sheet1!H:H)</f>
        <v>Spanish</v>
      </c>
      <c r="G191" s="8" t="str">
        <f>_xlfn.XLOOKUP(A:A,Sheet1!A:A,Sheet1!I:I)</f>
        <v>Graphic Design</v>
      </c>
      <c r="H191" s="8">
        <f>_xlfn.XLOOKUP(A:A,Sheet1!A:A,Sheet1!K:K)</f>
        <v>9</v>
      </c>
      <c r="I191" s="9">
        <f>_xlfn.XLOOKUP(A:A,Sheet1!A:A,Sheet1!M:M)</f>
        <v>40</v>
      </c>
      <c r="J191" s="10">
        <f>_xlfn.XLOOKUP(A:A,Sheet1!A:A,Sheet1!O:O)</f>
        <v>1.8</v>
      </c>
      <c r="K191" t="str">
        <f>_xlfn.XLOOKUP(A:A,Sheet1!A:A,Sheet1!P:P)</f>
        <v>No</v>
      </c>
      <c r="L191" s="12">
        <f>_xlfn.XLOOKUP(A:A,Sheet1!A:A,Sheet1!S:S)</f>
        <v>0.79269417475728277</v>
      </c>
    </row>
    <row r="192" spans="1:12" x14ac:dyDescent="0.35">
      <c r="A192" s="8" t="s">
        <v>433</v>
      </c>
      <c r="B192" s="2" t="str">
        <f>_xlfn.XLOOKUP(A192,Sheet1!A:A,Sheet1!B:B)</f>
        <v>Patrick Dunlap</v>
      </c>
      <c r="C192" s="2" t="str">
        <f>_xlfn.XLOOKUP(A:A,Sheet1!A:A,Sheet1!D:D)</f>
        <v>Male</v>
      </c>
      <c r="D192" s="8">
        <f>_xlfn.XLOOKUP(A:A,Sheet1!A:A,Sheet1!F:F)</f>
        <v>21</v>
      </c>
      <c r="E192" s="2" t="str">
        <f>_xlfn.XLOOKUP(A:A,Sheet1!A:A,Sheet1!G:G)</f>
        <v>South Korea</v>
      </c>
      <c r="F192" s="8" t="str">
        <f>_xlfn.XLOOKUP(A:A,Sheet1!A:A,Sheet1!H:H)</f>
        <v>Korean</v>
      </c>
      <c r="G192" s="8" t="str">
        <f>_xlfn.XLOOKUP(A:A,Sheet1!A:A,Sheet1!I:I)</f>
        <v>Graphic Design</v>
      </c>
      <c r="H192" s="8">
        <f>_xlfn.XLOOKUP(A:A,Sheet1!A:A,Sheet1!K:K)</f>
        <v>1</v>
      </c>
      <c r="I192" s="9">
        <f>_xlfn.XLOOKUP(A:A,Sheet1!A:A,Sheet1!M:M)</f>
        <v>75</v>
      </c>
      <c r="J192" s="10">
        <f>_xlfn.XLOOKUP(A:A,Sheet1!A:A,Sheet1!O:O)</f>
        <v>4.5999999999999996</v>
      </c>
      <c r="K192" t="str">
        <f>_xlfn.XLOOKUP(A:A,Sheet1!A:A,Sheet1!P:P)</f>
        <v>No</v>
      </c>
      <c r="L192" s="12">
        <f>_xlfn.XLOOKUP(A:A,Sheet1!A:A,Sheet1!S:S)</f>
        <v>0.92</v>
      </c>
    </row>
    <row r="193" spans="1:12" x14ac:dyDescent="0.35">
      <c r="A193" s="8" t="s">
        <v>435</v>
      </c>
      <c r="B193" s="2" t="str">
        <f>_xlfn.XLOOKUP(A193,Sheet1!A:A,Sheet1!B:B)</f>
        <v>Troy Carson</v>
      </c>
      <c r="C193" s="2" t="str">
        <f>_xlfn.XLOOKUP(A:A,Sheet1!A:A,Sheet1!D:D)</f>
        <v>Male</v>
      </c>
      <c r="D193" s="8">
        <f>_xlfn.XLOOKUP(A:A,Sheet1!A:A,Sheet1!F:F)</f>
        <v>58</v>
      </c>
      <c r="E193" s="2" t="str">
        <f>_xlfn.XLOOKUP(A:A,Sheet1!A:A,Sheet1!G:G)</f>
        <v>Australia</v>
      </c>
      <c r="F193" s="8" t="str">
        <f>_xlfn.XLOOKUP(A:A,Sheet1!A:A,Sheet1!H:H)</f>
        <v>English</v>
      </c>
      <c r="G193" s="8" t="str">
        <f>_xlfn.XLOOKUP(A:A,Sheet1!A:A,Sheet1!I:I)</f>
        <v>Graphic Design</v>
      </c>
      <c r="H193" s="8">
        <f>_xlfn.XLOOKUP(A:A,Sheet1!A:A,Sheet1!K:K)</f>
        <v>20</v>
      </c>
      <c r="I193" s="9">
        <f>_xlfn.XLOOKUP(A:A,Sheet1!A:A,Sheet1!M:M)</f>
        <v>75</v>
      </c>
      <c r="J193" s="10">
        <f>_xlfn.XLOOKUP(A:A,Sheet1!A:A,Sheet1!O:O)</f>
        <v>2.8</v>
      </c>
      <c r="K193" t="str">
        <f>_xlfn.XLOOKUP(A:A,Sheet1!A:A,Sheet1!P:P)</f>
        <v>No</v>
      </c>
      <c r="L193" s="12">
        <f>_xlfn.XLOOKUP(A:A,Sheet1!A:A,Sheet1!S:S)</f>
        <v>0.75</v>
      </c>
    </row>
    <row r="194" spans="1:12" x14ac:dyDescent="0.35">
      <c r="A194" s="8" t="s">
        <v>437</v>
      </c>
      <c r="B194" s="2" t="str">
        <f>_xlfn.XLOOKUP(A194,Sheet1!A:A,Sheet1!B:B)</f>
        <v>Matthew Smith</v>
      </c>
      <c r="C194" s="2" t="str">
        <f>_xlfn.XLOOKUP(A:A,Sheet1!A:A,Sheet1!D:D)</f>
        <v>Male</v>
      </c>
      <c r="D194" s="8">
        <f>_xlfn.XLOOKUP(A:A,Sheet1!A:A,Sheet1!F:F)</f>
        <v>41</v>
      </c>
      <c r="E194" s="2" t="str">
        <f>_xlfn.XLOOKUP(A:A,Sheet1!A:A,Sheet1!G:G)</f>
        <v>Italy</v>
      </c>
      <c r="F194" s="8" t="str">
        <f>_xlfn.XLOOKUP(A:A,Sheet1!A:A,Sheet1!H:H)</f>
        <v>Italian</v>
      </c>
      <c r="G194" s="8" t="str">
        <f>_xlfn.XLOOKUP(A:A,Sheet1!A:A,Sheet1!I:I)</f>
        <v>DevOps</v>
      </c>
      <c r="H194" s="8">
        <f>_xlfn.XLOOKUP(A:A,Sheet1!A:A,Sheet1!K:K)</f>
        <v>9</v>
      </c>
      <c r="I194" s="9">
        <f>_xlfn.XLOOKUP(A:A,Sheet1!A:A,Sheet1!M:M)</f>
        <v>30</v>
      </c>
      <c r="J194" s="10">
        <f>_xlfn.XLOOKUP(A:A,Sheet1!A:A,Sheet1!O:O)</f>
        <v>1.4</v>
      </c>
      <c r="K194" t="str">
        <f>_xlfn.XLOOKUP(A:A,Sheet1!A:A,Sheet1!P:P)</f>
        <v>No</v>
      </c>
      <c r="L194" s="12">
        <f>_xlfn.XLOOKUP(A:A,Sheet1!A:A,Sheet1!S:S)</f>
        <v>0.74</v>
      </c>
    </row>
    <row r="195" spans="1:12" x14ac:dyDescent="0.35">
      <c r="A195" s="8" t="s">
        <v>438</v>
      </c>
      <c r="B195" s="2" t="str">
        <f>_xlfn.XLOOKUP(A195,Sheet1!A:A,Sheet1!B:B)</f>
        <v>Jennifer Cherry</v>
      </c>
      <c r="C195" s="2" t="str">
        <f>_xlfn.XLOOKUP(A:A,Sheet1!A:A,Sheet1!D:D)</f>
        <v>Female</v>
      </c>
      <c r="D195" s="8">
        <f>_xlfn.XLOOKUP(A:A,Sheet1!A:A,Sheet1!F:F)</f>
        <v>58</v>
      </c>
      <c r="E195" s="2" t="str">
        <f>_xlfn.XLOOKUP(A:A,Sheet1!A:A,Sheet1!G:G)</f>
        <v>Russia</v>
      </c>
      <c r="F195" s="8" t="str">
        <f>_xlfn.XLOOKUP(A:A,Sheet1!A:A,Sheet1!H:H)</f>
        <v>Russian</v>
      </c>
      <c r="G195" s="8" t="str">
        <f>_xlfn.XLOOKUP(A:A,Sheet1!A:A,Sheet1!I:I)</f>
        <v>Blockchain Development</v>
      </c>
      <c r="H195" s="8">
        <f>_xlfn.XLOOKUP(A:A,Sheet1!A:A,Sheet1!K:K)</f>
        <v>25</v>
      </c>
      <c r="I195" s="9">
        <f>_xlfn.XLOOKUP(A:A,Sheet1!A:A,Sheet1!M:M)</f>
        <v>30</v>
      </c>
      <c r="J195" s="10">
        <f>_xlfn.XLOOKUP(A:A,Sheet1!A:A,Sheet1!O:O)</f>
        <v>4.2</v>
      </c>
      <c r="K195" t="str">
        <f>_xlfn.XLOOKUP(A:A,Sheet1!A:A,Sheet1!P:P)</f>
        <v>Yes</v>
      </c>
      <c r="L195" s="12">
        <f>_xlfn.XLOOKUP(A:A,Sheet1!A:A,Sheet1!S:S)</f>
        <v>0.71</v>
      </c>
    </row>
    <row r="196" spans="1:12" x14ac:dyDescent="0.35">
      <c r="A196" s="8" t="s">
        <v>440</v>
      </c>
      <c r="B196" s="2" t="str">
        <f>_xlfn.XLOOKUP(A196,Sheet1!A:A,Sheet1!B:B)</f>
        <v>Brandi Tucker</v>
      </c>
      <c r="C196" s="2" t="str">
        <f>_xlfn.XLOOKUP(A:A,Sheet1!A:A,Sheet1!D:D)</f>
        <v>Female</v>
      </c>
      <c r="D196" s="8">
        <f>_xlfn.XLOOKUP(A:A,Sheet1!A:A,Sheet1!F:F)</f>
        <v>50</v>
      </c>
      <c r="E196" s="2" t="str">
        <f>_xlfn.XLOOKUP(A:A,Sheet1!A:A,Sheet1!G:G)</f>
        <v>South Africa</v>
      </c>
      <c r="F196" s="8" t="str">
        <f>_xlfn.XLOOKUP(A:A,Sheet1!A:A,Sheet1!H:H)</f>
        <v>Afrikaans</v>
      </c>
      <c r="G196" s="8" t="str">
        <f>_xlfn.XLOOKUP(A:A,Sheet1!A:A,Sheet1!I:I)</f>
        <v>Graphic Design</v>
      </c>
      <c r="H196" s="8">
        <f>_xlfn.XLOOKUP(A:A,Sheet1!A:A,Sheet1!K:K)</f>
        <v>20</v>
      </c>
      <c r="I196" s="9">
        <f>_xlfn.XLOOKUP(A:A,Sheet1!A:A,Sheet1!M:M)</f>
        <v>40</v>
      </c>
      <c r="J196" s="10">
        <f>_xlfn.XLOOKUP(A:A,Sheet1!A:A,Sheet1!O:O)</f>
        <v>3.6</v>
      </c>
      <c r="K196" t="str">
        <f>_xlfn.XLOOKUP(A:A,Sheet1!A:A,Sheet1!P:P)</f>
        <v>Yes</v>
      </c>
      <c r="L196" s="12">
        <f>_xlfn.XLOOKUP(A:A,Sheet1!A:A,Sheet1!S:S)</f>
        <v>0.89</v>
      </c>
    </row>
    <row r="197" spans="1:12" x14ac:dyDescent="0.35">
      <c r="A197" s="8" t="s">
        <v>442</v>
      </c>
      <c r="B197" s="2" t="str">
        <f>_xlfn.XLOOKUP(A197,Sheet1!A:A,Sheet1!B:B)</f>
        <v>Zachary Burke</v>
      </c>
      <c r="C197" s="2" t="str">
        <f>_xlfn.XLOOKUP(A:A,Sheet1!A:A,Sheet1!D:D)</f>
        <v>Male</v>
      </c>
      <c r="D197" s="8">
        <f>_xlfn.XLOOKUP(A:A,Sheet1!A:A,Sheet1!F:F)</f>
        <v>52</v>
      </c>
      <c r="E197" s="2" t="str">
        <f>_xlfn.XLOOKUP(A:A,Sheet1!A:A,Sheet1!G:G)</f>
        <v>Indonesia</v>
      </c>
      <c r="F197" s="8" t="str">
        <f>_xlfn.XLOOKUP(A:A,Sheet1!A:A,Sheet1!H:H)</f>
        <v>Indonesian</v>
      </c>
      <c r="G197" s="8" t="str">
        <f>_xlfn.XLOOKUP(A:A,Sheet1!A:A,Sheet1!I:I)</f>
        <v>Web Development</v>
      </c>
      <c r="H197" s="8">
        <f>_xlfn.XLOOKUP(A:A,Sheet1!A:A,Sheet1!K:K)</f>
        <v>33</v>
      </c>
      <c r="I197" s="9">
        <f>_xlfn.XLOOKUP(A:A,Sheet1!A:A,Sheet1!M:M)</f>
        <v>100</v>
      </c>
      <c r="J197" s="10">
        <f>_xlfn.XLOOKUP(A:A,Sheet1!A:A,Sheet1!O:O)</f>
        <v>1.6</v>
      </c>
      <c r="K197" t="str">
        <f>_xlfn.XLOOKUP(A:A,Sheet1!A:A,Sheet1!P:P)</f>
        <v>No</v>
      </c>
      <c r="L197" s="12">
        <f>_xlfn.XLOOKUP(A:A,Sheet1!A:A,Sheet1!S:S)</f>
        <v>0.66</v>
      </c>
    </row>
    <row r="198" spans="1:12" x14ac:dyDescent="0.35">
      <c r="A198" s="8" t="s">
        <v>444</v>
      </c>
      <c r="B198" s="2" t="str">
        <f>_xlfn.XLOOKUP(A198,Sheet1!A:A,Sheet1!B:B)</f>
        <v>Thomas Jones</v>
      </c>
      <c r="C198" s="2" t="str">
        <f>_xlfn.XLOOKUP(A:A,Sheet1!A:A,Sheet1!D:D)</f>
        <v>Male</v>
      </c>
      <c r="D198" s="8">
        <f>_xlfn.XLOOKUP(A:A,Sheet1!A:A,Sheet1!F:F)</f>
        <v>34</v>
      </c>
      <c r="E198" s="2" t="str">
        <f>_xlfn.XLOOKUP(A:A,Sheet1!A:A,Sheet1!G:G)</f>
        <v>Netherlands</v>
      </c>
      <c r="F198" s="8" t="str">
        <f>_xlfn.XLOOKUP(A:A,Sheet1!A:A,Sheet1!H:H)</f>
        <v>Dutch</v>
      </c>
      <c r="G198" s="8" t="str">
        <f>_xlfn.XLOOKUP(A:A,Sheet1!A:A,Sheet1!I:I)</f>
        <v>Data Analysis</v>
      </c>
      <c r="H198" s="8">
        <f>_xlfn.XLOOKUP(A:A,Sheet1!A:A,Sheet1!K:K)</f>
        <v>6</v>
      </c>
      <c r="I198" s="9">
        <f>_xlfn.XLOOKUP(A:A,Sheet1!A:A,Sheet1!M:M)</f>
        <v>100</v>
      </c>
      <c r="J198" s="10">
        <f>_xlfn.XLOOKUP(A:A,Sheet1!A:A,Sheet1!O:O)</f>
        <v>2</v>
      </c>
      <c r="K198" t="str">
        <f>_xlfn.XLOOKUP(A:A,Sheet1!A:A,Sheet1!P:P)</f>
        <v>No</v>
      </c>
      <c r="L198" s="12">
        <f>_xlfn.XLOOKUP(A:A,Sheet1!A:A,Sheet1!S:S)</f>
        <v>0.79269417475728277</v>
      </c>
    </row>
    <row r="199" spans="1:12" x14ac:dyDescent="0.35">
      <c r="A199" s="8" t="s">
        <v>446</v>
      </c>
      <c r="B199" s="2" t="str">
        <f>_xlfn.XLOOKUP(A199,Sheet1!A:A,Sheet1!B:B)</f>
        <v>Brian Dunn</v>
      </c>
      <c r="C199" s="2" t="str">
        <f>_xlfn.XLOOKUP(A:A,Sheet1!A:A,Sheet1!D:D)</f>
        <v>Male</v>
      </c>
      <c r="D199" s="8">
        <f>_xlfn.XLOOKUP(A:A,Sheet1!A:A,Sheet1!F:F)</f>
        <v>32</v>
      </c>
      <c r="E199" s="2" t="str">
        <f>_xlfn.XLOOKUP(A:A,Sheet1!A:A,Sheet1!G:G)</f>
        <v>France</v>
      </c>
      <c r="F199" s="8" t="str">
        <f>_xlfn.XLOOKUP(A:A,Sheet1!A:A,Sheet1!H:H)</f>
        <v>French</v>
      </c>
      <c r="G199" s="8" t="str">
        <f>_xlfn.XLOOKUP(A:A,Sheet1!A:A,Sheet1!I:I)</f>
        <v>Machine Learning</v>
      </c>
      <c r="H199" s="8">
        <f>_xlfn.XLOOKUP(A:A,Sheet1!A:A,Sheet1!K:K)</f>
        <v>11</v>
      </c>
      <c r="I199" s="9">
        <f>_xlfn.XLOOKUP(A:A,Sheet1!A:A,Sheet1!M:M)</f>
        <v>40</v>
      </c>
      <c r="J199" s="10">
        <f>_xlfn.XLOOKUP(A:A,Sheet1!A:A,Sheet1!O:O)</f>
        <v>4.3</v>
      </c>
      <c r="K199" t="str">
        <f>_xlfn.XLOOKUP(A:A,Sheet1!A:A,Sheet1!P:P)</f>
        <v>Yes</v>
      </c>
      <c r="L199" s="12">
        <f>_xlfn.XLOOKUP(A:A,Sheet1!A:A,Sheet1!S:S)</f>
        <v>0.86</v>
      </c>
    </row>
    <row r="200" spans="1:12" x14ac:dyDescent="0.35">
      <c r="A200" s="8" t="s">
        <v>448</v>
      </c>
      <c r="B200" s="2" t="str">
        <f>_xlfn.XLOOKUP(A200,Sheet1!A:A,Sheet1!B:B)</f>
        <v>Shirley Strickland</v>
      </c>
      <c r="C200" s="2" t="str">
        <f>_xlfn.XLOOKUP(A:A,Sheet1!A:A,Sheet1!D:D)</f>
        <v>Female</v>
      </c>
      <c r="D200" s="8">
        <f>_xlfn.XLOOKUP(A:A,Sheet1!A:A,Sheet1!F:F)</f>
        <v>50</v>
      </c>
      <c r="E200" s="2" t="str">
        <f>_xlfn.XLOOKUP(A:A,Sheet1!A:A,Sheet1!G:G)</f>
        <v>India</v>
      </c>
      <c r="F200" s="8" t="str">
        <f>_xlfn.XLOOKUP(A:A,Sheet1!A:A,Sheet1!H:H)</f>
        <v>Hindi</v>
      </c>
      <c r="G200" s="8" t="str">
        <f>_xlfn.XLOOKUP(A:A,Sheet1!A:A,Sheet1!I:I)</f>
        <v>Graphic Design</v>
      </c>
      <c r="H200" s="8">
        <f>_xlfn.XLOOKUP(A:A,Sheet1!A:A,Sheet1!K:K)</f>
        <v>28</v>
      </c>
      <c r="I200" s="9">
        <f>_xlfn.XLOOKUP(A:A,Sheet1!A:A,Sheet1!M:M)</f>
        <v>100</v>
      </c>
      <c r="J200" s="10">
        <f>_xlfn.XLOOKUP(A:A,Sheet1!A:A,Sheet1!O:O)</f>
        <v>4.9000000000000004</v>
      </c>
      <c r="K200" t="str">
        <f>_xlfn.XLOOKUP(A:A,Sheet1!A:A,Sheet1!P:P)</f>
        <v>Yes</v>
      </c>
      <c r="L200" s="12">
        <f>_xlfn.XLOOKUP(A:A,Sheet1!A:A,Sheet1!S:S)</f>
        <v>0.86</v>
      </c>
    </row>
    <row r="201" spans="1:12" x14ac:dyDescent="0.35">
      <c r="A201" s="8" t="s">
        <v>450</v>
      </c>
      <c r="B201" s="2" t="str">
        <f>_xlfn.XLOOKUP(A201,Sheet1!A:A,Sheet1!B:B)</f>
        <v>Nicole Meyers</v>
      </c>
      <c r="C201" s="2" t="str">
        <f>_xlfn.XLOOKUP(A:A,Sheet1!A:A,Sheet1!D:D)</f>
        <v>Female</v>
      </c>
      <c r="D201" s="8">
        <f>_xlfn.XLOOKUP(A:A,Sheet1!A:A,Sheet1!F:F)</f>
        <v>39</v>
      </c>
      <c r="E201" s="2" t="str">
        <f>_xlfn.XLOOKUP(A:A,Sheet1!A:A,Sheet1!G:G)</f>
        <v>Argentina</v>
      </c>
      <c r="F201" s="8" t="str">
        <f>_xlfn.XLOOKUP(A:A,Sheet1!A:A,Sheet1!H:H)</f>
        <v>Spanish</v>
      </c>
      <c r="G201" s="8" t="str">
        <f>_xlfn.XLOOKUP(A:A,Sheet1!A:A,Sheet1!I:I)</f>
        <v>Data Analysis</v>
      </c>
      <c r="H201" s="8">
        <f>_xlfn.XLOOKUP(A:A,Sheet1!A:A,Sheet1!K:K)</f>
        <v>11</v>
      </c>
      <c r="I201" s="9">
        <f>_xlfn.XLOOKUP(A:A,Sheet1!A:A,Sheet1!M:M)</f>
        <v>100</v>
      </c>
      <c r="J201" s="10">
        <f>_xlfn.XLOOKUP(A:A,Sheet1!A:A,Sheet1!O:O)</f>
        <v>3.5</v>
      </c>
      <c r="K201" t="str">
        <f>_xlfn.XLOOKUP(A:A,Sheet1!A:A,Sheet1!P:P)</f>
        <v>Yes</v>
      </c>
      <c r="L201" s="12">
        <f>_xlfn.XLOOKUP(A:A,Sheet1!A:A,Sheet1!S:S)</f>
        <v>0.82</v>
      </c>
    </row>
    <row r="202" spans="1:12" x14ac:dyDescent="0.35">
      <c r="A202" s="8" t="s">
        <v>452</v>
      </c>
      <c r="B202" s="2" t="str">
        <f>_xlfn.XLOOKUP(A202,Sheet1!A:A,Sheet1!B:B)</f>
        <v>Jill Stephens</v>
      </c>
      <c r="C202" s="2" t="str">
        <f>_xlfn.XLOOKUP(A:A,Sheet1!A:A,Sheet1!D:D)</f>
        <v>Female</v>
      </c>
      <c r="D202" s="8">
        <f>_xlfn.XLOOKUP(A:A,Sheet1!A:A,Sheet1!F:F)</f>
        <v>25</v>
      </c>
      <c r="E202" s="2" t="str">
        <f>_xlfn.XLOOKUP(A:A,Sheet1!A:A,Sheet1!G:G)</f>
        <v>Spain</v>
      </c>
      <c r="F202" s="8" t="str">
        <f>_xlfn.XLOOKUP(A:A,Sheet1!A:A,Sheet1!H:H)</f>
        <v>Spanish</v>
      </c>
      <c r="G202" s="8" t="str">
        <f>_xlfn.XLOOKUP(A:A,Sheet1!A:A,Sheet1!I:I)</f>
        <v>AI</v>
      </c>
      <c r="H202" s="8">
        <f>_xlfn.XLOOKUP(A:A,Sheet1!A:A,Sheet1!K:K)</f>
        <v>2</v>
      </c>
      <c r="I202" s="9">
        <f>_xlfn.XLOOKUP(A:A,Sheet1!A:A,Sheet1!M:M)</f>
        <v>100</v>
      </c>
      <c r="J202" s="10">
        <f>_xlfn.XLOOKUP(A:A,Sheet1!A:A,Sheet1!O:O)</f>
        <v>2.5</v>
      </c>
      <c r="K202" t="str">
        <f>_xlfn.XLOOKUP(A:A,Sheet1!A:A,Sheet1!P:P)</f>
        <v>No</v>
      </c>
      <c r="L202" s="12">
        <f>_xlfn.XLOOKUP(A:A,Sheet1!A:A,Sheet1!S:S)</f>
        <v>0.87</v>
      </c>
    </row>
    <row r="203" spans="1:12" x14ac:dyDescent="0.35">
      <c r="A203" s="8" t="s">
        <v>454</v>
      </c>
      <c r="B203" s="2" t="str">
        <f>_xlfn.XLOOKUP(A203,Sheet1!A:A,Sheet1!B:B)</f>
        <v>Heidi Miranda</v>
      </c>
      <c r="C203" s="2" t="str">
        <f>_xlfn.XLOOKUP(A:A,Sheet1!A:A,Sheet1!D:D)</f>
        <v>Female</v>
      </c>
      <c r="D203" s="8">
        <f>_xlfn.XLOOKUP(A:A,Sheet1!A:A,Sheet1!F:F)</f>
        <v>55</v>
      </c>
      <c r="E203" s="2" t="str">
        <f>_xlfn.XLOOKUP(A:A,Sheet1!A:A,Sheet1!G:G)</f>
        <v>China</v>
      </c>
      <c r="F203" s="8" t="str">
        <f>_xlfn.XLOOKUP(A:A,Sheet1!A:A,Sheet1!H:H)</f>
        <v>Mandarin</v>
      </c>
      <c r="G203" s="8" t="str">
        <f>_xlfn.XLOOKUP(A:A,Sheet1!A:A,Sheet1!I:I)</f>
        <v>Machine Learning</v>
      </c>
      <c r="H203" s="8">
        <f>_xlfn.XLOOKUP(A:A,Sheet1!A:A,Sheet1!K:K)</f>
        <v>7</v>
      </c>
      <c r="I203" s="9">
        <f>_xlfn.XLOOKUP(A:A,Sheet1!A:A,Sheet1!M:M)</f>
        <v>100</v>
      </c>
      <c r="J203" s="10">
        <f>_xlfn.XLOOKUP(A:A,Sheet1!A:A,Sheet1!O:O)</f>
        <v>1.7</v>
      </c>
      <c r="K203" t="str">
        <f>_xlfn.XLOOKUP(A:A,Sheet1!A:A,Sheet1!P:P)</f>
        <v>Yes</v>
      </c>
      <c r="L203" s="12">
        <f>_xlfn.XLOOKUP(A:A,Sheet1!A:A,Sheet1!S:S)</f>
        <v>0.8</v>
      </c>
    </row>
    <row r="204" spans="1:12" x14ac:dyDescent="0.35">
      <c r="A204" s="8" t="s">
        <v>456</v>
      </c>
      <c r="B204" s="2" t="str">
        <f>_xlfn.XLOOKUP(A204,Sheet1!A:A,Sheet1!B:B)</f>
        <v>Jesus Martinez</v>
      </c>
      <c r="C204" s="2" t="str">
        <f>_xlfn.XLOOKUP(A:A,Sheet1!A:A,Sheet1!D:D)</f>
        <v>Male</v>
      </c>
      <c r="D204" s="8">
        <f>_xlfn.XLOOKUP(A:A,Sheet1!A:A,Sheet1!F:F)</f>
        <v>42</v>
      </c>
      <c r="E204" s="2" t="str">
        <f>_xlfn.XLOOKUP(A:A,Sheet1!A:A,Sheet1!G:G)</f>
        <v>Italy</v>
      </c>
      <c r="F204" s="8" t="str">
        <f>_xlfn.XLOOKUP(A:A,Sheet1!A:A,Sheet1!H:H)</f>
        <v>Italian</v>
      </c>
      <c r="G204" s="8" t="str">
        <f>_xlfn.XLOOKUP(A:A,Sheet1!A:A,Sheet1!I:I)</f>
        <v>DevOps</v>
      </c>
      <c r="H204" s="8">
        <f>_xlfn.XLOOKUP(A:A,Sheet1!A:A,Sheet1!K:K)</f>
        <v>10</v>
      </c>
      <c r="I204" s="9">
        <f>_xlfn.XLOOKUP(A:A,Sheet1!A:A,Sheet1!M:M)</f>
        <v>100</v>
      </c>
      <c r="J204" s="10">
        <f>_xlfn.XLOOKUP(A:A,Sheet1!A:A,Sheet1!O:O)</f>
        <v>4.5999999999999996</v>
      </c>
      <c r="K204" t="str">
        <f>_xlfn.XLOOKUP(A:A,Sheet1!A:A,Sheet1!P:P)</f>
        <v>Yes</v>
      </c>
      <c r="L204" s="12">
        <f>_xlfn.XLOOKUP(A:A,Sheet1!A:A,Sheet1!S:S)</f>
        <v>0.71</v>
      </c>
    </row>
    <row r="205" spans="1:12" x14ac:dyDescent="0.35">
      <c r="A205" s="8" t="s">
        <v>458</v>
      </c>
      <c r="B205" s="2" t="str">
        <f>_xlfn.XLOOKUP(A205,Sheet1!A:A,Sheet1!B:B)</f>
        <v>Adam Payne</v>
      </c>
      <c r="C205" s="2" t="str">
        <f>_xlfn.XLOOKUP(A:A,Sheet1!A:A,Sheet1!D:D)</f>
        <v>Male</v>
      </c>
      <c r="D205" s="8">
        <f>_xlfn.XLOOKUP(A:A,Sheet1!A:A,Sheet1!F:F)</f>
        <v>43</v>
      </c>
      <c r="E205" s="2" t="str">
        <f>_xlfn.XLOOKUP(A:A,Sheet1!A:A,Sheet1!G:G)</f>
        <v>Russia</v>
      </c>
      <c r="F205" s="8" t="str">
        <f>_xlfn.XLOOKUP(A:A,Sheet1!A:A,Sheet1!H:H)</f>
        <v>Russian</v>
      </c>
      <c r="G205" s="8" t="str">
        <f>_xlfn.XLOOKUP(A:A,Sheet1!A:A,Sheet1!I:I)</f>
        <v>Mobile Apps</v>
      </c>
      <c r="H205" s="8">
        <f>_xlfn.XLOOKUP(A:A,Sheet1!A:A,Sheet1!K:K)</f>
        <v>6</v>
      </c>
      <c r="I205" s="9">
        <f>_xlfn.XLOOKUP(A:A,Sheet1!A:A,Sheet1!M:M)</f>
        <v>50</v>
      </c>
      <c r="J205" s="10">
        <f>_xlfn.XLOOKUP(A:A,Sheet1!A:A,Sheet1!O:O)</f>
        <v>2.5125695216907653</v>
      </c>
      <c r="K205" t="str">
        <f>_xlfn.XLOOKUP(A:A,Sheet1!A:A,Sheet1!P:P)</f>
        <v>No</v>
      </c>
      <c r="L205" s="12">
        <f>_xlfn.XLOOKUP(A:A,Sheet1!A:A,Sheet1!S:S)</f>
        <v>0.77</v>
      </c>
    </row>
    <row r="206" spans="1:12" x14ac:dyDescent="0.35">
      <c r="A206" s="8" t="s">
        <v>460</v>
      </c>
      <c r="B206" s="2" t="str">
        <f>_xlfn.XLOOKUP(A206,Sheet1!A:A,Sheet1!B:B)</f>
        <v>Walter Williams</v>
      </c>
      <c r="C206" s="2" t="str">
        <f>_xlfn.XLOOKUP(A:A,Sheet1!A:A,Sheet1!D:D)</f>
        <v>Male</v>
      </c>
      <c r="D206" s="8">
        <f>_xlfn.XLOOKUP(A:A,Sheet1!A:A,Sheet1!F:F)</f>
        <v>54</v>
      </c>
      <c r="E206" s="2" t="str">
        <f>_xlfn.XLOOKUP(A:A,Sheet1!A:A,Sheet1!G:G)</f>
        <v>Italy</v>
      </c>
      <c r="F206" s="8" t="str">
        <f>_xlfn.XLOOKUP(A:A,Sheet1!A:A,Sheet1!H:H)</f>
        <v>Italian</v>
      </c>
      <c r="G206" s="8" t="str">
        <f>_xlfn.XLOOKUP(A:A,Sheet1!A:A,Sheet1!I:I)</f>
        <v>DevOps</v>
      </c>
      <c r="H206" s="8">
        <f>_xlfn.XLOOKUP(A:A,Sheet1!A:A,Sheet1!K:K)</f>
        <v>29</v>
      </c>
      <c r="I206" s="9">
        <f>_xlfn.XLOOKUP(A:A,Sheet1!A:A,Sheet1!M:M)</f>
        <v>30</v>
      </c>
      <c r="J206" s="10">
        <f>_xlfn.XLOOKUP(A:A,Sheet1!A:A,Sheet1!O:O)</f>
        <v>1.7</v>
      </c>
      <c r="K206" t="str">
        <f>_xlfn.XLOOKUP(A:A,Sheet1!A:A,Sheet1!P:P)</f>
        <v>No</v>
      </c>
      <c r="L206" s="12">
        <f>_xlfn.XLOOKUP(A:A,Sheet1!A:A,Sheet1!S:S)</f>
        <v>0.68</v>
      </c>
    </row>
    <row r="207" spans="1:12" x14ac:dyDescent="0.35">
      <c r="A207" s="8" t="s">
        <v>462</v>
      </c>
      <c r="B207" s="2" t="str">
        <f>_xlfn.XLOOKUP(A207,Sheet1!A:A,Sheet1!B:B)</f>
        <v>Shannon Farmer</v>
      </c>
      <c r="C207" s="2" t="str">
        <f>_xlfn.XLOOKUP(A:A,Sheet1!A:A,Sheet1!D:D)</f>
        <v>Female</v>
      </c>
      <c r="D207" s="8">
        <f>_xlfn.XLOOKUP(A:A,Sheet1!A:A,Sheet1!F:F)</f>
        <v>21</v>
      </c>
      <c r="E207" s="2" t="str">
        <f>_xlfn.XLOOKUP(A:A,Sheet1!A:A,Sheet1!G:G)</f>
        <v>Egypt</v>
      </c>
      <c r="F207" s="8" t="str">
        <f>_xlfn.XLOOKUP(A:A,Sheet1!A:A,Sheet1!H:H)</f>
        <v>Arabic</v>
      </c>
      <c r="G207" s="8" t="str">
        <f>_xlfn.XLOOKUP(A:A,Sheet1!A:A,Sheet1!I:I)</f>
        <v>Graphic Design</v>
      </c>
      <c r="H207" s="8">
        <f>_xlfn.XLOOKUP(A:A,Sheet1!A:A,Sheet1!K:K)</f>
        <v>0</v>
      </c>
      <c r="I207" s="9">
        <f>_xlfn.XLOOKUP(A:A,Sheet1!A:A,Sheet1!M:M)</f>
        <v>20</v>
      </c>
      <c r="J207" s="10">
        <f>_xlfn.XLOOKUP(A:A,Sheet1!A:A,Sheet1!O:O)</f>
        <v>1.8</v>
      </c>
      <c r="K207" t="str">
        <f>_xlfn.XLOOKUP(A:A,Sheet1!A:A,Sheet1!P:P)</f>
        <v>No</v>
      </c>
      <c r="L207" s="12">
        <f>_xlfn.XLOOKUP(A:A,Sheet1!A:A,Sheet1!S:S)</f>
        <v>0.91</v>
      </c>
    </row>
    <row r="208" spans="1:12" x14ac:dyDescent="0.35">
      <c r="A208" s="8" t="s">
        <v>464</v>
      </c>
      <c r="B208" s="2" t="str">
        <f>_xlfn.XLOOKUP(A208,Sheet1!A:A,Sheet1!B:B)</f>
        <v>Peter Reyes</v>
      </c>
      <c r="C208" s="2" t="str">
        <f>_xlfn.XLOOKUP(A:A,Sheet1!A:A,Sheet1!D:D)</f>
        <v>Male</v>
      </c>
      <c r="D208" s="8">
        <f>_xlfn.XLOOKUP(A:A,Sheet1!A:A,Sheet1!F:F)</f>
        <v>46</v>
      </c>
      <c r="E208" s="2" t="str">
        <f>_xlfn.XLOOKUP(A:A,Sheet1!A:A,Sheet1!G:G)</f>
        <v>Canada</v>
      </c>
      <c r="F208" s="8" t="str">
        <f>_xlfn.XLOOKUP(A:A,Sheet1!A:A,Sheet1!H:H)</f>
        <v>English</v>
      </c>
      <c r="G208" s="8" t="str">
        <f>_xlfn.XLOOKUP(A:A,Sheet1!A:A,Sheet1!I:I)</f>
        <v>UI/UX Design</v>
      </c>
      <c r="H208" s="8">
        <f>_xlfn.XLOOKUP(A:A,Sheet1!A:A,Sheet1!K:K)</f>
        <v>5</v>
      </c>
      <c r="I208" s="9">
        <f>_xlfn.XLOOKUP(A:A,Sheet1!A:A,Sheet1!M:M)</f>
        <v>20</v>
      </c>
      <c r="J208" s="10">
        <f>_xlfn.XLOOKUP(A:A,Sheet1!A:A,Sheet1!O:O)</f>
        <v>2.2000000000000002</v>
      </c>
      <c r="K208" t="str">
        <f>_xlfn.XLOOKUP(A:A,Sheet1!A:A,Sheet1!P:P)</f>
        <v>No</v>
      </c>
      <c r="L208" s="12">
        <f>_xlfn.XLOOKUP(A:A,Sheet1!A:A,Sheet1!S:S)</f>
        <v>0.75</v>
      </c>
    </row>
    <row r="209" spans="1:12" x14ac:dyDescent="0.35">
      <c r="A209" s="8" t="s">
        <v>466</v>
      </c>
      <c r="B209" s="2" t="str">
        <f>_xlfn.XLOOKUP(A209,Sheet1!A:A,Sheet1!B:B)</f>
        <v>Kristen Knight</v>
      </c>
      <c r="C209" s="2" t="str">
        <f>_xlfn.XLOOKUP(A:A,Sheet1!A:A,Sheet1!D:D)</f>
        <v>Female</v>
      </c>
      <c r="D209" s="8">
        <f>_xlfn.XLOOKUP(A:A,Sheet1!A:A,Sheet1!F:F)</f>
        <v>30</v>
      </c>
      <c r="E209" s="2" t="str">
        <f>_xlfn.XLOOKUP(A:A,Sheet1!A:A,Sheet1!G:G)</f>
        <v>Spain</v>
      </c>
      <c r="F209" s="8" t="str">
        <f>_xlfn.XLOOKUP(A:A,Sheet1!A:A,Sheet1!H:H)</f>
        <v>Spanish</v>
      </c>
      <c r="G209" s="8" t="str">
        <f>_xlfn.XLOOKUP(A:A,Sheet1!A:A,Sheet1!I:I)</f>
        <v>Blockchain Development</v>
      </c>
      <c r="H209" s="8">
        <f>_xlfn.XLOOKUP(A:A,Sheet1!A:A,Sheet1!K:K)</f>
        <v>11</v>
      </c>
      <c r="I209" s="9">
        <f>_xlfn.XLOOKUP(A:A,Sheet1!A:A,Sheet1!M:M)</f>
        <v>40</v>
      </c>
      <c r="J209" s="10">
        <f>_xlfn.XLOOKUP(A:A,Sheet1!A:A,Sheet1!O:O)</f>
        <v>1</v>
      </c>
      <c r="K209" t="str">
        <f>_xlfn.XLOOKUP(A:A,Sheet1!A:A,Sheet1!P:P)</f>
        <v>No</v>
      </c>
      <c r="L209" s="12">
        <f>_xlfn.XLOOKUP(A:A,Sheet1!A:A,Sheet1!S:S)</f>
        <v>0.9</v>
      </c>
    </row>
    <row r="210" spans="1:12" x14ac:dyDescent="0.35">
      <c r="A210" s="8" t="s">
        <v>468</v>
      </c>
      <c r="B210" s="2" t="str">
        <f>_xlfn.XLOOKUP(A210,Sheet1!A:A,Sheet1!B:B)</f>
        <v xml:space="preserve">William Moore </v>
      </c>
      <c r="C210" s="2" t="str">
        <f>_xlfn.XLOOKUP(A:A,Sheet1!A:A,Sheet1!D:D)</f>
        <v>Male</v>
      </c>
      <c r="D210" s="8">
        <f>_xlfn.XLOOKUP(A:A,Sheet1!A:A,Sheet1!F:F)</f>
        <v>36</v>
      </c>
      <c r="E210" s="2" t="str">
        <f>_xlfn.XLOOKUP(A:A,Sheet1!A:A,Sheet1!G:G)</f>
        <v>China</v>
      </c>
      <c r="F210" s="8" t="str">
        <f>_xlfn.XLOOKUP(A:A,Sheet1!A:A,Sheet1!H:H)</f>
        <v>Mandarin</v>
      </c>
      <c r="G210" s="8" t="str">
        <f>_xlfn.XLOOKUP(A:A,Sheet1!A:A,Sheet1!I:I)</f>
        <v>Machine Learning</v>
      </c>
      <c r="H210" s="8">
        <f>_xlfn.XLOOKUP(A:A,Sheet1!A:A,Sheet1!K:K)</f>
        <v>11</v>
      </c>
      <c r="I210" s="9">
        <f>_xlfn.XLOOKUP(A:A,Sheet1!A:A,Sheet1!M:M)</f>
        <v>75</v>
      </c>
      <c r="J210" s="10">
        <f>_xlfn.XLOOKUP(A:A,Sheet1!A:A,Sheet1!O:O)</f>
        <v>3.2</v>
      </c>
      <c r="K210" t="str">
        <f>_xlfn.XLOOKUP(A:A,Sheet1!A:A,Sheet1!P:P)</f>
        <v>No</v>
      </c>
      <c r="L210" s="12">
        <f>_xlfn.XLOOKUP(A:A,Sheet1!A:A,Sheet1!S:S)</f>
        <v>0.93</v>
      </c>
    </row>
    <row r="211" spans="1:12" x14ac:dyDescent="0.35">
      <c r="A211" s="8" t="s">
        <v>469</v>
      </c>
      <c r="B211" s="2" t="str">
        <f>_xlfn.XLOOKUP(A211,Sheet1!A:A,Sheet1!B:B)</f>
        <v>Jennifer Rowe</v>
      </c>
      <c r="C211" s="2" t="str">
        <f>_xlfn.XLOOKUP(A:A,Sheet1!A:A,Sheet1!D:D)</f>
        <v>Female</v>
      </c>
      <c r="D211" s="8">
        <f>_xlfn.XLOOKUP(A:A,Sheet1!A:A,Sheet1!F:F)</f>
        <v>47</v>
      </c>
      <c r="E211" s="2" t="str">
        <f>_xlfn.XLOOKUP(A:A,Sheet1!A:A,Sheet1!G:G)</f>
        <v>Germany</v>
      </c>
      <c r="F211" s="8" t="str">
        <f>_xlfn.XLOOKUP(A:A,Sheet1!A:A,Sheet1!H:H)</f>
        <v>German</v>
      </c>
      <c r="G211" s="8" t="str">
        <f>_xlfn.XLOOKUP(A:A,Sheet1!A:A,Sheet1!I:I)</f>
        <v>Data Analysis</v>
      </c>
      <c r="H211" s="8">
        <f>_xlfn.XLOOKUP(A:A,Sheet1!A:A,Sheet1!K:K)</f>
        <v>15</v>
      </c>
      <c r="I211" s="9">
        <f>_xlfn.XLOOKUP(A:A,Sheet1!A:A,Sheet1!M:M)</f>
        <v>40</v>
      </c>
      <c r="J211" s="10">
        <f>_xlfn.XLOOKUP(A:A,Sheet1!A:A,Sheet1!O:O)</f>
        <v>2.1</v>
      </c>
      <c r="K211" t="str">
        <f>_xlfn.XLOOKUP(A:A,Sheet1!A:A,Sheet1!P:P)</f>
        <v>Yes</v>
      </c>
      <c r="L211" s="12">
        <f>_xlfn.XLOOKUP(A:A,Sheet1!A:A,Sheet1!S:S)</f>
        <v>0.94</v>
      </c>
    </row>
    <row r="212" spans="1:12" x14ac:dyDescent="0.35">
      <c r="A212" s="8" t="s">
        <v>471</v>
      </c>
      <c r="B212" s="2" t="str">
        <f>_xlfn.XLOOKUP(A212,Sheet1!A:A,Sheet1!B:B)</f>
        <v>Mikayla Henry</v>
      </c>
      <c r="C212" s="2" t="str">
        <f>_xlfn.XLOOKUP(A:A,Sheet1!A:A,Sheet1!D:D)</f>
        <v>Female</v>
      </c>
      <c r="D212" s="8">
        <f>_xlfn.XLOOKUP(A:A,Sheet1!A:A,Sheet1!F:F)</f>
        <v>43</v>
      </c>
      <c r="E212" s="2" t="str">
        <f>_xlfn.XLOOKUP(A:A,Sheet1!A:A,Sheet1!G:G)</f>
        <v>Canada</v>
      </c>
      <c r="F212" s="8" t="str">
        <f>_xlfn.XLOOKUP(A:A,Sheet1!A:A,Sheet1!H:H)</f>
        <v>English</v>
      </c>
      <c r="G212" s="8" t="str">
        <f>_xlfn.XLOOKUP(A:A,Sheet1!A:A,Sheet1!I:I)</f>
        <v>Mobile Apps</v>
      </c>
      <c r="H212" s="8">
        <f>_xlfn.XLOOKUP(A:A,Sheet1!A:A,Sheet1!K:K)</f>
        <v>1</v>
      </c>
      <c r="I212" s="9">
        <f>_xlfn.XLOOKUP(A:A,Sheet1!A:A,Sheet1!M:M)</f>
        <v>50</v>
      </c>
      <c r="J212" s="10">
        <f>_xlfn.XLOOKUP(A:A,Sheet1!A:A,Sheet1!O:O)</f>
        <v>4.5999999999999996</v>
      </c>
      <c r="K212" t="str">
        <f>_xlfn.XLOOKUP(A:A,Sheet1!A:A,Sheet1!P:P)</f>
        <v>Yes</v>
      </c>
      <c r="L212" s="12">
        <f>_xlfn.XLOOKUP(A:A,Sheet1!A:A,Sheet1!S:S)</f>
        <v>0.64</v>
      </c>
    </row>
    <row r="213" spans="1:12" x14ac:dyDescent="0.35">
      <c r="A213" s="8" t="s">
        <v>473</v>
      </c>
      <c r="B213" s="2" t="str">
        <f>_xlfn.XLOOKUP(A213,Sheet1!A:A,Sheet1!B:B)</f>
        <v>Jacob Kerr</v>
      </c>
      <c r="C213" s="2" t="str">
        <f>_xlfn.XLOOKUP(A:A,Sheet1!A:A,Sheet1!D:D)</f>
        <v>Male</v>
      </c>
      <c r="D213" s="8">
        <f>_xlfn.XLOOKUP(A:A,Sheet1!A:A,Sheet1!F:F)</f>
        <v>57</v>
      </c>
      <c r="E213" s="2" t="str">
        <f>_xlfn.XLOOKUP(A:A,Sheet1!A:A,Sheet1!G:G)</f>
        <v>South Korea</v>
      </c>
      <c r="F213" s="8" t="str">
        <f>_xlfn.XLOOKUP(A:A,Sheet1!A:A,Sheet1!H:H)</f>
        <v>Korean</v>
      </c>
      <c r="G213" s="8" t="str">
        <f>_xlfn.XLOOKUP(A:A,Sheet1!A:A,Sheet1!I:I)</f>
        <v>Cybersecurity</v>
      </c>
      <c r="H213" s="8">
        <f>_xlfn.XLOOKUP(A:A,Sheet1!A:A,Sheet1!K:K)</f>
        <v>8</v>
      </c>
      <c r="I213" s="9">
        <f>_xlfn.XLOOKUP(A:A,Sheet1!A:A,Sheet1!M:M)</f>
        <v>20</v>
      </c>
      <c r="J213" s="11">
        <v>0</v>
      </c>
      <c r="K213" t="str">
        <f>_xlfn.XLOOKUP(A:A,Sheet1!A:A,Sheet1!P:P)</f>
        <v>Yes</v>
      </c>
      <c r="L213" s="12">
        <f>_xlfn.XLOOKUP(A:A,Sheet1!A:A,Sheet1!S:S)</f>
        <v>0.84</v>
      </c>
    </row>
    <row r="214" spans="1:12" x14ac:dyDescent="0.35">
      <c r="A214" s="8" t="s">
        <v>475</v>
      </c>
      <c r="B214" s="2" t="str">
        <f>_xlfn.XLOOKUP(A214,Sheet1!A:A,Sheet1!B:B)</f>
        <v>Ryan Johnson</v>
      </c>
      <c r="C214" s="2" t="str">
        <f>_xlfn.XLOOKUP(A:A,Sheet1!A:A,Sheet1!D:D)</f>
        <v>Male</v>
      </c>
      <c r="D214" s="8">
        <f>_xlfn.XLOOKUP(A:A,Sheet1!A:A,Sheet1!F:F)</f>
        <v>52</v>
      </c>
      <c r="E214" s="2" t="str">
        <f>_xlfn.XLOOKUP(A:A,Sheet1!A:A,Sheet1!G:G)</f>
        <v>Italy</v>
      </c>
      <c r="F214" s="8" t="str">
        <f>_xlfn.XLOOKUP(A:A,Sheet1!A:A,Sheet1!H:H)</f>
        <v>Italian</v>
      </c>
      <c r="G214" s="8" t="str">
        <f>_xlfn.XLOOKUP(A:A,Sheet1!A:A,Sheet1!I:I)</f>
        <v>Machine Learning</v>
      </c>
      <c r="H214" s="8">
        <f>_xlfn.XLOOKUP(A:A,Sheet1!A:A,Sheet1!K:K)</f>
        <v>30</v>
      </c>
      <c r="I214" s="9">
        <f>_xlfn.XLOOKUP(A:A,Sheet1!A:A,Sheet1!M:M)</f>
        <v>20</v>
      </c>
      <c r="J214" s="10">
        <f>_xlfn.XLOOKUP(A:A,Sheet1!A:A,Sheet1!O:O)</f>
        <v>2.8</v>
      </c>
      <c r="K214" t="str">
        <f>_xlfn.XLOOKUP(A:A,Sheet1!A:A,Sheet1!P:P)</f>
        <v>No</v>
      </c>
      <c r="L214" s="12">
        <f>_xlfn.XLOOKUP(A:A,Sheet1!A:A,Sheet1!S:S)</f>
        <v>0.87</v>
      </c>
    </row>
    <row r="215" spans="1:12" x14ac:dyDescent="0.35">
      <c r="A215" s="8" t="s">
        <v>477</v>
      </c>
      <c r="B215" s="2" t="str">
        <f>_xlfn.XLOOKUP(A215,Sheet1!A:A,Sheet1!B:B)</f>
        <v>Michael Ruiz</v>
      </c>
      <c r="C215" s="2" t="str">
        <f>_xlfn.XLOOKUP(A:A,Sheet1!A:A,Sheet1!D:D)</f>
        <v>Male</v>
      </c>
      <c r="D215" s="8">
        <f>_xlfn.XLOOKUP(A:A,Sheet1!A:A,Sheet1!F:F)</f>
        <v>41</v>
      </c>
      <c r="E215" s="2" t="str">
        <f>_xlfn.XLOOKUP(A:A,Sheet1!A:A,Sheet1!G:G)</f>
        <v>Germany</v>
      </c>
      <c r="F215" s="8" t="str">
        <f>_xlfn.XLOOKUP(A:A,Sheet1!A:A,Sheet1!H:H)</f>
        <v>German</v>
      </c>
      <c r="G215" s="8" t="str">
        <f>_xlfn.XLOOKUP(A:A,Sheet1!A:A,Sheet1!I:I)</f>
        <v>Blockchain Development</v>
      </c>
      <c r="H215" s="8">
        <f>_xlfn.XLOOKUP(A:A,Sheet1!A:A,Sheet1!K:K)</f>
        <v>8</v>
      </c>
      <c r="I215" s="9">
        <f>_xlfn.XLOOKUP(A:A,Sheet1!A:A,Sheet1!M:M)</f>
        <v>40</v>
      </c>
      <c r="J215" s="11">
        <v>0</v>
      </c>
      <c r="K215" t="str">
        <f>_xlfn.XLOOKUP(A:A,Sheet1!A:A,Sheet1!P:P)</f>
        <v>No</v>
      </c>
      <c r="L215" s="12">
        <f>_xlfn.XLOOKUP(A:A,Sheet1!A:A,Sheet1!S:S)</f>
        <v>0.64</v>
      </c>
    </row>
    <row r="216" spans="1:12" x14ac:dyDescent="0.35">
      <c r="A216" s="8" t="s">
        <v>479</v>
      </c>
      <c r="B216" s="2" t="str">
        <f>_xlfn.XLOOKUP(A216,Sheet1!A:A,Sheet1!B:B)</f>
        <v>Monica Roberts</v>
      </c>
      <c r="C216" s="2" t="str">
        <f>_xlfn.XLOOKUP(A:A,Sheet1!A:A,Sheet1!D:D)</f>
        <v>Female</v>
      </c>
      <c r="D216" s="8">
        <f>_xlfn.XLOOKUP(A:A,Sheet1!A:A,Sheet1!F:F)</f>
        <v>22</v>
      </c>
      <c r="E216" s="2" t="str">
        <f>_xlfn.XLOOKUP(A:A,Sheet1!A:A,Sheet1!G:G)</f>
        <v>Indonesia</v>
      </c>
      <c r="F216" s="8" t="str">
        <f>_xlfn.XLOOKUP(A:A,Sheet1!A:A,Sheet1!H:H)</f>
        <v>Indonesian</v>
      </c>
      <c r="G216" s="8" t="str">
        <f>_xlfn.XLOOKUP(A:A,Sheet1!A:A,Sheet1!I:I)</f>
        <v>Machine Learning</v>
      </c>
      <c r="H216" s="8">
        <f>_xlfn.XLOOKUP(A:A,Sheet1!A:A,Sheet1!K:K)</f>
        <v>0</v>
      </c>
      <c r="I216" s="9">
        <f>_xlfn.XLOOKUP(A:A,Sheet1!A:A,Sheet1!M:M)</f>
        <v>100</v>
      </c>
      <c r="J216" s="10">
        <f>_xlfn.XLOOKUP(A:A,Sheet1!A:A,Sheet1!O:O)</f>
        <v>2.7</v>
      </c>
      <c r="K216" t="str">
        <f>_xlfn.XLOOKUP(A:A,Sheet1!A:A,Sheet1!P:P)</f>
        <v>Yes</v>
      </c>
      <c r="L216" s="12">
        <f>_xlfn.XLOOKUP(A:A,Sheet1!A:A,Sheet1!S:S)</f>
        <v>0.64</v>
      </c>
    </row>
    <row r="217" spans="1:12" x14ac:dyDescent="0.35">
      <c r="A217" s="8" t="s">
        <v>481</v>
      </c>
      <c r="B217" s="2" t="str">
        <f>_xlfn.XLOOKUP(A217,Sheet1!A:A,Sheet1!B:B)</f>
        <v>Danny Brown</v>
      </c>
      <c r="C217" s="2" t="str">
        <f>_xlfn.XLOOKUP(A:A,Sheet1!A:A,Sheet1!D:D)</f>
        <v>Male</v>
      </c>
      <c r="D217" s="8">
        <f>_xlfn.XLOOKUP(A:A,Sheet1!A:A,Sheet1!F:F)</f>
        <v>41</v>
      </c>
      <c r="E217" s="2" t="str">
        <f>_xlfn.XLOOKUP(A:A,Sheet1!A:A,Sheet1!G:G)</f>
        <v>India</v>
      </c>
      <c r="F217" s="8" t="str">
        <f>_xlfn.XLOOKUP(A:A,Sheet1!A:A,Sheet1!H:H)</f>
        <v>Hindi</v>
      </c>
      <c r="G217" s="8" t="str">
        <f>_xlfn.XLOOKUP(A:A,Sheet1!A:A,Sheet1!I:I)</f>
        <v>Machine Learning</v>
      </c>
      <c r="H217" s="8">
        <f>_xlfn.XLOOKUP(A:A,Sheet1!A:A,Sheet1!K:K)</f>
        <v>12</v>
      </c>
      <c r="I217" s="9">
        <f>_xlfn.XLOOKUP(A:A,Sheet1!A:A,Sheet1!M:M)</f>
        <v>20</v>
      </c>
      <c r="J217" s="11">
        <v>0</v>
      </c>
      <c r="K217" t="str">
        <f>_xlfn.XLOOKUP(A:A,Sheet1!A:A,Sheet1!P:P)</f>
        <v>Yes</v>
      </c>
      <c r="L217" s="12">
        <f>_xlfn.XLOOKUP(A:A,Sheet1!A:A,Sheet1!S:S)</f>
        <v>0.8</v>
      </c>
    </row>
    <row r="218" spans="1:12" x14ac:dyDescent="0.35">
      <c r="A218" s="8" t="s">
        <v>483</v>
      </c>
      <c r="B218" s="2" t="str">
        <f>_xlfn.XLOOKUP(A218,Sheet1!A:A,Sheet1!B:B)</f>
        <v>Karen Larsen</v>
      </c>
      <c r="C218" s="2" t="str">
        <f>_xlfn.XLOOKUP(A:A,Sheet1!A:A,Sheet1!D:D)</f>
        <v>Female</v>
      </c>
      <c r="D218" s="8">
        <f>_xlfn.XLOOKUP(A:A,Sheet1!A:A,Sheet1!F:F)</f>
        <v>58</v>
      </c>
      <c r="E218" s="2" t="str">
        <f>_xlfn.XLOOKUP(A:A,Sheet1!A:A,Sheet1!G:G)</f>
        <v>Spain</v>
      </c>
      <c r="F218" s="8" t="str">
        <f>_xlfn.XLOOKUP(A:A,Sheet1!A:A,Sheet1!H:H)</f>
        <v>Spanish</v>
      </c>
      <c r="G218" s="8" t="str">
        <f>_xlfn.XLOOKUP(A:A,Sheet1!A:A,Sheet1!I:I)</f>
        <v>Mobile Apps</v>
      </c>
      <c r="H218" s="8">
        <f>_xlfn.XLOOKUP(A:A,Sheet1!A:A,Sheet1!K:K)</f>
        <v>4</v>
      </c>
      <c r="I218" s="9">
        <f>_xlfn.XLOOKUP(A:A,Sheet1!A:A,Sheet1!M:M)</f>
        <v>50</v>
      </c>
      <c r="J218" s="10">
        <f>_xlfn.XLOOKUP(A:A,Sheet1!A:A,Sheet1!O:O)</f>
        <v>3.1</v>
      </c>
      <c r="K218" t="str">
        <f>_xlfn.XLOOKUP(A:A,Sheet1!A:A,Sheet1!P:P)</f>
        <v>No</v>
      </c>
      <c r="L218" s="12">
        <f>_xlfn.XLOOKUP(A:A,Sheet1!A:A,Sheet1!S:S)</f>
        <v>0.9</v>
      </c>
    </row>
    <row r="219" spans="1:12" x14ac:dyDescent="0.35">
      <c r="A219" s="8" t="s">
        <v>485</v>
      </c>
      <c r="B219" s="2" t="str">
        <f>_xlfn.XLOOKUP(A219,Sheet1!A:A,Sheet1!B:B)</f>
        <v>Robert Evans</v>
      </c>
      <c r="C219" s="2" t="str">
        <f>_xlfn.XLOOKUP(A:A,Sheet1!A:A,Sheet1!D:D)</f>
        <v>Male</v>
      </c>
      <c r="D219" s="8">
        <f>_xlfn.XLOOKUP(A:A,Sheet1!A:A,Sheet1!F:F)</f>
        <v>39</v>
      </c>
      <c r="E219" s="2" t="str">
        <f>_xlfn.XLOOKUP(A:A,Sheet1!A:A,Sheet1!G:G)</f>
        <v>South Korea</v>
      </c>
      <c r="F219" s="8" t="str">
        <f>_xlfn.XLOOKUP(A:A,Sheet1!A:A,Sheet1!H:H)</f>
        <v>Korean</v>
      </c>
      <c r="G219" s="8" t="str">
        <f>_xlfn.XLOOKUP(A:A,Sheet1!A:A,Sheet1!I:I)</f>
        <v>Web Development</v>
      </c>
      <c r="H219" s="8">
        <f>_xlfn.XLOOKUP(A:A,Sheet1!A:A,Sheet1!K:K)</f>
        <v>14</v>
      </c>
      <c r="I219" s="9">
        <f>_xlfn.XLOOKUP(A:A,Sheet1!A:A,Sheet1!M:M)</f>
        <v>100</v>
      </c>
      <c r="J219" s="11">
        <v>0</v>
      </c>
      <c r="K219" t="str">
        <f>_xlfn.XLOOKUP(A:A,Sheet1!A:A,Sheet1!P:P)</f>
        <v>Yes</v>
      </c>
      <c r="L219" s="12">
        <f>_xlfn.XLOOKUP(A:A,Sheet1!A:A,Sheet1!S:S)</f>
        <v>0.92</v>
      </c>
    </row>
    <row r="220" spans="1:12" x14ac:dyDescent="0.35">
      <c r="A220" s="8" t="s">
        <v>487</v>
      </c>
      <c r="B220" s="2" t="str">
        <f>_xlfn.XLOOKUP(A220,Sheet1!A:A,Sheet1!B:B)</f>
        <v>Sean Poole</v>
      </c>
      <c r="C220" s="2" t="str">
        <f>_xlfn.XLOOKUP(A:A,Sheet1!A:A,Sheet1!D:D)</f>
        <v>Male</v>
      </c>
      <c r="D220" s="8">
        <f>_xlfn.XLOOKUP(A:A,Sheet1!A:A,Sheet1!F:F)</f>
        <v>32</v>
      </c>
      <c r="E220" s="2" t="str">
        <f>_xlfn.XLOOKUP(A:A,Sheet1!A:A,Sheet1!G:G)</f>
        <v>Indonesia</v>
      </c>
      <c r="F220" s="8" t="str">
        <f>_xlfn.XLOOKUP(A:A,Sheet1!A:A,Sheet1!H:H)</f>
        <v>Indonesian</v>
      </c>
      <c r="G220" s="8" t="str">
        <f>_xlfn.XLOOKUP(A:A,Sheet1!A:A,Sheet1!I:I)</f>
        <v>Graphic Design</v>
      </c>
      <c r="H220" s="8">
        <f>_xlfn.XLOOKUP(A:A,Sheet1!A:A,Sheet1!K:K)</f>
        <v>14</v>
      </c>
      <c r="I220" s="9">
        <f>_xlfn.XLOOKUP(A:A,Sheet1!A:A,Sheet1!M:M)</f>
        <v>40</v>
      </c>
      <c r="J220" s="10">
        <f>_xlfn.XLOOKUP(A:A,Sheet1!A:A,Sheet1!O:O)</f>
        <v>2.5125695216907653</v>
      </c>
      <c r="K220" t="str">
        <f>_xlfn.XLOOKUP(A:A,Sheet1!A:A,Sheet1!P:P)</f>
        <v>No</v>
      </c>
      <c r="L220" s="12">
        <f>_xlfn.XLOOKUP(A:A,Sheet1!A:A,Sheet1!S:S)</f>
        <v>0.96</v>
      </c>
    </row>
    <row r="221" spans="1:12" x14ac:dyDescent="0.35">
      <c r="A221" s="8" t="s">
        <v>489</v>
      </c>
      <c r="B221" s="2" t="str">
        <f>_xlfn.XLOOKUP(A221,Sheet1!A:A,Sheet1!B:B)</f>
        <v>Richard Quinn</v>
      </c>
      <c r="C221" s="2" t="str">
        <f>_xlfn.XLOOKUP(A:A,Sheet1!A:A,Sheet1!D:D)</f>
        <v>Male</v>
      </c>
      <c r="D221" s="8">
        <f>_xlfn.XLOOKUP(A:A,Sheet1!A:A,Sheet1!F:F)</f>
        <v>37</v>
      </c>
      <c r="E221" s="2" t="str">
        <f>_xlfn.XLOOKUP(A:A,Sheet1!A:A,Sheet1!G:G)</f>
        <v>Canada</v>
      </c>
      <c r="F221" s="8" t="str">
        <f>_xlfn.XLOOKUP(A:A,Sheet1!A:A,Sheet1!H:H)</f>
        <v>English</v>
      </c>
      <c r="G221" s="8" t="str">
        <f>_xlfn.XLOOKUP(A:A,Sheet1!A:A,Sheet1!I:I)</f>
        <v>UI/UX Design</v>
      </c>
      <c r="H221" s="8">
        <f>_xlfn.XLOOKUP(A:A,Sheet1!A:A,Sheet1!K:K)</f>
        <v>2</v>
      </c>
      <c r="I221" s="9">
        <f>_xlfn.XLOOKUP(A:A,Sheet1!A:A,Sheet1!M:M)</f>
        <v>30</v>
      </c>
      <c r="J221" s="10">
        <f>_xlfn.XLOOKUP(A:A,Sheet1!A:A,Sheet1!O:O)</f>
        <v>2.2999999999999998</v>
      </c>
      <c r="K221" t="str">
        <f>_xlfn.XLOOKUP(A:A,Sheet1!A:A,Sheet1!P:P)</f>
        <v>Yes</v>
      </c>
      <c r="L221" s="12">
        <f>_xlfn.XLOOKUP(A:A,Sheet1!A:A,Sheet1!S:S)</f>
        <v>0.79269417475728277</v>
      </c>
    </row>
    <row r="222" spans="1:12" x14ac:dyDescent="0.35">
      <c r="A222" s="8" t="s">
        <v>491</v>
      </c>
      <c r="B222" s="2" t="str">
        <f>_xlfn.XLOOKUP(A222,Sheet1!A:A,Sheet1!B:B)</f>
        <v>Jennifer Gonzalez</v>
      </c>
      <c r="C222" s="2" t="str">
        <f>_xlfn.XLOOKUP(A:A,Sheet1!A:A,Sheet1!D:D)</f>
        <v>Female</v>
      </c>
      <c r="D222" s="8">
        <f>_xlfn.XLOOKUP(A:A,Sheet1!A:A,Sheet1!F:F)</f>
        <v>21</v>
      </c>
      <c r="E222" s="2" t="str">
        <f>_xlfn.XLOOKUP(A:A,Sheet1!A:A,Sheet1!G:G)</f>
        <v>China</v>
      </c>
      <c r="F222" s="8" t="str">
        <f>_xlfn.XLOOKUP(A:A,Sheet1!A:A,Sheet1!H:H)</f>
        <v>Mandarin</v>
      </c>
      <c r="G222" s="8" t="str">
        <f>_xlfn.XLOOKUP(A:A,Sheet1!A:A,Sheet1!I:I)</f>
        <v>Cybersecurity</v>
      </c>
      <c r="H222" s="8">
        <f>_xlfn.XLOOKUP(A:A,Sheet1!A:A,Sheet1!K:K)</f>
        <v>2</v>
      </c>
      <c r="I222" s="9">
        <f>_xlfn.XLOOKUP(A:A,Sheet1!A:A,Sheet1!M:M)</f>
        <v>100</v>
      </c>
      <c r="J222" s="10">
        <f>_xlfn.XLOOKUP(A:A,Sheet1!A:A,Sheet1!O:O)</f>
        <v>2.4</v>
      </c>
      <c r="K222" t="str">
        <f>_xlfn.XLOOKUP(A:A,Sheet1!A:A,Sheet1!P:P)</f>
        <v>Yes</v>
      </c>
      <c r="L222" s="12">
        <f>_xlfn.XLOOKUP(A:A,Sheet1!A:A,Sheet1!S:S)</f>
        <v>0.79269417475728277</v>
      </c>
    </row>
    <row r="223" spans="1:12" x14ac:dyDescent="0.35">
      <c r="A223" s="8" t="s">
        <v>493</v>
      </c>
      <c r="B223" s="2" t="str">
        <f>_xlfn.XLOOKUP(A223,Sheet1!A:A,Sheet1!B:B)</f>
        <v>James Skinner</v>
      </c>
      <c r="C223" s="2" t="str">
        <f>_xlfn.XLOOKUP(A:A,Sheet1!A:A,Sheet1!D:D)</f>
        <v>Male</v>
      </c>
      <c r="D223" s="8">
        <f>_xlfn.XLOOKUP(A:A,Sheet1!A:A,Sheet1!F:F)</f>
        <v>41</v>
      </c>
      <c r="E223" s="2" t="str">
        <f>_xlfn.XLOOKUP(A:A,Sheet1!A:A,Sheet1!G:G)</f>
        <v>South Korea</v>
      </c>
      <c r="F223" s="8" t="str">
        <f>_xlfn.XLOOKUP(A:A,Sheet1!A:A,Sheet1!H:H)</f>
        <v>Korean</v>
      </c>
      <c r="G223" s="8" t="str">
        <f>_xlfn.XLOOKUP(A:A,Sheet1!A:A,Sheet1!I:I)</f>
        <v>Machine Learning</v>
      </c>
      <c r="H223" s="8">
        <f>_xlfn.XLOOKUP(A:A,Sheet1!A:A,Sheet1!K:K)</f>
        <v>4</v>
      </c>
      <c r="I223" s="9">
        <f>_xlfn.XLOOKUP(A:A,Sheet1!A:A,Sheet1!M:M)</f>
        <v>75</v>
      </c>
      <c r="J223" s="10">
        <f>_xlfn.XLOOKUP(A:A,Sheet1!A:A,Sheet1!O:O)</f>
        <v>2.6</v>
      </c>
      <c r="K223" t="str">
        <f>_xlfn.XLOOKUP(A:A,Sheet1!A:A,Sheet1!P:P)</f>
        <v>No</v>
      </c>
      <c r="L223" s="12">
        <f>_xlfn.XLOOKUP(A:A,Sheet1!A:A,Sheet1!S:S)</f>
        <v>0.85</v>
      </c>
    </row>
    <row r="224" spans="1:12" x14ac:dyDescent="0.35">
      <c r="A224" s="8" t="s">
        <v>495</v>
      </c>
      <c r="B224" s="2" t="str">
        <f>_xlfn.XLOOKUP(A224,Sheet1!A:A,Sheet1!B:B)</f>
        <v>Michelle Hill</v>
      </c>
      <c r="C224" s="2" t="str">
        <f>_xlfn.XLOOKUP(A:A,Sheet1!A:A,Sheet1!D:D)</f>
        <v>Female</v>
      </c>
      <c r="D224" s="8">
        <f>_xlfn.XLOOKUP(A:A,Sheet1!A:A,Sheet1!F:F)</f>
        <v>21</v>
      </c>
      <c r="E224" s="2" t="str">
        <f>_xlfn.XLOOKUP(A:A,Sheet1!A:A,Sheet1!G:G)</f>
        <v>Canada</v>
      </c>
      <c r="F224" s="8" t="str">
        <f>_xlfn.XLOOKUP(A:A,Sheet1!A:A,Sheet1!H:H)</f>
        <v>English</v>
      </c>
      <c r="G224" s="8" t="str">
        <f>_xlfn.XLOOKUP(A:A,Sheet1!A:A,Sheet1!I:I)</f>
        <v>AI</v>
      </c>
      <c r="H224" s="8">
        <f>_xlfn.XLOOKUP(A:A,Sheet1!A:A,Sheet1!K:K)</f>
        <v>0</v>
      </c>
      <c r="I224" s="9">
        <f>_xlfn.XLOOKUP(A:A,Sheet1!A:A,Sheet1!M:M)</f>
        <v>40</v>
      </c>
      <c r="J224" s="10">
        <f>_xlfn.XLOOKUP(A:A,Sheet1!A:A,Sheet1!O:O)</f>
        <v>1.1000000000000001</v>
      </c>
      <c r="K224" t="str">
        <f>_xlfn.XLOOKUP(A:A,Sheet1!A:A,Sheet1!P:P)</f>
        <v>No</v>
      </c>
      <c r="L224" s="12">
        <f>_xlfn.XLOOKUP(A:A,Sheet1!A:A,Sheet1!S:S)</f>
        <v>0.79</v>
      </c>
    </row>
    <row r="225" spans="1:12" x14ac:dyDescent="0.35">
      <c r="A225" s="8" t="s">
        <v>497</v>
      </c>
      <c r="B225" s="2" t="str">
        <f>_xlfn.XLOOKUP(A225,Sheet1!A:A,Sheet1!B:B)</f>
        <v>Jacqueline Williams</v>
      </c>
      <c r="C225" s="2" t="str">
        <f>_xlfn.XLOOKUP(A:A,Sheet1!A:A,Sheet1!D:D)</f>
        <v>Female</v>
      </c>
      <c r="D225" s="8">
        <f>_xlfn.XLOOKUP(A:A,Sheet1!A:A,Sheet1!F:F)</f>
        <v>58</v>
      </c>
      <c r="E225" s="2" t="str">
        <f>_xlfn.XLOOKUP(A:A,Sheet1!A:A,Sheet1!G:G)</f>
        <v>China</v>
      </c>
      <c r="F225" s="8" t="str">
        <f>_xlfn.XLOOKUP(A:A,Sheet1!A:A,Sheet1!H:H)</f>
        <v>Mandarin</v>
      </c>
      <c r="G225" s="8" t="str">
        <f>_xlfn.XLOOKUP(A:A,Sheet1!A:A,Sheet1!I:I)</f>
        <v>Machine Learning</v>
      </c>
      <c r="H225" s="8">
        <f>_xlfn.XLOOKUP(A:A,Sheet1!A:A,Sheet1!K:K)</f>
        <v>9</v>
      </c>
      <c r="I225" s="9">
        <f>_xlfn.XLOOKUP(A:A,Sheet1!A:A,Sheet1!M:M)</f>
        <v>30</v>
      </c>
      <c r="J225" s="11">
        <v>0</v>
      </c>
      <c r="K225" t="str">
        <f>_xlfn.XLOOKUP(A:A,Sheet1!A:A,Sheet1!P:P)</f>
        <v>Yes</v>
      </c>
      <c r="L225" s="12">
        <f>_xlfn.XLOOKUP(A:A,Sheet1!A:A,Sheet1!S:S)</f>
        <v>0.65</v>
      </c>
    </row>
    <row r="226" spans="1:12" x14ac:dyDescent="0.35">
      <c r="A226" s="8" t="s">
        <v>499</v>
      </c>
      <c r="B226" s="2" t="str">
        <f>_xlfn.XLOOKUP(A226,Sheet1!A:A,Sheet1!B:B)</f>
        <v>Darrell Johnson</v>
      </c>
      <c r="C226" s="2" t="str">
        <f>_xlfn.XLOOKUP(A:A,Sheet1!A:A,Sheet1!D:D)</f>
        <v>Male</v>
      </c>
      <c r="D226" s="8">
        <f>_xlfn.XLOOKUP(A:A,Sheet1!A:A,Sheet1!F:F)</f>
        <v>60</v>
      </c>
      <c r="E226" s="2" t="str">
        <f>_xlfn.XLOOKUP(A:A,Sheet1!A:A,Sheet1!G:G)</f>
        <v>Canada</v>
      </c>
      <c r="F226" s="8" t="str">
        <f>_xlfn.XLOOKUP(A:A,Sheet1!A:A,Sheet1!H:H)</f>
        <v>English</v>
      </c>
      <c r="G226" s="8" t="str">
        <f>_xlfn.XLOOKUP(A:A,Sheet1!A:A,Sheet1!I:I)</f>
        <v>Machine Learning</v>
      </c>
      <c r="H226" s="8">
        <f>_xlfn.XLOOKUP(A:A,Sheet1!A:A,Sheet1!K:K)</f>
        <v>3</v>
      </c>
      <c r="I226" s="9">
        <f>_xlfn.XLOOKUP(A:A,Sheet1!A:A,Sheet1!M:M)</f>
        <v>40</v>
      </c>
      <c r="J226" s="10">
        <f>_xlfn.XLOOKUP(A:A,Sheet1!A:A,Sheet1!O:O)</f>
        <v>4.7</v>
      </c>
      <c r="K226" t="str">
        <f>_xlfn.XLOOKUP(A:A,Sheet1!A:A,Sheet1!P:P)</f>
        <v>No</v>
      </c>
      <c r="L226" s="12">
        <f>_xlfn.XLOOKUP(A:A,Sheet1!A:A,Sheet1!S:S)</f>
        <v>0.63</v>
      </c>
    </row>
    <row r="227" spans="1:12" x14ac:dyDescent="0.35">
      <c r="A227" s="8" t="s">
        <v>501</v>
      </c>
      <c r="B227" s="2" t="str">
        <f>_xlfn.XLOOKUP(A227,Sheet1!A:A,Sheet1!B:B)</f>
        <v>Ryan Crawford</v>
      </c>
      <c r="C227" s="2" t="str">
        <f>_xlfn.XLOOKUP(A:A,Sheet1!A:A,Sheet1!D:D)</f>
        <v>Male</v>
      </c>
      <c r="D227" s="8">
        <f>_xlfn.XLOOKUP(A:A,Sheet1!A:A,Sheet1!F:F)</f>
        <v>27</v>
      </c>
      <c r="E227" s="2" t="str">
        <f>_xlfn.XLOOKUP(A:A,Sheet1!A:A,Sheet1!G:G)</f>
        <v>South Africa</v>
      </c>
      <c r="F227" s="8" t="str">
        <f>_xlfn.XLOOKUP(A:A,Sheet1!A:A,Sheet1!H:H)</f>
        <v>Afrikaans</v>
      </c>
      <c r="G227" s="8" t="str">
        <f>_xlfn.XLOOKUP(A:A,Sheet1!A:A,Sheet1!I:I)</f>
        <v>Web Development</v>
      </c>
      <c r="H227" s="8">
        <f>_xlfn.XLOOKUP(A:A,Sheet1!A:A,Sheet1!K:K)</f>
        <v>2</v>
      </c>
      <c r="I227" s="9">
        <f>_xlfn.XLOOKUP(A:A,Sheet1!A:A,Sheet1!M:M)</f>
        <v>40</v>
      </c>
      <c r="J227" s="10">
        <f>_xlfn.XLOOKUP(A:A,Sheet1!A:A,Sheet1!O:O)</f>
        <v>1.2</v>
      </c>
      <c r="K227" t="str">
        <f>_xlfn.XLOOKUP(A:A,Sheet1!A:A,Sheet1!P:P)</f>
        <v>No</v>
      </c>
      <c r="L227" s="12">
        <f>_xlfn.XLOOKUP(A:A,Sheet1!A:A,Sheet1!S:S)</f>
        <v>0.79269417475728277</v>
      </c>
    </row>
    <row r="228" spans="1:12" x14ac:dyDescent="0.35">
      <c r="A228" s="8" t="s">
        <v>503</v>
      </c>
      <c r="B228" s="2" t="str">
        <f>_xlfn.XLOOKUP(A228,Sheet1!A:A,Sheet1!B:B)</f>
        <v>Chelsea Barber</v>
      </c>
      <c r="C228" s="2" t="str">
        <f>_xlfn.XLOOKUP(A:A,Sheet1!A:A,Sheet1!D:D)</f>
        <v>Female</v>
      </c>
      <c r="D228" s="8">
        <f>_xlfn.XLOOKUP(A:A,Sheet1!A:A,Sheet1!F:F)</f>
        <v>29</v>
      </c>
      <c r="E228" s="2" t="str">
        <f>_xlfn.XLOOKUP(A:A,Sheet1!A:A,Sheet1!G:G)</f>
        <v>Germany</v>
      </c>
      <c r="F228" s="8" t="str">
        <f>_xlfn.XLOOKUP(A:A,Sheet1!A:A,Sheet1!H:H)</f>
        <v>German</v>
      </c>
      <c r="G228" s="8" t="str">
        <f>_xlfn.XLOOKUP(A:A,Sheet1!A:A,Sheet1!I:I)</f>
        <v>Machine Learning</v>
      </c>
      <c r="H228" s="8">
        <f>_xlfn.XLOOKUP(A:A,Sheet1!A:A,Sheet1!K:K)</f>
        <v>10</v>
      </c>
      <c r="I228" s="9">
        <f>_xlfn.XLOOKUP(A:A,Sheet1!A:A,Sheet1!M:M)</f>
        <v>40</v>
      </c>
      <c r="J228" s="10">
        <f>_xlfn.XLOOKUP(A:A,Sheet1!A:A,Sheet1!O:O)</f>
        <v>1.2</v>
      </c>
      <c r="K228" t="str">
        <f>_xlfn.XLOOKUP(A:A,Sheet1!A:A,Sheet1!P:P)</f>
        <v>No</v>
      </c>
      <c r="L228" s="12">
        <f>_xlfn.XLOOKUP(A:A,Sheet1!A:A,Sheet1!S:S)</f>
        <v>0.78</v>
      </c>
    </row>
    <row r="229" spans="1:12" x14ac:dyDescent="0.35">
      <c r="A229" s="8" t="s">
        <v>505</v>
      </c>
      <c r="B229" s="2" t="str">
        <f>_xlfn.XLOOKUP(A229,Sheet1!A:A,Sheet1!B:B)</f>
        <v>Elaine Martinez</v>
      </c>
      <c r="C229" s="2" t="str">
        <f>_xlfn.XLOOKUP(A:A,Sheet1!A:A,Sheet1!D:D)</f>
        <v>Female</v>
      </c>
      <c r="D229" s="8">
        <f>_xlfn.XLOOKUP(A:A,Sheet1!A:A,Sheet1!F:F)</f>
        <v>54</v>
      </c>
      <c r="E229" s="2" t="str">
        <f>_xlfn.XLOOKUP(A:A,Sheet1!A:A,Sheet1!G:G)</f>
        <v>Canada</v>
      </c>
      <c r="F229" s="8" t="str">
        <f>_xlfn.XLOOKUP(A:A,Sheet1!A:A,Sheet1!H:H)</f>
        <v>English</v>
      </c>
      <c r="G229" s="8" t="str">
        <f>_xlfn.XLOOKUP(A:A,Sheet1!A:A,Sheet1!I:I)</f>
        <v>Graphic Design</v>
      </c>
      <c r="H229" s="8">
        <f>_xlfn.XLOOKUP(A:A,Sheet1!A:A,Sheet1!K:K)</f>
        <v>33</v>
      </c>
      <c r="I229" s="9">
        <f>_xlfn.XLOOKUP(A:A,Sheet1!A:A,Sheet1!M:M)</f>
        <v>75</v>
      </c>
      <c r="J229" s="11">
        <v>0</v>
      </c>
      <c r="K229" t="str">
        <f>_xlfn.XLOOKUP(A:A,Sheet1!A:A,Sheet1!P:P)</f>
        <v>Yes</v>
      </c>
      <c r="L229" s="12">
        <f>_xlfn.XLOOKUP(A:A,Sheet1!A:A,Sheet1!S:S)</f>
        <v>0.62</v>
      </c>
    </row>
    <row r="230" spans="1:12" x14ac:dyDescent="0.35">
      <c r="A230" s="8" t="s">
        <v>507</v>
      </c>
      <c r="B230" s="2" t="str">
        <f>_xlfn.XLOOKUP(A230,Sheet1!A:A,Sheet1!B:B)</f>
        <v>Joseph Kent</v>
      </c>
      <c r="C230" s="2" t="str">
        <f>_xlfn.XLOOKUP(A:A,Sheet1!A:A,Sheet1!D:D)</f>
        <v>Male</v>
      </c>
      <c r="D230" s="8">
        <f>_xlfn.XLOOKUP(A:A,Sheet1!A:A,Sheet1!F:F)</f>
        <v>52</v>
      </c>
      <c r="E230" s="2" t="str">
        <f>_xlfn.XLOOKUP(A:A,Sheet1!A:A,Sheet1!G:G)</f>
        <v>Mexico</v>
      </c>
      <c r="F230" s="8" t="str">
        <f>_xlfn.XLOOKUP(A:A,Sheet1!A:A,Sheet1!H:H)</f>
        <v>Spanish</v>
      </c>
      <c r="G230" s="8" t="str">
        <f>_xlfn.XLOOKUP(A:A,Sheet1!A:A,Sheet1!I:I)</f>
        <v>Machine Learning</v>
      </c>
      <c r="H230" s="8">
        <f>_xlfn.XLOOKUP(A:A,Sheet1!A:A,Sheet1!K:K)</f>
        <v>12</v>
      </c>
      <c r="I230" s="9">
        <f>_xlfn.XLOOKUP(A:A,Sheet1!A:A,Sheet1!M:M)</f>
        <v>40</v>
      </c>
      <c r="J230" s="10">
        <f>_xlfn.XLOOKUP(A:A,Sheet1!A:A,Sheet1!O:O)</f>
        <v>1.2</v>
      </c>
      <c r="K230" t="str">
        <f>_xlfn.XLOOKUP(A:A,Sheet1!A:A,Sheet1!P:P)</f>
        <v>No</v>
      </c>
      <c r="L230" s="12">
        <f>_xlfn.XLOOKUP(A:A,Sheet1!A:A,Sheet1!S:S)</f>
        <v>0.76</v>
      </c>
    </row>
    <row r="231" spans="1:12" x14ac:dyDescent="0.35">
      <c r="A231" s="8" t="s">
        <v>509</v>
      </c>
      <c r="B231" s="2" t="str">
        <f>_xlfn.XLOOKUP(A231,Sheet1!A:A,Sheet1!B:B)</f>
        <v>Megan Welch</v>
      </c>
      <c r="C231" s="2" t="str">
        <f>_xlfn.XLOOKUP(A:A,Sheet1!A:A,Sheet1!D:D)</f>
        <v>Female</v>
      </c>
      <c r="D231" s="8">
        <f>_xlfn.XLOOKUP(A:A,Sheet1!A:A,Sheet1!F:F)</f>
        <v>55</v>
      </c>
      <c r="E231" s="2" t="str">
        <f>_xlfn.XLOOKUP(A:A,Sheet1!A:A,Sheet1!G:G)</f>
        <v>Indonesia</v>
      </c>
      <c r="F231" s="8" t="str">
        <f>_xlfn.XLOOKUP(A:A,Sheet1!A:A,Sheet1!H:H)</f>
        <v>Indonesian</v>
      </c>
      <c r="G231" s="8" t="str">
        <f>_xlfn.XLOOKUP(A:A,Sheet1!A:A,Sheet1!I:I)</f>
        <v>Blockchain Development</v>
      </c>
      <c r="H231" s="8">
        <f>_xlfn.XLOOKUP(A:A,Sheet1!A:A,Sheet1!K:K)</f>
        <v>18</v>
      </c>
      <c r="I231" s="9">
        <f>_xlfn.XLOOKUP(A:A,Sheet1!A:A,Sheet1!M:M)</f>
        <v>100</v>
      </c>
      <c r="J231" s="10">
        <f>_xlfn.XLOOKUP(A:A,Sheet1!A:A,Sheet1!O:O)</f>
        <v>2.9</v>
      </c>
      <c r="K231" t="str">
        <f>_xlfn.XLOOKUP(A:A,Sheet1!A:A,Sheet1!P:P)</f>
        <v>No</v>
      </c>
      <c r="L231" s="12">
        <f>_xlfn.XLOOKUP(A:A,Sheet1!A:A,Sheet1!S:S)</f>
        <v>0.97</v>
      </c>
    </row>
    <row r="232" spans="1:12" x14ac:dyDescent="0.35">
      <c r="A232" s="8" t="s">
        <v>511</v>
      </c>
      <c r="B232" s="2" t="str">
        <f>_xlfn.XLOOKUP(A232,Sheet1!A:A,Sheet1!B:B)</f>
        <v>Stephen Ramirez</v>
      </c>
      <c r="C232" s="2" t="str">
        <f>_xlfn.XLOOKUP(A:A,Sheet1!A:A,Sheet1!D:D)</f>
        <v>Male</v>
      </c>
      <c r="D232" s="8">
        <f>_xlfn.XLOOKUP(A:A,Sheet1!A:A,Sheet1!F:F)</f>
        <v>37</v>
      </c>
      <c r="E232" s="2" t="str">
        <f>_xlfn.XLOOKUP(A:A,Sheet1!A:A,Sheet1!G:G)</f>
        <v>Brazil</v>
      </c>
      <c r="F232" s="8" t="str">
        <f>_xlfn.XLOOKUP(A:A,Sheet1!A:A,Sheet1!H:H)</f>
        <v>Portuguese</v>
      </c>
      <c r="G232" s="8" t="str">
        <f>_xlfn.XLOOKUP(A:A,Sheet1!A:A,Sheet1!I:I)</f>
        <v>Blockchain Development</v>
      </c>
      <c r="H232" s="8">
        <f>_xlfn.XLOOKUP(A:A,Sheet1!A:A,Sheet1!K:K)</f>
        <v>4</v>
      </c>
      <c r="I232" s="9">
        <f>_xlfn.XLOOKUP(A:A,Sheet1!A:A,Sheet1!M:M)</f>
        <v>40</v>
      </c>
      <c r="J232" s="10">
        <f>_xlfn.XLOOKUP(A:A,Sheet1!A:A,Sheet1!O:O)</f>
        <v>2.5125695216907653</v>
      </c>
      <c r="K232" t="str">
        <f>_xlfn.XLOOKUP(A:A,Sheet1!A:A,Sheet1!P:P)</f>
        <v>No</v>
      </c>
      <c r="L232" s="12">
        <f>_xlfn.XLOOKUP(A:A,Sheet1!A:A,Sheet1!S:S)</f>
        <v>0.79269417475728277</v>
      </c>
    </row>
    <row r="233" spans="1:12" x14ac:dyDescent="0.35">
      <c r="A233" s="8" t="s">
        <v>513</v>
      </c>
      <c r="B233" s="2" t="str">
        <f>_xlfn.XLOOKUP(A233,Sheet1!A:A,Sheet1!B:B)</f>
        <v>Chloe Gray</v>
      </c>
      <c r="C233" s="2" t="str">
        <f>_xlfn.XLOOKUP(A:A,Sheet1!A:A,Sheet1!D:D)</f>
        <v>Female</v>
      </c>
      <c r="D233" s="8">
        <f>_xlfn.XLOOKUP(A:A,Sheet1!A:A,Sheet1!F:F)</f>
        <v>34</v>
      </c>
      <c r="E233" s="2" t="str">
        <f>_xlfn.XLOOKUP(A:A,Sheet1!A:A,Sheet1!G:G)</f>
        <v>Egypt</v>
      </c>
      <c r="F233" s="8" t="str">
        <f>_xlfn.XLOOKUP(A:A,Sheet1!A:A,Sheet1!H:H)</f>
        <v>Arabic</v>
      </c>
      <c r="G233" s="8" t="str">
        <f>_xlfn.XLOOKUP(A:A,Sheet1!A:A,Sheet1!I:I)</f>
        <v>Data Analysis</v>
      </c>
      <c r="H233" s="8">
        <f>_xlfn.XLOOKUP(A:A,Sheet1!A:A,Sheet1!K:K)</f>
        <v>11</v>
      </c>
      <c r="I233" s="9">
        <f>_xlfn.XLOOKUP(A:A,Sheet1!A:A,Sheet1!M:M)</f>
        <v>50</v>
      </c>
      <c r="J233" s="10">
        <f>_xlfn.XLOOKUP(A:A,Sheet1!A:A,Sheet1!O:O)</f>
        <v>3.9</v>
      </c>
      <c r="K233" t="str">
        <f>_xlfn.XLOOKUP(A:A,Sheet1!A:A,Sheet1!P:P)</f>
        <v>Yes</v>
      </c>
      <c r="L233" s="12">
        <f>_xlfn.XLOOKUP(A:A,Sheet1!A:A,Sheet1!S:S)</f>
        <v>0.82</v>
      </c>
    </row>
    <row r="234" spans="1:12" x14ac:dyDescent="0.35">
      <c r="A234" s="8" t="s">
        <v>515</v>
      </c>
      <c r="B234" s="2" t="str">
        <f>_xlfn.XLOOKUP(A234,Sheet1!A:A,Sheet1!B:B)</f>
        <v xml:space="preserve">Michael Williams </v>
      </c>
      <c r="C234" s="2" t="str">
        <f>_xlfn.XLOOKUP(A:A,Sheet1!A:A,Sheet1!D:D)</f>
        <v>Male</v>
      </c>
      <c r="D234" s="8">
        <f>_xlfn.XLOOKUP(A:A,Sheet1!A:A,Sheet1!F:F)</f>
        <v>20</v>
      </c>
      <c r="E234" s="2" t="str">
        <f>_xlfn.XLOOKUP(A:A,Sheet1!A:A,Sheet1!G:G)</f>
        <v>France</v>
      </c>
      <c r="F234" s="8" t="str">
        <f>_xlfn.XLOOKUP(A:A,Sheet1!A:A,Sheet1!H:H)</f>
        <v>French</v>
      </c>
      <c r="G234" s="8" t="str">
        <f>_xlfn.XLOOKUP(A:A,Sheet1!A:A,Sheet1!I:I)</f>
        <v>Data Analysis</v>
      </c>
      <c r="H234" s="8">
        <f>_xlfn.XLOOKUP(A:A,Sheet1!A:A,Sheet1!K:K)</f>
        <v>1</v>
      </c>
      <c r="I234" s="9">
        <f>_xlfn.XLOOKUP(A:A,Sheet1!A:A,Sheet1!M:M)</f>
        <v>50</v>
      </c>
      <c r="J234" s="10">
        <f>_xlfn.XLOOKUP(A:A,Sheet1!A:A,Sheet1!O:O)</f>
        <v>3.1</v>
      </c>
      <c r="K234" t="str">
        <f>_xlfn.XLOOKUP(A:A,Sheet1!A:A,Sheet1!P:P)</f>
        <v>No</v>
      </c>
      <c r="L234" s="12">
        <f>_xlfn.XLOOKUP(A:A,Sheet1!A:A,Sheet1!S:S)</f>
        <v>0.71</v>
      </c>
    </row>
    <row r="235" spans="1:12" x14ac:dyDescent="0.35">
      <c r="A235" s="8" t="s">
        <v>516</v>
      </c>
      <c r="B235" s="2" t="str">
        <f>_xlfn.XLOOKUP(A235,Sheet1!A:A,Sheet1!B:B)</f>
        <v>Matthew Martin</v>
      </c>
      <c r="C235" s="2" t="str">
        <f>_xlfn.XLOOKUP(A:A,Sheet1!A:A,Sheet1!D:D)</f>
        <v>Male</v>
      </c>
      <c r="D235" s="8">
        <f>_xlfn.XLOOKUP(A:A,Sheet1!A:A,Sheet1!F:F)</f>
        <v>22</v>
      </c>
      <c r="E235" s="2" t="str">
        <f>_xlfn.XLOOKUP(A:A,Sheet1!A:A,Sheet1!G:G)</f>
        <v>Mexico</v>
      </c>
      <c r="F235" s="8" t="str">
        <f>_xlfn.XLOOKUP(A:A,Sheet1!A:A,Sheet1!H:H)</f>
        <v>Spanish</v>
      </c>
      <c r="G235" s="8" t="str">
        <f>_xlfn.XLOOKUP(A:A,Sheet1!A:A,Sheet1!I:I)</f>
        <v>UI/UX Design</v>
      </c>
      <c r="H235" s="8">
        <f>_xlfn.XLOOKUP(A:A,Sheet1!A:A,Sheet1!K:K)</f>
        <v>2</v>
      </c>
      <c r="I235" s="9">
        <f>_xlfn.XLOOKUP(A:A,Sheet1!A:A,Sheet1!M:M)</f>
        <v>40</v>
      </c>
      <c r="J235" s="11">
        <v>0</v>
      </c>
      <c r="K235" t="str">
        <f>_xlfn.XLOOKUP(A:A,Sheet1!A:A,Sheet1!P:P)</f>
        <v>Yes</v>
      </c>
      <c r="L235" s="12">
        <f>_xlfn.XLOOKUP(A:A,Sheet1!A:A,Sheet1!S:S)</f>
        <v>0.79269417475728277</v>
      </c>
    </row>
    <row r="236" spans="1:12" x14ac:dyDescent="0.35">
      <c r="A236" s="8" t="s">
        <v>518</v>
      </c>
      <c r="B236" s="2" t="str">
        <f>_xlfn.XLOOKUP(A236,Sheet1!A:A,Sheet1!B:B)</f>
        <v>Julia Murphy</v>
      </c>
      <c r="C236" s="2" t="str">
        <f>_xlfn.XLOOKUP(A:A,Sheet1!A:A,Sheet1!D:D)</f>
        <v>Female</v>
      </c>
      <c r="D236" s="8">
        <f>_xlfn.XLOOKUP(A:A,Sheet1!A:A,Sheet1!F:F)</f>
        <v>23</v>
      </c>
      <c r="E236" s="2" t="str">
        <f>_xlfn.XLOOKUP(A:A,Sheet1!A:A,Sheet1!G:G)</f>
        <v>South Korea</v>
      </c>
      <c r="F236" s="8" t="str">
        <f>_xlfn.XLOOKUP(A:A,Sheet1!A:A,Sheet1!H:H)</f>
        <v>Korean</v>
      </c>
      <c r="G236" s="8" t="str">
        <f>_xlfn.XLOOKUP(A:A,Sheet1!A:A,Sheet1!I:I)</f>
        <v>Graphic Design</v>
      </c>
      <c r="H236" s="8">
        <f>_xlfn.XLOOKUP(A:A,Sheet1!A:A,Sheet1!K:K)</f>
        <v>2</v>
      </c>
      <c r="I236" s="9">
        <f>_xlfn.XLOOKUP(A:A,Sheet1!A:A,Sheet1!M:M)</f>
        <v>50</v>
      </c>
      <c r="J236" s="10">
        <f>_xlfn.XLOOKUP(A:A,Sheet1!A:A,Sheet1!O:O)</f>
        <v>3.2</v>
      </c>
      <c r="K236" t="str">
        <f>_xlfn.XLOOKUP(A:A,Sheet1!A:A,Sheet1!P:P)</f>
        <v>Yes</v>
      </c>
      <c r="L236" s="12">
        <f>_xlfn.XLOOKUP(A:A,Sheet1!A:A,Sheet1!S:S)</f>
        <v>0.79269417475728277</v>
      </c>
    </row>
    <row r="237" spans="1:12" x14ac:dyDescent="0.35">
      <c r="A237" s="8" t="s">
        <v>520</v>
      </c>
      <c r="B237" s="2" t="str">
        <f>_xlfn.XLOOKUP(A237,Sheet1!A:A,Sheet1!B:B)</f>
        <v>Anna Evans</v>
      </c>
      <c r="C237" s="2" t="str">
        <f>_xlfn.XLOOKUP(A:A,Sheet1!A:A,Sheet1!D:D)</f>
        <v>Female</v>
      </c>
      <c r="D237" s="8">
        <f>_xlfn.XLOOKUP(A:A,Sheet1!A:A,Sheet1!F:F)</f>
        <v>53</v>
      </c>
      <c r="E237" s="2" t="str">
        <f>_xlfn.XLOOKUP(A:A,Sheet1!A:A,Sheet1!G:G)</f>
        <v>South Korea</v>
      </c>
      <c r="F237" s="8" t="str">
        <f>_xlfn.XLOOKUP(A:A,Sheet1!A:A,Sheet1!H:H)</f>
        <v>Korean</v>
      </c>
      <c r="G237" s="8" t="str">
        <f>_xlfn.XLOOKUP(A:A,Sheet1!A:A,Sheet1!I:I)</f>
        <v>Blockchain Development</v>
      </c>
      <c r="H237" s="8">
        <f>_xlfn.XLOOKUP(A:A,Sheet1!A:A,Sheet1!K:K)</f>
        <v>34</v>
      </c>
      <c r="I237" s="9">
        <f>_xlfn.XLOOKUP(A:A,Sheet1!A:A,Sheet1!M:M)</f>
        <v>30</v>
      </c>
      <c r="J237" s="10">
        <f>_xlfn.XLOOKUP(A:A,Sheet1!A:A,Sheet1!O:O)</f>
        <v>2.5125695216907653</v>
      </c>
      <c r="K237" t="str">
        <f>_xlfn.XLOOKUP(A:A,Sheet1!A:A,Sheet1!P:P)</f>
        <v>Yes</v>
      </c>
      <c r="L237" s="12">
        <f>_xlfn.XLOOKUP(A:A,Sheet1!A:A,Sheet1!S:S)</f>
        <v>0.79269417475728277</v>
      </c>
    </row>
    <row r="238" spans="1:12" x14ac:dyDescent="0.35">
      <c r="A238" s="8" t="s">
        <v>522</v>
      </c>
      <c r="B238" s="2" t="str">
        <f>_xlfn.XLOOKUP(A238,Sheet1!A:A,Sheet1!B:B)</f>
        <v>Brenda Fleming</v>
      </c>
      <c r="C238" s="2" t="str">
        <f>_xlfn.XLOOKUP(A:A,Sheet1!A:A,Sheet1!D:D)</f>
        <v>Female</v>
      </c>
      <c r="D238" s="8">
        <f>_xlfn.XLOOKUP(A:A,Sheet1!A:A,Sheet1!F:F)</f>
        <v>56</v>
      </c>
      <c r="E238" s="2" t="str">
        <f>_xlfn.XLOOKUP(A:A,Sheet1!A:A,Sheet1!G:G)</f>
        <v>South Korea</v>
      </c>
      <c r="F238" s="8" t="str">
        <f>_xlfn.XLOOKUP(A:A,Sheet1!A:A,Sheet1!H:H)</f>
        <v>Korean</v>
      </c>
      <c r="G238" s="8" t="str">
        <f>_xlfn.XLOOKUP(A:A,Sheet1!A:A,Sheet1!I:I)</f>
        <v>Graphic Design</v>
      </c>
      <c r="H238" s="8">
        <f>_xlfn.XLOOKUP(A:A,Sheet1!A:A,Sheet1!K:K)</f>
        <v>27</v>
      </c>
      <c r="I238" s="9">
        <f>_xlfn.XLOOKUP(A:A,Sheet1!A:A,Sheet1!M:M)</f>
        <v>100</v>
      </c>
      <c r="J238" s="10">
        <f>_xlfn.XLOOKUP(A:A,Sheet1!A:A,Sheet1!O:O)</f>
        <v>4.7</v>
      </c>
      <c r="K238" t="str">
        <f>_xlfn.XLOOKUP(A:A,Sheet1!A:A,Sheet1!P:P)</f>
        <v>Yes</v>
      </c>
      <c r="L238" s="12">
        <f>_xlfn.XLOOKUP(A:A,Sheet1!A:A,Sheet1!S:S)</f>
        <v>0.69</v>
      </c>
    </row>
    <row r="239" spans="1:12" x14ac:dyDescent="0.35">
      <c r="A239" s="8" t="s">
        <v>524</v>
      </c>
      <c r="B239" s="2" t="str">
        <f>_xlfn.XLOOKUP(A239,Sheet1!A:A,Sheet1!B:B)</f>
        <v>Daniel Harrington</v>
      </c>
      <c r="C239" s="2" t="str">
        <f>_xlfn.XLOOKUP(A:A,Sheet1!A:A,Sheet1!D:D)</f>
        <v>Male</v>
      </c>
      <c r="D239" s="8">
        <f>_xlfn.XLOOKUP(A:A,Sheet1!A:A,Sheet1!F:F)</f>
        <v>27</v>
      </c>
      <c r="E239" s="2" t="str">
        <f>_xlfn.XLOOKUP(A:A,Sheet1!A:A,Sheet1!G:G)</f>
        <v>Canada</v>
      </c>
      <c r="F239" s="8" t="str">
        <f>_xlfn.XLOOKUP(A:A,Sheet1!A:A,Sheet1!H:H)</f>
        <v>English</v>
      </c>
      <c r="G239" s="8" t="str">
        <f>_xlfn.XLOOKUP(A:A,Sheet1!A:A,Sheet1!I:I)</f>
        <v>AI</v>
      </c>
      <c r="H239" s="8">
        <f>_xlfn.XLOOKUP(A:A,Sheet1!A:A,Sheet1!K:K)</f>
        <v>4</v>
      </c>
      <c r="I239" s="9">
        <f>_xlfn.XLOOKUP(A:A,Sheet1!A:A,Sheet1!M:M)</f>
        <v>75</v>
      </c>
      <c r="J239" s="10">
        <f>_xlfn.XLOOKUP(A:A,Sheet1!A:A,Sheet1!O:O)</f>
        <v>5</v>
      </c>
      <c r="K239" t="str">
        <f>_xlfn.XLOOKUP(A:A,Sheet1!A:A,Sheet1!P:P)</f>
        <v>No</v>
      </c>
      <c r="L239" s="12">
        <f>_xlfn.XLOOKUP(A:A,Sheet1!A:A,Sheet1!S:S)</f>
        <v>0.88</v>
      </c>
    </row>
    <row r="240" spans="1:12" x14ac:dyDescent="0.35">
      <c r="A240" s="8" t="s">
        <v>526</v>
      </c>
      <c r="B240" s="2" t="str">
        <f>_xlfn.XLOOKUP(A240,Sheet1!A:A,Sheet1!B:B)</f>
        <v>Daniel Barnett</v>
      </c>
      <c r="C240" s="2" t="str">
        <f>_xlfn.XLOOKUP(A:A,Sheet1!A:A,Sheet1!D:D)</f>
        <v>Male</v>
      </c>
      <c r="D240" s="8">
        <f>_xlfn.XLOOKUP(A:A,Sheet1!A:A,Sheet1!F:F)</f>
        <v>34</v>
      </c>
      <c r="E240" s="2" t="str">
        <f>_xlfn.XLOOKUP(A:A,Sheet1!A:A,Sheet1!G:G)</f>
        <v>Italy</v>
      </c>
      <c r="F240" s="8" t="str">
        <f>_xlfn.XLOOKUP(A:A,Sheet1!A:A,Sheet1!H:H)</f>
        <v>Italian</v>
      </c>
      <c r="G240" s="8" t="str">
        <f>_xlfn.XLOOKUP(A:A,Sheet1!A:A,Sheet1!I:I)</f>
        <v>Mobile Apps</v>
      </c>
      <c r="H240" s="8">
        <f>_xlfn.XLOOKUP(A:A,Sheet1!A:A,Sheet1!K:K)</f>
        <v>11</v>
      </c>
      <c r="I240" s="9">
        <f>_xlfn.XLOOKUP(A:A,Sheet1!A:A,Sheet1!M:M)</f>
        <v>40</v>
      </c>
      <c r="J240" s="10">
        <f>_xlfn.XLOOKUP(A:A,Sheet1!A:A,Sheet1!O:O)</f>
        <v>2.5125695216907653</v>
      </c>
      <c r="K240" t="str">
        <f>_xlfn.XLOOKUP(A:A,Sheet1!A:A,Sheet1!P:P)</f>
        <v>No</v>
      </c>
      <c r="L240" s="12">
        <f>_xlfn.XLOOKUP(A:A,Sheet1!A:A,Sheet1!S:S)</f>
        <v>0.67</v>
      </c>
    </row>
    <row r="241" spans="1:12" x14ac:dyDescent="0.35">
      <c r="A241" s="8" t="s">
        <v>528</v>
      </c>
      <c r="B241" s="2" t="str">
        <f>_xlfn.XLOOKUP(A241,Sheet1!A:A,Sheet1!B:B)</f>
        <v>Mark Cummings</v>
      </c>
      <c r="C241" s="2" t="str">
        <f>_xlfn.XLOOKUP(A:A,Sheet1!A:A,Sheet1!D:D)</f>
        <v>Male</v>
      </c>
      <c r="D241" s="8">
        <f>_xlfn.XLOOKUP(A:A,Sheet1!A:A,Sheet1!F:F)</f>
        <v>29</v>
      </c>
      <c r="E241" s="2" t="str">
        <f>_xlfn.XLOOKUP(A:A,Sheet1!A:A,Sheet1!G:G)</f>
        <v>United States</v>
      </c>
      <c r="F241" s="8" t="str">
        <f>_xlfn.XLOOKUP(A:A,Sheet1!A:A,Sheet1!H:H)</f>
        <v>English</v>
      </c>
      <c r="G241" s="8" t="str">
        <f>_xlfn.XLOOKUP(A:A,Sheet1!A:A,Sheet1!I:I)</f>
        <v>Web Development</v>
      </c>
      <c r="H241" s="8">
        <f>_xlfn.XLOOKUP(A:A,Sheet1!A:A,Sheet1!K:K)</f>
        <v>4</v>
      </c>
      <c r="I241" s="9">
        <f>_xlfn.XLOOKUP(A:A,Sheet1!A:A,Sheet1!M:M)</f>
        <v>50</v>
      </c>
      <c r="J241" s="10">
        <f>_xlfn.XLOOKUP(A:A,Sheet1!A:A,Sheet1!O:O)</f>
        <v>4</v>
      </c>
      <c r="K241" t="str">
        <f>_xlfn.XLOOKUP(A:A,Sheet1!A:A,Sheet1!P:P)</f>
        <v>No</v>
      </c>
      <c r="L241" s="12">
        <f>_xlfn.XLOOKUP(A:A,Sheet1!A:A,Sheet1!S:S)</f>
        <v>0.79269417475728277</v>
      </c>
    </row>
    <row r="242" spans="1:12" x14ac:dyDescent="0.35">
      <c r="A242" s="8" t="s">
        <v>530</v>
      </c>
      <c r="B242" s="2" t="str">
        <f>_xlfn.XLOOKUP(A242,Sheet1!A:A,Sheet1!B:B)</f>
        <v>Christopher Guerra</v>
      </c>
      <c r="C242" s="2" t="str">
        <f>_xlfn.XLOOKUP(A:A,Sheet1!A:A,Sheet1!D:D)</f>
        <v>Male</v>
      </c>
      <c r="D242" s="8">
        <f>_xlfn.XLOOKUP(A:A,Sheet1!A:A,Sheet1!F:F)</f>
        <v>34</v>
      </c>
      <c r="E242" s="2" t="str">
        <f>_xlfn.XLOOKUP(A:A,Sheet1!A:A,Sheet1!G:G)</f>
        <v>India</v>
      </c>
      <c r="F242" s="8" t="str">
        <f>_xlfn.XLOOKUP(A:A,Sheet1!A:A,Sheet1!H:H)</f>
        <v>Hindi</v>
      </c>
      <c r="G242" s="8" t="str">
        <f>_xlfn.XLOOKUP(A:A,Sheet1!A:A,Sheet1!I:I)</f>
        <v>AI</v>
      </c>
      <c r="H242" s="8">
        <f>_xlfn.XLOOKUP(A:A,Sheet1!A:A,Sheet1!K:K)</f>
        <v>11</v>
      </c>
      <c r="I242" s="9">
        <f>_xlfn.XLOOKUP(A:A,Sheet1!A:A,Sheet1!M:M)</f>
        <v>40</v>
      </c>
      <c r="J242" s="10">
        <f>_xlfn.XLOOKUP(A:A,Sheet1!A:A,Sheet1!O:O)</f>
        <v>1.2</v>
      </c>
      <c r="K242" t="str">
        <f>_xlfn.XLOOKUP(A:A,Sheet1!A:A,Sheet1!P:P)</f>
        <v>Yes</v>
      </c>
      <c r="L242" s="12">
        <f>_xlfn.XLOOKUP(A:A,Sheet1!A:A,Sheet1!S:S)</f>
        <v>0.79269417475728277</v>
      </c>
    </row>
    <row r="243" spans="1:12" x14ac:dyDescent="0.35">
      <c r="A243" s="8" t="s">
        <v>532</v>
      </c>
      <c r="B243" s="2" t="str">
        <f>_xlfn.XLOOKUP(A243,Sheet1!A:A,Sheet1!B:B)</f>
        <v>Sarah Ho</v>
      </c>
      <c r="C243" s="2" t="str">
        <f>_xlfn.XLOOKUP(A:A,Sheet1!A:A,Sheet1!D:D)</f>
        <v>Female</v>
      </c>
      <c r="D243" s="8">
        <f>_xlfn.XLOOKUP(A:A,Sheet1!A:A,Sheet1!F:F)</f>
        <v>32</v>
      </c>
      <c r="E243" s="2" t="str">
        <f>_xlfn.XLOOKUP(A:A,Sheet1!A:A,Sheet1!G:G)</f>
        <v>Mexico</v>
      </c>
      <c r="F243" s="8" t="str">
        <f>_xlfn.XLOOKUP(A:A,Sheet1!A:A,Sheet1!H:H)</f>
        <v>Spanish</v>
      </c>
      <c r="G243" s="8" t="str">
        <f>_xlfn.XLOOKUP(A:A,Sheet1!A:A,Sheet1!I:I)</f>
        <v>AI</v>
      </c>
      <c r="H243" s="8">
        <f>_xlfn.XLOOKUP(A:A,Sheet1!A:A,Sheet1!K:K)</f>
        <v>1</v>
      </c>
      <c r="I243" s="9">
        <f>_xlfn.XLOOKUP(A:A,Sheet1!A:A,Sheet1!M:M)</f>
        <v>100</v>
      </c>
      <c r="J243" s="10">
        <f>_xlfn.XLOOKUP(A:A,Sheet1!A:A,Sheet1!O:O)</f>
        <v>4.7</v>
      </c>
      <c r="K243" t="str">
        <f>_xlfn.XLOOKUP(A:A,Sheet1!A:A,Sheet1!P:P)</f>
        <v>No</v>
      </c>
      <c r="L243" s="12">
        <f>_xlfn.XLOOKUP(A:A,Sheet1!A:A,Sheet1!S:S)</f>
        <v>0.67</v>
      </c>
    </row>
    <row r="244" spans="1:12" x14ac:dyDescent="0.35">
      <c r="A244" s="8" t="s">
        <v>534</v>
      </c>
      <c r="B244" s="2" t="str">
        <f>_xlfn.XLOOKUP(A244,Sheet1!A:A,Sheet1!B:B)</f>
        <v>Veronica Thomas</v>
      </c>
      <c r="C244" s="2" t="str">
        <f>_xlfn.XLOOKUP(A:A,Sheet1!A:A,Sheet1!D:D)</f>
        <v>Female</v>
      </c>
      <c r="D244" s="8">
        <f>_xlfn.XLOOKUP(A:A,Sheet1!A:A,Sheet1!F:F)</f>
        <v>21</v>
      </c>
      <c r="E244" s="2" t="str">
        <f>_xlfn.XLOOKUP(A:A,Sheet1!A:A,Sheet1!G:G)</f>
        <v>South Africa</v>
      </c>
      <c r="F244" s="8" t="str">
        <f>_xlfn.XLOOKUP(A:A,Sheet1!A:A,Sheet1!H:H)</f>
        <v>Afrikaans</v>
      </c>
      <c r="G244" s="8" t="str">
        <f>_xlfn.XLOOKUP(A:A,Sheet1!A:A,Sheet1!I:I)</f>
        <v>Machine Learning</v>
      </c>
      <c r="H244" s="8">
        <f>_xlfn.XLOOKUP(A:A,Sheet1!A:A,Sheet1!K:K)</f>
        <v>2</v>
      </c>
      <c r="I244" s="9">
        <f>_xlfn.XLOOKUP(A:A,Sheet1!A:A,Sheet1!M:M)</f>
        <v>20</v>
      </c>
      <c r="J244" s="10">
        <f>_xlfn.XLOOKUP(A:A,Sheet1!A:A,Sheet1!O:O)</f>
        <v>2.4</v>
      </c>
      <c r="K244" t="str">
        <f>_xlfn.XLOOKUP(A:A,Sheet1!A:A,Sheet1!P:P)</f>
        <v>No</v>
      </c>
      <c r="L244" s="12">
        <f>_xlfn.XLOOKUP(A:A,Sheet1!A:A,Sheet1!S:S)</f>
        <v>0.86</v>
      </c>
    </row>
    <row r="245" spans="1:12" x14ac:dyDescent="0.35">
      <c r="A245" s="8" t="s">
        <v>536</v>
      </c>
      <c r="B245" s="2" t="str">
        <f>_xlfn.XLOOKUP(A245,Sheet1!A:A,Sheet1!B:B)</f>
        <v>Mitchell Watson</v>
      </c>
      <c r="C245" s="2" t="str">
        <f>_xlfn.XLOOKUP(A:A,Sheet1!A:A,Sheet1!D:D)</f>
        <v>Male</v>
      </c>
      <c r="D245" s="8">
        <f>_xlfn.XLOOKUP(A:A,Sheet1!A:A,Sheet1!F:F)</f>
        <v>20</v>
      </c>
      <c r="E245" s="2" t="str">
        <f>_xlfn.XLOOKUP(A:A,Sheet1!A:A,Sheet1!G:G)</f>
        <v>Mexico</v>
      </c>
      <c r="F245" s="8" t="str">
        <f>_xlfn.XLOOKUP(A:A,Sheet1!A:A,Sheet1!H:H)</f>
        <v>Spanish</v>
      </c>
      <c r="G245" s="8" t="str">
        <f>_xlfn.XLOOKUP(A:A,Sheet1!A:A,Sheet1!I:I)</f>
        <v>Graphic Design</v>
      </c>
      <c r="H245" s="8">
        <f>_xlfn.XLOOKUP(A:A,Sheet1!A:A,Sheet1!K:K)</f>
        <v>2</v>
      </c>
      <c r="I245" s="9">
        <f>_xlfn.XLOOKUP(A:A,Sheet1!A:A,Sheet1!M:M)</f>
        <v>40</v>
      </c>
      <c r="J245" s="10">
        <f>_xlfn.XLOOKUP(A:A,Sheet1!A:A,Sheet1!O:O)</f>
        <v>1.1000000000000001</v>
      </c>
      <c r="K245" t="str">
        <f>_xlfn.XLOOKUP(A:A,Sheet1!A:A,Sheet1!P:P)</f>
        <v>No</v>
      </c>
      <c r="L245" s="12">
        <f>_xlfn.XLOOKUP(A:A,Sheet1!A:A,Sheet1!S:S)</f>
        <v>0.69</v>
      </c>
    </row>
    <row r="246" spans="1:12" x14ac:dyDescent="0.35">
      <c r="A246" s="8" t="s">
        <v>538</v>
      </c>
      <c r="B246" s="2" t="str">
        <f>_xlfn.XLOOKUP(A246,Sheet1!A:A,Sheet1!B:B)</f>
        <v>Monica Murphy</v>
      </c>
      <c r="C246" s="2" t="str">
        <f>_xlfn.XLOOKUP(A:A,Sheet1!A:A,Sheet1!D:D)</f>
        <v>Female</v>
      </c>
      <c r="D246" s="8">
        <f>_xlfn.XLOOKUP(A:A,Sheet1!A:A,Sheet1!F:F)</f>
        <v>35</v>
      </c>
      <c r="E246" s="2" t="str">
        <f>_xlfn.XLOOKUP(A:A,Sheet1!A:A,Sheet1!G:G)</f>
        <v>United States</v>
      </c>
      <c r="F246" s="8" t="str">
        <f>_xlfn.XLOOKUP(A:A,Sheet1!A:A,Sheet1!H:H)</f>
        <v>English</v>
      </c>
      <c r="G246" s="8" t="str">
        <f>_xlfn.XLOOKUP(A:A,Sheet1!A:A,Sheet1!I:I)</f>
        <v>Mobile Apps</v>
      </c>
      <c r="H246" s="8">
        <f>_xlfn.XLOOKUP(A:A,Sheet1!A:A,Sheet1!K:K)</f>
        <v>10</v>
      </c>
      <c r="I246" s="9">
        <f>_xlfn.XLOOKUP(A:A,Sheet1!A:A,Sheet1!M:M)</f>
        <v>50</v>
      </c>
      <c r="J246" s="10">
        <f>_xlfn.XLOOKUP(A:A,Sheet1!A:A,Sheet1!O:O)</f>
        <v>1.4</v>
      </c>
      <c r="K246" t="str">
        <f>_xlfn.XLOOKUP(A:A,Sheet1!A:A,Sheet1!P:P)</f>
        <v>Yes</v>
      </c>
      <c r="L246" s="12">
        <f>_xlfn.XLOOKUP(A:A,Sheet1!A:A,Sheet1!S:S)</f>
        <v>0.85</v>
      </c>
    </row>
    <row r="247" spans="1:12" x14ac:dyDescent="0.35">
      <c r="A247" s="8" t="s">
        <v>540</v>
      </c>
      <c r="B247" s="2" t="str">
        <f>_xlfn.XLOOKUP(A247,Sheet1!A:A,Sheet1!B:B)</f>
        <v>Kristen Williams</v>
      </c>
      <c r="C247" s="2" t="str">
        <f>_xlfn.XLOOKUP(A:A,Sheet1!A:A,Sheet1!D:D)</f>
        <v>Female</v>
      </c>
      <c r="D247" s="8">
        <f>_xlfn.XLOOKUP(A:A,Sheet1!A:A,Sheet1!F:F)</f>
        <v>47</v>
      </c>
      <c r="E247" s="2" t="str">
        <f>_xlfn.XLOOKUP(A:A,Sheet1!A:A,Sheet1!G:G)</f>
        <v>United States</v>
      </c>
      <c r="F247" s="8" t="str">
        <f>_xlfn.XLOOKUP(A:A,Sheet1!A:A,Sheet1!H:H)</f>
        <v>English</v>
      </c>
      <c r="G247" s="8" t="str">
        <f>_xlfn.XLOOKUP(A:A,Sheet1!A:A,Sheet1!I:I)</f>
        <v>UI/UX Design</v>
      </c>
      <c r="H247" s="8">
        <f>_xlfn.XLOOKUP(A:A,Sheet1!A:A,Sheet1!K:K)</f>
        <v>18</v>
      </c>
      <c r="I247" s="9">
        <f>_xlfn.XLOOKUP(A:A,Sheet1!A:A,Sheet1!M:M)</f>
        <v>40</v>
      </c>
      <c r="J247" s="10">
        <f>_xlfn.XLOOKUP(A:A,Sheet1!A:A,Sheet1!O:O)</f>
        <v>3.4</v>
      </c>
      <c r="K247" t="str">
        <f>_xlfn.XLOOKUP(A:A,Sheet1!A:A,Sheet1!P:P)</f>
        <v>No</v>
      </c>
      <c r="L247" s="12">
        <f>_xlfn.XLOOKUP(A:A,Sheet1!A:A,Sheet1!S:S)</f>
        <v>0.6</v>
      </c>
    </row>
    <row r="248" spans="1:12" x14ac:dyDescent="0.35">
      <c r="A248" s="8" t="s">
        <v>542</v>
      </c>
      <c r="B248" s="2" t="str">
        <f>_xlfn.XLOOKUP(A248,Sheet1!A:A,Sheet1!B:B)</f>
        <v>Nicole Wright</v>
      </c>
      <c r="C248" s="2" t="str">
        <f>_xlfn.XLOOKUP(A:A,Sheet1!A:A,Sheet1!D:D)</f>
        <v>Female</v>
      </c>
      <c r="D248" s="8">
        <f>_xlfn.XLOOKUP(A:A,Sheet1!A:A,Sheet1!F:F)</f>
        <v>41</v>
      </c>
      <c r="E248" s="2" t="str">
        <f>_xlfn.XLOOKUP(A:A,Sheet1!A:A,Sheet1!G:G)</f>
        <v>Turkey</v>
      </c>
      <c r="F248" s="8" t="str">
        <f>_xlfn.XLOOKUP(A:A,Sheet1!A:A,Sheet1!H:H)</f>
        <v>Turkish</v>
      </c>
      <c r="G248" s="8" t="str">
        <f>_xlfn.XLOOKUP(A:A,Sheet1!A:A,Sheet1!I:I)</f>
        <v>Blockchain Development</v>
      </c>
      <c r="H248" s="8">
        <f>_xlfn.XLOOKUP(A:A,Sheet1!A:A,Sheet1!K:K)</f>
        <v>4</v>
      </c>
      <c r="I248" s="9">
        <f>_xlfn.XLOOKUP(A:A,Sheet1!A:A,Sheet1!M:M)</f>
        <v>40</v>
      </c>
      <c r="J248" s="10">
        <f>_xlfn.XLOOKUP(A:A,Sheet1!A:A,Sheet1!O:O)</f>
        <v>2.7</v>
      </c>
      <c r="K248" t="str">
        <f>_xlfn.XLOOKUP(A:A,Sheet1!A:A,Sheet1!P:P)</f>
        <v>Yes</v>
      </c>
      <c r="L248" s="12">
        <f>_xlfn.XLOOKUP(A:A,Sheet1!A:A,Sheet1!S:S)</f>
        <v>0.7</v>
      </c>
    </row>
    <row r="249" spans="1:12" x14ac:dyDescent="0.35">
      <c r="A249" s="8" t="s">
        <v>544</v>
      </c>
      <c r="B249" s="2" t="str">
        <f>_xlfn.XLOOKUP(A249,Sheet1!A:A,Sheet1!B:B)</f>
        <v>Andrew Ruiz</v>
      </c>
      <c r="C249" s="2" t="str">
        <f>_xlfn.XLOOKUP(A:A,Sheet1!A:A,Sheet1!D:D)</f>
        <v>Male</v>
      </c>
      <c r="D249" s="8">
        <f>_xlfn.XLOOKUP(A:A,Sheet1!A:A,Sheet1!F:F)</f>
        <v>58</v>
      </c>
      <c r="E249" s="2" t="str">
        <f>_xlfn.XLOOKUP(A:A,Sheet1!A:A,Sheet1!G:G)</f>
        <v>Argentina</v>
      </c>
      <c r="F249" s="8" t="str">
        <f>_xlfn.XLOOKUP(A:A,Sheet1!A:A,Sheet1!H:H)</f>
        <v>Spanish</v>
      </c>
      <c r="G249" s="8" t="str">
        <f>_xlfn.XLOOKUP(A:A,Sheet1!A:A,Sheet1!I:I)</f>
        <v>Web Development</v>
      </c>
      <c r="H249" s="8">
        <f>_xlfn.XLOOKUP(A:A,Sheet1!A:A,Sheet1!K:K)</f>
        <v>23</v>
      </c>
      <c r="I249" s="9">
        <f>_xlfn.XLOOKUP(A:A,Sheet1!A:A,Sheet1!M:M)</f>
        <v>40</v>
      </c>
      <c r="J249" s="10">
        <f>_xlfn.XLOOKUP(A:A,Sheet1!A:A,Sheet1!O:O)</f>
        <v>4.9000000000000004</v>
      </c>
      <c r="K249" t="str">
        <f>_xlfn.XLOOKUP(A:A,Sheet1!A:A,Sheet1!P:P)</f>
        <v>No</v>
      </c>
      <c r="L249" s="12">
        <f>_xlfn.XLOOKUP(A:A,Sheet1!A:A,Sheet1!S:S)</f>
        <v>0.79269417475728277</v>
      </c>
    </row>
    <row r="250" spans="1:12" x14ac:dyDescent="0.35">
      <c r="A250" s="8" t="s">
        <v>546</v>
      </c>
      <c r="B250" s="2" t="str">
        <f>_xlfn.XLOOKUP(A250,Sheet1!A:A,Sheet1!B:B)</f>
        <v>Zachary Jackson</v>
      </c>
      <c r="C250" s="2" t="str">
        <f>_xlfn.XLOOKUP(A:A,Sheet1!A:A,Sheet1!D:D)</f>
        <v>Male</v>
      </c>
      <c r="D250" s="8">
        <f>_xlfn.XLOOKUP(A:A,Sheet1!A:A,Sheet1!F:F)</f>
        <v>34</v>
      </c>
      <c r="E250" s="2" t="str">
        <f>_xlfn.XLOOKUP(A:A,Sheet1!A:A,Sheet1!G:G)</f>
        <v>China</v>
      </c>
      <c r="F250" s="8" t="str">
        <f>_xlfn.XLOOKUP(A:A,Sheet1!A:A,Sheet1!H:H)</f>
        <v>Mandarin</v>
      </c>
      <c r="G250" s="8" t="str">
        <f>_xlfn.XLOOKUP(A:A,Sheet1!A:A,Sheet1!I:I)</f>
        <v>Data Analysis</v>
      </c>
      <c r="H250" s="8">
        <f>_xlfn.XLOOKUP(A:A,Sheet1!A:A,Sheet1!K:K)</f>
        <v>6</v>
      </c>
      <c r="I250" s="9">
        <f>_xlfn.XLOOKUP(A:A,Sheet1!A:A,Sheet1!M:M)</f>
        <v>75</v>
      </c>
      <c r="J250" s="10">
        <f>_xlfn.XLOOKUP(A:A,Sheet1!A:A,Sheet1!O:O)</f>
        <v>1.9</v>
      </c>
      <c r="K250" t="str">
        <f>_xlfn.XLOOKUP(A:A,Sheet1!A:A,Sheet1!P:P)</f>
        <v>Yes</v>
      </c>
      <c r="L250" s="12">
        <f>_xlfn.XLOOKUP(A:A,Sheet1!A:A,Sheet1!S:S)</f>
        <v>0.81</v>
      </c>
    </row>
    <row r="251" spans="1:12" x14ac:dyDescent="0.35">
      <c r="A251" s="8" t="s">
        <v>548</v>
      </c>
      <c r="B251" s="2" t="str">
        <f>_xlfn.XLOOKUP(A251,Sheet1!A:A,Sheet1!B:B)</f>
        <v>Stephanie Carter</v>
      </c>
      <c r="C251" s="2" t="str">
        <f>_xlfn.XLOOKUP(A:A,Sheet1!A:A,Sheet1!D:D)</f>
        <v>Female</v>
      </c>
      <c r="D251" s="8">
        <f>_xlfn.XLOOKUP(A:A,Sheet1!A:A,Sheet1!F:F)</f>
        <v>50</v>
      </c>
      <c r="E251" s="2" t="str">
        <f>_xlfn.XLOOKUP(A:A,Sheet1!A:A,Sheet1!G:G)</f>
        <v>India</v>
      </c>
      <c r="F251" s="8" t="str">
        <f>_xlfn.XLOOKUP(A:A,Sheet1!A:A,Sheet1!H:H)</f>
        <v>Hindi</v>
      </c>
      <c r="G251" s="8" t="str">
        <f>_xlfn.XLOOKUP(A:A,Sheet1!A:A,Sheet1!I:I)</f>
        <v>Mobile Apps</v>
      </c>
      <c r="H251" s="8">
        <f>_xlfn.XLOOKUP(A:A,Sheet1!A:A,Sheet1!K:K)</f>
        <v>5</v>
      </c>
      <c r="I251" s="9">
        <f>_xlfn.XLOOKUP(A:A,Sheet1!A:A,Sheet1!M:M)</f>
        <v>100</v>
      </c>
      <c r="J251" s="10">
        <f>_xlfn.XLOOKUP(A:A,Sheet1!A:A,Sheet1!O:O)</f>
        <v>2.5125695216907653</v>
      </c>
      <c r="K251" t="str">
        <f>_xlfn.XLOOKUP(A:A,Sheet1!A:A,Sheet1!P:P)</f>
        <v>Yes</v>
      </c>
      <c r="L251" s="12">
        <f>_xlfn.XLOOKUP(A:A,Sheet1!A:A,Sheet1!S:S)</f>
        <v>0.79269417475728277</v>
      </c>
    </row>
    <row r="252" spans="1:12" x14ac:dyDescent="0.35">
      <c r="A252" s="8" t="s">
        <v>550</v>
      </c>
      <c r="B252" s="2" t="str">
        <f>_xlfn.XLOOKUP(A252,Sheet1!A:A,Sheet1!B:B)</f>
        <v>Amy Olson</v>
      </c>
      <c r="C252" s="2" t="str">
        <f>_xlfn.XLOOKUP(A:A,Sheet1!A:A,Sheet1!D:D)</f>
        <v>Female</v>
      </c>
      <c r="D252" s="8">
        <f>_xlfn.XLOOKUP(A:A,Sheet1!A:A,Sheet1!F:F)</f>
        <v>42</v>
      </c>
      <c r="E252" s="2" t="str">
        <f>_xlfn.XLOOKUP(A:A,Sheet1!A:A,Sheet1!G:G)</f>
        <v>Mexico</v>
      </c>
      <c r="F252" s="8" t="str">
        <f>_xlfn.XLOOKUP(A:A,Sheet1!A:A,Sheet1!H:H)</f>
        <v>Spanish</v>
      </c>
      <c r="G252" s="8" t="str">
        <f>_xlfn.XLOOKUP(A:A,Sheet1!A:A,Sheet1!I:I)</f>
        <v>DevOps</v>
      </c>
      <c r="H252" s="8">
        <f>_xlfn.XLOOKUP(A:A,Sheet1!A:A,Sheet1!K:K)</f>
        <v>19</v>
      </c>
      <c r="I252" s="9">
        <f>_xlfn.XLOOKUP(A:A,Sheet1!A:A,Sheet1!M:M)</f>
        <v>75</v>
      </c>
      <c r="J252" s="10">
        <f>_xlfn.XLOOKUP(A:A,Sheet1!A:A,Sheet1!O:O)</f>
        <v>4.5999999999999996</v>
      </c>
      <c r="K252" t="str">
        <f>_xlfn.XLOOKUP(A:A,Sheet1!A:A,Sheet1!P:P)</f>
        <v>No</v>
      </c>
      <c r="L252" s="12">
        <f>_xlfn.XLOOKUP(A:A,Sheet1!A:A,Sheet1!S:S)</f>
        <v>0.78</v>
      </c>
    </row>
    <row r="253" spans="1:12" x14ac:dyDescent="0.35">
      <c r="A253" s="8" t="s">
        <v>552</v>
      </c>
      <c r="B253" s="2" t="str">
        <f>_xlfn.XLOOKUP(A253,Sheet1!A:A,Sheet1!B:B)</f>
        <v>Fred Stark</v>
      </c>
      <c r="C253" s="2" t="str">
        <f>_xlfn.XLOOKUP(A:A,Sheet1!A:A,Sheet1!D:D)</f>
        <v>Male</v>
      </c>
      <c r="D253" s="8">
        <f>_xlfn.XLOOKUP(A:A,Sheet1!A:A,Sheet1!F:F)</f>
        <v>43</v>
      </c>
      <c r="E253" s="2" t="str">
        <f>_xlfn.XLOOKUP(A:A,Sheet1!A:A,Sheet1!G:G)</f>
        <v>Germany</v>
      </c>
      <c r="F253" s="8" t="str">
        <f>_xlfn.XLOOKUP(A:A,Sheet1!A:A,Sheet1!H:H)</f>
        <v>German</v>
      </c>
      <c r="G253" s="8" t="str">
        <f>_xlfn.XLOOKUP(A:A,Sheet1!A:A,Sheet1!I:I)</f>
        <v>UI/UX Design</v>
      </c>
      <c r="H253" s="8">
        <f>_xlfn.XLOOKUP(A:A,Sheet1!A:A,Sheet1!K:K)</f>
        <v>6</v>
      </c>
      <c r="I253" s="9">
        <f>_xlfn.XLOOKUP(A:A,Sheet1!A:A,Sheet1!M:M)</f>
        <v>50</v>
      </c>
      <c r="J253" s="11">
        <v>0</v>
      </c>
      <c r="K253" t="str">
        <f>_xlfn.XLOOKUP(A:A,Sheet1!A:A,Sheet1!P:P)</f>
        <v>No</v>
      </c>
      <c r="L253" s="12">
        <f>_xlfn.XLOOKUP(A:A,Sheet1!A:A,Sheet1!S:S)</f>
        <v>0.81</v>
      </c>
    </row>
    <row r="254" spans="1:12" x14ac:dyDescent="0.35">
      <c r="A254" s="8" t="s">
        <v>554</v>
      </c>
      <c r="B254" s="2" t="str">
        <f>_xlfn.XLOOKUP(A254,Sheet1!A:A,Sheet1!B:B)</f>
        <v>Jacob Gill</v>
      </c>
      <c r="C254" s="2" t="str">
        <f>_xlfn.XLOOKUP(A:A,Sheet1!A:A,Sheet1!D:D)</f>
        <v>Male</v>
      </c>
      <c r="D254" s="8">
        <f>_xlfn.XLOOKUP(A:A,Sheet1!A:A,Sheet1!F:F)</f>
        <v>34</v>
      </c>
      <c r="E254" s="2" t="str">
        <f>_xlfn.XLOOKUP(A:A,Sheet1!A:A,Sheet1!G:G)</f>
        <v>Germany</v>
      </c>
      <c r="F254" s="8" t="str">
        <f>_xlfn.XLOOKUP(A:A,Sheet1!A:A,Sheet1!H:H)</f>
        <v>German</v>
      </c>
      <c r="G254" s="8" t="str">
        <f>_xlfn.XLOOKUP(A:A,Sheet1!A:A,Sheet1!I:I)</f>
        <v>Data Analysis</v>
      </c>
      <c r="H254" s="8">
        <f>_xlfn.XLOOKUP(A:A,Sheet1!A:A,Sheet1!K:K)</f>
        <v>8</v>
      </c>
      <c r="I254" s="9">
        <f>_xlfn.XLOOKUP(A:A,Sheet1!A:A,Sheet1!M:M)</f>
        <v>75</v>
      </c>
      <c r="J254" s="10">
        <f>_xlfn.XLOOKUP(A:A,Sheet1!A:A,Sheet1!O:O)</f>
        <v>1.8</v>
      </c>
      <c r="K254" t="str">
        <f>_xlfn.XLOOKUP(A:A,Sheet1!A:A,Sheet1!P:P)</f>
        <v>Yes</v>
      </c>
      <c r="L254" s="12">
        <f>_xlfn.XLOOKUP(A:A,Sheet1!A:A,Sheet1!S:S)</f>
        <v>0.71</v>
      </c>
    </row>
    <row r="255" spans="1:12" x14ac:dyDescent="0.35">
      <c r="A255" s="8" t="s">
        <v>556</v>
      </c>
      <c r="B255" s="2" t="str">
        <f>_xlfn.XLOOKUP(A255,Sheet1!A:A,Sheet1!B:B)</f>
        <v>Anthony Nichols</v>
      </c>
      <c r="C255" s="2" t="str">
        <f>_xlfn.XLOOKUP(A:A,Sheet1!A:A,Sheet1!D:D)</f>
        <v>Male</v>
      </c>
      <c r="D255" s="8">
        <f>_xlfn.XLOOKUP(A:A,Sheet1!A:A,Sheet1!F:F)</f>
        <v>24</v>
      </c>
      <c r="E255" s="2" t="str">
        <f>_xlfn.XLOOKUP(A:A,Sheet1!A:A,Sheet1!G:G)</f>
        <v>Spain</v>
      </c>
      <c r="F255" s="8" t="str">
        <f>_xlfn.XLOOKUP(A:A,Sheet1!A:A,Sheet1!H:H)</f>
        <v>Spanish</v>
      </c>
      <c r="G255" s="8" t="str">
        <f>_xlfn.XLOOKUP(A:A,Sheet1!A:A,Sheet1!I:I)</f>
        <v>Mobile Apps</v>
      </c>
      <c r="H255" s="8">
        <f>_xlfn.XLOOKUP(A:A,Sheet1!A:A,Sheet1!K:K)</f>
        <v>3</v>
      </c>
      <c r="I255" s="9">
        <f>_xlfn.XLOOKUP(A:A,Sheet1!A:A,Sheet1!M:M)</f>
        <v>75</v>
      </c>
      <c r="J255" s="10">
        <f>_xlfn.XLOOKUP(A:A,Sheet1!A:A,Sheet1!O:O)</f>
        <v>2</v>
      </c>
      <c r="K255" t="str">
        <f>_xlfn.XLOOKUP(A:A,Sheet1!A:A,Sheet1!P:P)</f>
        <v>No</v>
      </c>
      <c r="L255" s="12">
        <f>_xlfn.XLOOKUP(A:A,Sheet1!A:A,Sheet1!S:S)</f>
        <v>0.79269417475728277</v>
      </c>
    </row>
    <row r="256" spans="1:12" x14ac:dyDescent="0.35">
      <c r="A256" s="8" t="s">
        <v>558</v>
      </c>
      <c r="B256" s="2" t="str">
        <f>_xlfn.XLOOKUP(A256,Sheet1!A:A,Sheet1!B:B)</f>
        <v>William Knapp</v>
      </c>
      <c r="C256" s="2" t="str">
        <f>_xlfn.XLOOKUP(A:A,Sheet1!A:A,Sheet1!D:D)</f>
        <v>Male</v>
      </c>
      <c r="D256" s="8">
        <f>_xlfn.XLOOKUP(A:A,Sheet1!A:A,Sheet1!F:F)</f>
        <v>48</v>
      </c>
      <c r="E256" s="2" t="str">
        <f>_xlfn.XLOOKUP(A:A,Sheet1!A:A,Sheet1!G:G)</f>
        <v>South Africa</v>
      </c>
      <c r="F256" s="8" t="str">
        <f>_xlfn.XLOOKUP(A:A,Sheet1!A:A,Sheet1!H:H)</f>
        <v>Afrikaans</v>
      </c>
      <c r="G256" s="8" t="str">
        <f>_xlfn.XLOOKUP(A:A,Sheet1!A:A,Sheet1!I:I)</f>
        <v>UI/UX Design</v>
      </c>
      <c r="H256" s="8">
        <f>_xlfn.XLOOKUP(A:A,Sheet1!A:A,Sheet1!K:K)</f>
        <v>8</v>
      </c>
      <c r="I256" s="9">
        <f>_xlfn.XLOOKUP(A:A,Sheet1!A:A,Sheet1!M:M)</f>
        <v>30</v>
      </c>
      <c r="J256" s="10">
        <f>_xlfn.XLOOKUP(A:A,Sheet1!A:A,Sheet1!O:O)</f>
        <v>5</v>
      </c>
      <c r="K256" t="str">
        <f>_xlfn.XLOOKUP(A:A,Sheet1!A:A,Sheet1!P:P)</f>
        <v>Yes</v>
      </c>
      <c r="L256" s="12">
        <f>_xlfn.XLOOKUP(A:A,Sheet1!A:A,Sheet1!S:S)</f>
        <v>0.99</v>
      </c>
    </row>
    <row r="257" spans="1:12" x14ac:dyDescent="0.35">
      <c r="A257" s="8" t="s">
        <v>560</v>
      </c>
      <c r="B257" s="2" t="str">
        <f>_xlfn.XLOOKUP(A257,Sheet1!A:A,Sheet1!B:B)</f>
        <v>Elizabeth Walker</v>
      </c>
      <c r="C257" s="2" t="str">
        <f>_xlfn.XLOOKUP(A:A,Sheet1!A:A,Sheet1!D:D)</f>
        <v>Female</v>
      </c>
      <c r="D257" s="8">
        <f>_xlfn.XLOOKUP(A:A,Sheet1!A:A,Sheet1!F:F)</f>
        <v>39</v>
      </c>
      <c r="E257" s="2" t="str">
        <f>_xlfn.XLOOKUP(A:A,Sheet1!A:A,Sheet1!G:G)</f>
        <v>South Korea</v>
      </c>
      <c r="F257" s="8" t="str">
        <f>_xlfn.XLOOKUP(A:A,Sheet1!A:A,Sheet1!H:H)</f>
        <v>Korean</v>
      </c>
      <c r="G257" s="8" t="str">
        <f>_xlfn.XLOOKUP(A:A,Sheet1!A:A,Sheet1!I:I)</f>
        <v>Data Analysis</v>
      </c>
      <c r="H257" s="8">
        <f>_xlfn.XLOOKUP(A:A,Sheet1!A:A,Sheet1!K:K)</f>
        <v>12</v>
      </c>
      <c r="I257" s="9">
        <f>_xlfn.XLOOKUP(A:A,Sheet1!A:A,Sheet1!M:M)</f>
        <v>20</v>
      </c>
      <c r="J257" s="10">
        <f>_xlfn.XLOOKUP(A:A,Sheet1!A:A,Sheet1!O:O)</f>
        <v>3.2</v>
      </c>
      <c r="K257" t="str">
        <f>_xlfn.XLOOKUP(A:A,Sheet1!A:A,Sheet1!P:P)</f>
        <v>Yes</v>
      </c>
      <c r="L257" s="12">
        <f>_xlfn.XLOOKUP(A:A,Sheet1!A:A,Sheet1!S:S)</f>
        <v>0.66</v>
      </c>
    </row>
    <row r="258" spans="1:12" x14ac:dyDescent="0.35">
      <c r="A258" s="8" t="s">
        <v>562</v>
      </c>
      <c r="B258" s="2" t="str">
        <f>_xlfn.XLOOKUP(A258,Sheet1!A:A,Sheet1!B:B)</f>
        <v>Brenda Reeves</v>
      </c>
      <c r="C258" s="2" t="str">
        <f>_xlfn.XLOOKUP(A:A,Sheet1!A:A,Sheet1!D:D)</f>
        <v>Female</v>
      </c>
      <c r="D258" s="8">
        <f>_xlfn.XLOOKUP(A:A,Sheet1!A:A,Sheet1!F:F)</f>
        <v>57</v>
      </c>
      <c r="E258" s="2" t="str">
        <f>_xlfn.XLOOKUP(A:A,Sheet1!A:A,Sheet1!G:G)</f>
        <v>Australia</v>
      </c>
      <c r="F258" s="8" t="str">
        <f>_xlfn.XLOOKUP(A:A,Sheet1!A:A,Sheet1!H:H)</f>
        <v>English</v>
      </c>
      <c r="G258" s="8" t="str">
        <f>_xlfn.XLOOKUP(A:A,Sheet1!A:A,Sheet1!I:I)</f>
        <v>Blockchain Development</v>
      </c>
      <c r="H258" s="8">
        <f>_xlfn.XLOOKUP(A:A,Sheet1!A:A,Sheet1!K:K)</f>
        <v>30</v>
      </c>
      <c r="I258" s="9">
        <f>_xlfn.XLOOKUP(A:A,Sheet1!A:A,Sheet1!M:M)</f>
        <v>30</v>
      </c>
      <c r="J258" s="10">
        <f>_xlfn.XLOOKUP(A:A,Sheet1!A:A,Sheet1!O:O)</f>
        <v>2.4</v>
      </c>
      <c r="K258" t="str">
        <f>_xlfn.XLOOKUP(A:A,Sheet1!A:A,Sheet1!P:P)</f>
        <v>No</v>
      </c>
      <c r="L258" s="12">
        <f>_xlfn.XLOOKUP(A:A,Sheet1!A:A,Sheet1!S:S)</f>
        <v>0.8</v>
      </c>
    </row>
    <row r="259" spans="1:12" x14ac:dyDescent="0.35">
      <c r="A259" s="8" t="s">
        <v>564</v>
      </c>
      <c r="B259" s="2" t="str">
        <f>_xlfn.XLOOKUP(A259,Sheet1!A:A,Sheet1!B:B)</f>
        <v>Carrie Little</v>
      </c>
      <c r="C259" s="2" t="str">
        <f>_xlfn.XLOOKUP(A:A,Sheet1!A:A,Sheet1!D:D)</f>
        <v>Female</v>
      </c>
      <c r="D259" s="8">
        <f>_xlfn.XLOOKUP(A:A,Sheet1!A:A,Sheet1!F:F)</f>
        <v>44</v>
      </c>
      <c r="E259" s="2" t="str">
        <f>_xlfn.XLOOKUP(A:A,Sheet1!A:A,Sheet1!G:G)</f>
        <v>Canada</v>
      </c>
      <c r="F259" s="8" t="str">
        <f>_xlfn.XLOOKUP(A:A,Sheet1!A:A,Sheet1!H:H)</f>
        <v>English</v>
      </c>
      <c r="G259" s="8" t="str">
        <f>_xlfn.XLOOKUP(A:A,Sheet1!A:A,Sheet1!I:I)</f>
        <v>Web Development</v>
      </c>
      <c r="H259" s="8">
        <f>_xlfn.XLOOKUP(A:A,Sheet1!A:A,Sheet1!K:K)</f>
        <v>21</v>
      </c>
      <c r="I259" s="9">
        <f>_xlfn.XLOOKUP(A:A,Sheet1!A:A,Sheet1!M:M)</f>
        <v>100</v>
      </c>
      <c r="J259" s="10">
        <f>_xlfn.XLOOKUP(A:A,Sheet1!A:A,Sheet1!O:O)</f>
        <v>2.9</v>
      </c>
      <c r="K259" t="str">
        <f>_xlfn.XLOOKUP(A:A,Sheet1!A:A,Sheet1!P:P)</f>
        <v>No</v>
      </c>
      <c r="L259" s="12">
        <f>_xlfn.XLOOKUP(A:A,Sheet1!A:A,Sheet1!S:S)</f>
        <v>0.83</v>
      </c>
    </row>
    <row r="260" spans="1:12" x14ac:dyDescent="0.35">
      <c r="A260" s="8" t="s">
        <v>566</v>
      </c>
      <c r="B260" s="2" t="str">
        <f>_xlfn.XLOOKUP(A260,Sheet1!A:A,Sheet1!B:B)</f>
        <v>Steven Jackson</v>
      </c>
      <c r="C260" s="2" t="str">
        <f>_xlfn.XLOOKUP(A:A,Sheet1!A:A,Sheet1!D:D)</f>
        <v>Male</v>
      </c>
      <c r="D260" s="8">
        <f>_xlfn.XLOOKUP(A:A,Sheet1!A:A,Sheet1!F:F)</f>
        <v>37</v>
      </c>
      <c r="E260" s="2" t="str">
        <f>_xlfn.XLOOKUP(A:A,Sheet1!A:A,Sheet1!G:G)</f>
        <v>Brazil</v>
      </c>
      <c r="F260" s="8" t="str">
        <f>_xlfn.XLOOKUP(A:A,Sheet1!A:A,Sheet1!H:H)</f>
        <v>Portuguese</v>
      </c>
      <c r="G260" s="8" t="str">
        <f>_xlfn.XLOOKUP(A:A,Sheet1!A:A,Sheet1!I:I)</f>
        <v>UI/UX Design</v>
      </c>
      <c r="H260" s="8">
        <f>_xlfn.XLOOKUP(A:A,Sheet1!A:A,Sheet1!K:K)</f>
        <v>17</v>
      </c>
      <c r="I260" s="9">
        <f>_xlfn.XLOOKUP(A:A,Sheet1!A:A,Sheet1!M:M)</f>
        <v>20</v>
      </c>
      <c r="J260" s="11">
        <v>0</v>
      </c>
      <c r="K260" t="str">
        <f>_xlfn.XLOOKUP(A:A,Sheet1!A:A,Sheet1!P:P)</f>
        <v>Yes</v>
      </c>
      <c r="L260" s="12">
        <f>_xlfn.XLOOKUP(A:A,Sheet1!A:A,Sheet1!S:S)</f>
        <v>0.87</v>
      </c>
    </row>
    <row r="261" spans="1:12" x14ac:dyDescent="0.35">
      <c r="A261" s="8" t="s">
        <v>568</v>
      </c>
      <c r="B261" s="2" t="str">
        <f>_xlfn.XLOOKUP(A261,Sheet1!A:A,Sheet1!B:B)</f>
        <v>Mark Perry</v>
      </c>
      <c r="C261" s="2" t="str">
        <f>_xlfn.XLOOKUP(A:A,Sheet1!A:A,Sheet1!D:D)</f>
        <v>Male</v>
      </c>
      <c r="D261" s="8">
        <f>_xlfn.XLOOKUP(A:A,Sheet1!A:A,Sheet1!F:F)</f>
        <v>50</v>
      </c>
      <c r="E261" s="2" t="str">
        <f>_xlfn.XLOOKUP(A:A,Sheet1!A:A,Sheet1!G:G)</f>
        <v>Turkey</v>
      </c>
      <c r="F261" s="8" t="str">
        <f>_xlfn.XLOOKUP(A:A,Sheet1!A:A,Sheet1!H:H)</f>
        <v>Turkish</v>
      </c>
      <c r="G261" s="8" t="str">
        <f>_xlfn.XLOOKUP(A:A,Sheet1!A:A,Sheet1!I:I)</f>
        <v>Data Analysis</v>
      </c>
      <c r="H261" s="8">
        <f>_xlfn.XLOOKUP(A:A,Sheet1!A:A,Sheet1!K:K)</f>
        <v>9</v>
      </c>
      <c r="I261" s="9">
        <f>_xlfn.XLOOKUP(A:A,Sheet1!A:A,Sheet1!M:M)</f>
        <v>30</v>
      </c>
      <c r="J261" s="10">
        <f>_xlfn.XLOOKUP(A:A,Sheet1!A:A,Sheet1!O:O)</f>
        <v>3</v>
      </c>
      <c r="K261" t="str">
        <f>_xlfn.XLOOKUP(A:A,Sheet1!A:A,Sheet1!P:P)</f>
        <v>No</v>
      </c>
      <c r="L261" s="12">
        <f>_xlfn.XLOOKUP(A:A,Sheet1!A:A,Sheet1!S:S)</f>
        <v>0.76</v>
      </c>
    </row>
    <row r="262" spans="1:12" x14ac:dyDescent="0.35">
      <c r="A262" s="8" t="s">
        <v>570</v>
      </c>
      <c r="B262" s="2" t="str">
        <f>_xlfn.XLOOKUP(A262,Sheet1!A:A,Sheet1!B:B)</f>
        <v>Cameron Spencer</v>
      </c>
      <c r="C262" s="2" t="str">
        <f>_xlfn.XLOOKUP(A:A,Sheet1!A:A,Sheet1!D:D)</f>
        <v>Male</v>
      </c>
      <c r="D262" s="8">
        <f>_xlfn.XLOOKUP(A:A,Sheet1!A:A,Sheet1!F:F)</f>
        <v>50</v>
      </c>
      <c r="E262" s="2" t="str">
        <f>_xlfn.XLOOKUP(A:A,Sheet1!A:A,Sheet1!G:G)</f>
        <v>Spain</v>
      </c>
      <c r="F262" s="8" t="str">
        <f>_xlfn.XLOOKUP(A:A,Sheet1!A:A,Sheet1!H:H)</f>
        <v>Spanish</v>
      </c>
      <c r="G262" s="8" t="str">
        <f>_xlfn.XLOOKUP(A:A,Sheet1!A:A,Sheet1!I:I)</f>
        <v>UI/UX Design</v>
      </c>
      <c r="H262" s="8">
        <f>_xlfn.XLOOKUP(A:A,Sheet1!A:A,Sheet1!K:K)</f>
        <v>2</v>
      </c>
      <c r="I262" s="9">
        <f>_xlfn.XLOOKUP(A:A,Sheet1!A:A,Sheet1!M:M)</f>
        <v>50</v>
      </c>
      <c r="J262" s="10">
        <f>_xlfn.XLOOKUP(A:A,Sheet1!A:A,Sheet1!O:O)</f>
        <v>1.6</v>
      </c>
      <c r="K262" t="str">
        <f>_xlfn.XLOOKUP(A:A,Sheet1!A:A,Sheet1!P:P)</f>
        <v>No</v>
      </c>
      <c r="L262" s="12">
        <f>_xlfn.XLOOKUP(A:A,Sheet1!A:A,Sheet1!S:S)</f>
        <v>0.89</v>
      </c>
    </row>
    <row r="263" spans="1:12" x14ac:dyDescent="0.35">
      <c r="A263" s="8" t="s">
        <v>572</v>
      </c>
      <c r="B263" s="2" t="str">
        <f>_xlfn.XLOOKUP(A263,Sheet1!A:A,Sheet1!B:B)</f>
        <v>Jennifer Holmes</v>
      </c>
      <c r="C263" s="2" t="str">
        <f>_xlfn.XLOOKUP(A:A,Sheet1!A:A,Sheet1!D:D)</f>
        <v>Female</v>
      </c>
      <c r="D263" s="8">
        <f>_xlfn.XLOOKUP(A:A,Sheet1!A:A,Sheet1!F:F)</f>
        <v>28</v>
      </c>
      <c r="E263" s="2" t="str">
        <f>_xlfn.XLOOKUP(A:A,Sheet1!A:A,Sheet1!G:G)</f>
        <v>France</v>
      </c>
      <c r="F263" s="8" t="str">
        <f>_xlfn.XLOOKUP(A:A,Sheet1!A:A,Sheet1!H:H)</f>
        <v>French</v>
      </c>
      <c r="G263" s="8" t="str">
        <f>_xlfn.XLOOKUP(A:A,Sheet1!A:A,Sheet1!I:I)</f>
        <v>Graphic Design</v>
      </c>
      <c r="H263" s="8">
        <f>_xlfn.XLOOKUP(A:A,Sheet1!A:A,Sheet1!K:K)</f>
        <v>1</v>
      </c>
      <c r="I263" s="9">
        <f>_xlfn.XLOOKUP(A:A,Sheet1!A:A,Sheet1!M:M)</f>
        <v>20</v>
      </c>
      <c r="J263" s="10">
        <f>_xlfn.XLOOKUP(A:A,Sheet1!A:A,Sheet1!O:O)</f>
        <v>3.6</v>
      </c>
      <c r="K263" t="str">
        <f>_xlfn.XLOOKUP(A:A,Sheet1!A:A,Sheet1!P:P)</f>
        <v>Yes</v>
      </c>
      <c r="L263" s="12">
        <f>_xlfn.XLOOKUP(A:A,Sheet1!A:A,Sheet1!S:S)</f>
        <v>0.94</v>
      </c>
    </row>
    <row r="264" spans="1:12" x14ac:dyDescent="0.35">
      <c r="A264" s="8" t="s">
        <v>574</v>
      </c>
      <c r="B264" s="2" t="str">
        <f>_xlfn.XLOOKUP(A264,Sheet1!A:A,Sheet1!B:B)</f>
        <v>Jacob Joseph</v>
      </c>
      <c r="C264" s="2" t="str">
        <f>_xlfn.XLOOKUP(A:A,Sheet1!A:A,Sheet1!D:D)</f>
        <v>Male</v>
      </c>
      <c r="D264" s="8">
        <f>_xlfn.XLOOKUP(A:A,Sheet1!A:A,Sheet1!F:F)</f>
        <v>48</v>
      </c>
      <c r="E264" s="2" t="str">
        <f>_xlfn.XLOOKUP(A:A,Sheet1!A:A,Sheet1!G:G)</f>
        <v>Italy</v>
      </c>
      <c r="F264" s="8" t="str">
        <f>_xlfn.XLOOKUP(A:A,Sheet1!A:A,Sheet1!H:H)</f>
        <v>Italian</v>
      </c>
      <c r="G264" s="8" t="str">
        <f>_xlfn.XLOOKUP(A:A,Sheet1!A:A,Sheet1!I:I)</f>
        <v>Web Development</v>
      </c>
      <c r="H264" s="8">
        <f>_xlfn.XLOOKUP(A:A,Sheet1!A:A,Sheet1!K:K)</f>
        <v>23</v>
      </c>
      <c r="I264" s="9">
        <f>_xlfn.XLOOKUP(A:A,Sheet1!A:A,Sheet1!M:M)</f>
        <v>40</v>
      </c>
      <c r="J264" s="10">
        <f>_xlfn.XLOOKUP(A:A,Sheet1!A:A,Sheet1!O:O)</f>
        <v>2.1</v>
      </c>
      <c r="K264" t="str">
        <f>_xlfn.XLOOKUP(A:A,Sheet1!A:A,Sheet1!P:P)</f>
        <v>No</v>
      </c>
      <c r="L264" s="12">
        <f>_xlfn.XLOOKUP(A:A,Sheet1!A:A,Sheet1!S:S)</f>
        <v>0.68</v>
      </c>
    </row>
    <row r="265" spans="1:12" x14ac:dyDescent="0.35">
      <c r="A265" s="8" t="s">
        <v>576</v>
      </c>
      <c r="B265" s="2" t="str">
        <f>_xlfn.XLOOKUP(A265,Sheet1!A:A,Sheet1!B:B)</f>
        <v>Jeffery Tucker</v>
      </c>
      <c r="C265" s="2" t="str">
        <f>_xlfn.XLOOKUP(A:A,Sheet1!A:A,Sheet1!D:D)</f>
        <v>Male</v>
      </c>
      <c r="D265" s="8">
        <f>_xlfn.XLOOKUP(A:A,Sheet1!A:A,Sheet1!F:F)</f>
        <v>42</v>
      </c>
      <c r="E265" s="2" t="str">
        <f>_xlfn.XLOOKUP(A:A,Sheet1!A:A,Sheet1!G:G)</f>
        <v>Germany</v>
      </c>
      <c r="F265" s="8" t="str">
        <f>_xlfn.XLOOKUP(A:A,Sheet1!A:A,Sheet1!H:H)</f>
        <v>German</v>
      </c>
      <c r="G265" s="8" t="str">
        <f>_xlfn.XLOOKUP(A:A,Sheet1!A:A,Sheet1!I:I)</f>
        <v>DevOps</v>
      </c>
      <c r="H265" s="8">
        <f>_xlfn.XLOOKUP(A:A,Sheet1!A:A,Sheet1!K:K)</f>
        <v>8</v>
      </c>
      <c r="I265" s="9">
        <f>_xlfn.XLOOKUP(A:A,Sheet1!A:A,Sheet1!M:M)</f>
        <v>30</v>
      </c>
      <c r="J265" s="10">
        <f>_xlfn.XLOOKUP(A:A,Sheet1!A:A,Sheet1!O:O)</f>
        <v>3.6</v>
      </c>
      <c r="K265" t="str">
        <f>_xlfn.XLOOKUP(A:A,Sheet1!A:A,Sheet1!P:P)</f>
        <v>Yes</v>
      </c>
      <c r="L265" s="12">
        <f>_xlfn.XLOOKUP(A:A,Sheet1!A:A,Sheet1!S:S)</f>
        <v>0.96</v>
      </c>
    </row>
    <row r="266" spans="1:12" x14ac:dyDescent="0.35">
      <c r="A266" s="8" t="s">
        <v>578</v>
      </c>
      <c r="B266" s="2" t="str">
        <f>_xlfn.XLOOKUP(A266,Sheet1!A:A,Sheet1!B:B)</f>
        <v>Jacqueline Drake</v>
      </c>
      <c r="C266" s="2" t="str">
        <f>_xlfn.XLOOKUP(A:A,Sheet1!A:A,Sheet1!D:D)</f>
        <v>Female</v>
      </c>
      <c r="D266" s="8">
        <f>_xlfn.XLOOKUP(A:A,Sheet1!A:A,Sheet1!F:F)</f>
        <v>37</v>
      </c>
      <c r="E266" s="2" t="str">
        <f>_xlfn.XLOOKUP(A:A,Sheet1!A:A,Sheet1!G:G)</f>
        <v>Canada</v>
      </c>
      <c r="F266" s="8" t="str">
        <f>_xlfn.XLOOKUP(A:A,Sheet1!A:A,Sheet1!H:H)</f>
        <v>English</v>
      </c>
      <c r="G266" s="8" t="str">
        <f>_xlfn.XLOOKUP(A:A,Sheet1!A:A,Sheet1!I:I)</f>
        <v>Data Analysis</v>
      </c>
      <c r="H266" s="8">
        <f>_xlfn.XLOOKUP(A:A,Sheet1!A:A,Sheet1!K:K)</f>
        <v>6</v>
      </c>
      <c r="I266" s="9">
        <f>_xlfn.XLOOKUP(A:A,Sheet1!A:A,Sheet1!M:M)</f>
        <v>20</v>
      </c>
      <c r="J266" s="10">
        <f>_xlfn.XLOOKUP(A:A,Sheet1!A:A,Sheet1!O:O)</f>
        <v>2.7</v>
      </c>
      <c r="K266" t="str">
        <f>_xlfn.XLOOKUP(A:A,Sheet1!A:A,Sheet1!P:P)</f>
        <v>Yes</v>
      </c>
      <c r="L266" s="12">
        <f>_xlfn.XLOOKUP(A:A,Sheet1!A:A,Sheet1!S:S)</f>
        <v>0.91</v>
      </c>
    </row>
    <row r="267" spans="1:12" x14ac:dyDescent="0.35">
      <c r="A267" s="8" t="s">
        <v>580</v>
      </c>
      <c r="B267" s="2" t="str">
        <f>_xlfn.XLOOKUP(A267,Sheet1!A:A,Sheet1!B:B)</f>
        <v>Brian Bautista</v>
      </c>
      <c r="C267" s="2" t="str">
        <f>_xlfn.XLOOKUP(A:A,Sheet1!A:A,Sheet1!D:D)</f>
        <v>Male</v>
      </c>
      <c r="D267" s="8">
        <f>_xlfn.XLOOKUP(A:A,Sheet1!A:A,Sheet1!F:F)</f>
        <v>21</v>
      </c>
      <c r="E267" s="2" t="str">
        <f>_xlfn.XLOOKUP(A:A,Sheet1!A:A,Sheet1!G:G)</f>
        <v>India</v>
      </c>
      <c r="F267" s="8" t="str">
        <f>_xlfn.XLOOKUP(A:A,Sheet1!A:A,Sheet1!H:H)</f>
        <v>Hindi</v>
      </c>
      <c r="G267" s="8" t="str">
        <f>_xlfn.XLOOKUP(A:A,Sheet1!A:A,Sheet1!I:I)</f>
        <v>Blockchain Development</v>
      </c>
      <c r="H267" s="8">
        <f>_xlfn.XLOOKUP(A:A,Sheet1!A:A,Sheet1!K:K)</f>
        <v>1</v>
      </c>
      <c r="I267" s="9">
        <f>_xlfn.XLOOKUP(A:A,Sheet1!A:A,Sheet1!M:M)</f>
        <v>100</v>
      </c>
      <c r="J267" s="10">
        <f>_xlfn.XLOOKUP(A:A,Sheet1!A:A,Sheet1!O:O)</f>
        <v>2.1</v>
      </c>
      <c r="K267" t="str">
        <f>_xlfn.XLOOKUP(A:A,Sheet1!A:A,Sheet1!P:P)</f>
        <v>Yes</v>
      </c>
      <c r="L267" s="12">
        <f>_xlfn.XLOOKUP(A:A,Sheet1!A:A,Sheet1!S:S)</f>
        <v>0.92</v>
      </c>
    </row>
    <row r="268" spans="1:12" x14ac:dyDescent="0.35">
      <c r="A268" s="8" t="s">
        <v>582</v>
      </c>
      <c r="B268" s="2" t="str">
        <f>_xlfn.XLOOKUP(A268,Sheet1!A:A,Sheet1!B:B)</f>
        <v>Dakota Wells</v>
      </c>
      <c r="C268" s="2" t="str">
        <f>_xlfn.XLOOKUP(A:A,Sheet1!A:A,Sheet1!D:D)</f>
        <v>Male</v>
      </c>
      <c r="D268" s="8">
        <f>_xlfn.XLOOKUP(A:A,Sheet1!A:A,Sheet1!F:F)</f>
        <v>50</v>
      </c>
      <c r="E268" s="2" t="str">
        <f>_xlfn.XLOOKUP(A:A,Sheet1!A:A,Sheet1!G:G)</f>
        <v>South Korea</v>
      </c>
      <c r="F268" s="8" t="str">
        <f>_xlfn.XLOOKUP(A:A,Sheet1!A:A,Sheet1!H:H)</f>
        <v>Korean</v>
      </c>
      <c r="G268" s="8" t="str">
        <f>_xlfn.XLOOKUP(A:A,Sheet1!A:A,Sheet1!I:I)</f>
        <v>Web Development</v>
      </c>
      <c r="H268" s="8">
        <f>_xlfn.XLOOKUP(A:A,Sheet1!A:A,Sheet1!K:K)</f>
        <v>19</v>
      </c>
      <c r="I268" s="9">
        <f>_xlfn.XLOOKUP(A:A,Sheet1!A:A,Sheet1!M:M)</f>
        <v>40</v>
      </c>
      <c r="J268" s="10">
        <f>_xlfn.XLOOKUP(A:A,Sheet1!A:A,Sheet1!O:O)</f>
        <v>4.9000000000000004</v>
      </c>
      <c r="K268" t="str">
        <f>_xlfn.XLOOKUP(A:A,Sheet1!A:A,Sheet1!P:P)</f>
        <v>No</v>
      </c>
      <c r="L268" s="12">
        <f>_xlfn.XLOOKUP(A:A,Sheet1!A:A,Sheet1!S:S)</f>
        <v>0.82</v>
      </c>
    </row>
    <row r="269" spans="1:12" x14ac:dyDescent="0.35">
      <c r="A269" s="8" t="s">
        <v>584</v>
      </c>
      <c r="B269" s="2" t="str">
        <f>_xlfn.XLOOKUP(A269,Sheet1!A:A,Sheet1!B:B)</f>
        <v>Julie White</v>
      </c>
      <c r="C269" s="2" t="str">
        <f>_xlfn.XLOOKUP(A:A,Sheet1!A:A,Sheet1!D:D)</f>
        <v>Female</v>
      </c>
      <c r="D269" s="8">
        <f>_xlfn.XLOOKUP(A:A,Sheet1!A:A,Sheet1!F:F)</f>
        <v>22</v>
      </c>
      <c r="E269" s="2" t="str">
        <f>_xlfn.XLOOKUP(A:A,Sheet1!A:A,Sheet1!G:G)</f>
        <v>Argentina</v>
      </c>
      <c r="F269" s="8" t="str">
        <f>_xlfn.XLOOKUP(A:A,Sheet1!A:A,Sheet1!H:H)</f>
        <v>Spanish</v>
      </c>
      <c r="G269" s="8" t="str">
        <f>_xlfn.XLOOKUP(A:A,Sheet1!A:A,Sheet1!I:I)</f>
        <v>AI</v>
      </c>
      <c r="H269" s="8">
        <f>_xlfn.XLOOKUP(A:A,Sheet1!A:A,Sheet1!K:K)</f>
        <v>2</v>
      </c>
      <c r="I269" s="9">
        <f>_xlfn.XLOOKUP(A:A,Sheet1!A:A,Sheet1!M:M)</f>
        <v>30</v>
      </c>
      <c r="J269" s="10">
        <f>_xlfn.XLOOKUP(A:A,Sheet1!A:A,Sheet1!O:O)</f>
        <v>2.1</v>
      </c>
      <c r="K269" t="str">
        <f>_xlfn.XLOOKUP(A:A,Sheet1!A:A,Sheet1!P:P)</f>
        <v>No</v>
      </c>
      <c r="L269" s="12">
        <f>_xlfn.XLOOKUP(A:A,Sheet1!A:A,Sheet1!S:S)</f>
        <v>0.79269417475728277</v>
      </c>
    </row>
    <row r="270" spans="1:12" x14ac:dyDescent="0.35">
      <c r="A270" s="8" t="s">
        <v>586</v>
      </c>
      <c r="B270" s="2" t="str">
        <f>_xlfn.XLOOKUP(A270,Sheet1!A:A,Sheet1!B:B)</f>
        <v>Barbara Keith</v>
      </c>
      <c r="C270" s="2" t="str">
        <f>_xlfn.XLOOKUP(A:A,Sheet1!A:A,Sheet1!D:D)</f>
        <v>Female</v>
      </c>
      <c r="D270" s="8">
        <f>_xlfn.XLOOKUP(A:A,Sheet1!A:A,Sheet1!F:F)</f>
        <v>39</v>
      </c>
      <c r="E270" s="2" t="str">
        <f>_xlfn.XLOOKUP(A:A,Sheet1!A:A,Sheet1!G:G)</f>
        <v>Japan</v>
      </c>
      <c r="F270" s="8" t="str">
        <f>_xlfn.XLOOKUP(A:A,Sheet1!A:A,Sheet1!H:H)</f>
        <v>Japanese</v>
      </c>
      <c r="G270" s="8" t="str">
        <f>_xlfn.XLOOKUP(A:A,Sheet1!A:A,Sheet1!I:I)</f>
        <v>Web Development</v>
      </c>
      <c r="H270" s="8">
        <f>_xlfn.XLOOKUP(A:A,Sheet1!A:A,Sheet1!K:K)</f>
        <v>21</v>
      </c>
      <c r="I270" s="9">
        <f>_xlfn.XLOOKUP(A:A,Sheet1!A:A,Sheet1!M:M)</f>
        <v>100</v>
      </c>
      <c r="J270" s="11">
        <v>0</v>
      </c>
      <c r="K270" t="str">
        <f>_xlfn.XLOOKUP(A:A,Sheet1!A:A,Sheet1!P:P)</f>
        <v>No</v>
      </c>
      <c r="L270" s="12">
        <f>_xlfn.XLOOKUP(A:A,Sheet1!A:A,Sheet1!S:S)</f>
        <v>0.91</v>
      </c>
    </row>
    <row r="271" spans="1:12" x14ac:dyDescent="0.35">
      <c r="A271" s="8" t="s">
        <v>588</v>
      </c>
      <c r="B271" s="2" t="str">
        <f>_xlfn.XLOOKUP(A271,Sheet1!A:A,Sheet1!B:B)</f>
        <v>Heather Camacho</v>
      </c>
      <c r="C271" s="2" t="str">
        <f>_xlfn.XLOOKUP(A:A,Sheet1!A:A,Sheet1!D:D)</f>
        <v>Female</v>
      </c>
      <c r="D271" s="8">
        <f>_xlfn.XLOOKUP(A:A,Sheet1!A:A,Sheet1!F:F)</f>
        <v>25</v>
      </c>
      <c r="E271" s="2" t="str">
        <f>_xlfn.XLOOKUP(A:A,Sheet1!A:A,Sheet1!G:G)</f>
        <v>Japan</v>
      </c>
      <c r="F271" s="8" t="str">
        <f>_xlfn.XLOOKUP(A:A,Sheet1!A:A,Sheet1!H:H)</f>
        <v>Japanese</v>
      </c>
      <c r="G271" s="8" t="str">
        <f>_xlfn.XLOOKUP(A:A,Sheet1!A:A,Sheet1!I:I)</f>
        <v>Machine Learning</v>
      </c>
      <c r="H271" s="8">
        <f>_xlfn.XLOOKUP(A:A,Sheet1!A:A,Sheet1!K:K)</f>
        <v>3</v>
      </c>
      <c r="I271" s="9">
        <f>_xlfn.XLOOKUP(A:A,Sheet1!A:A,Sheet1!M:M)</f>
        <v>50</v>
      </c>
      <c r="J271" s="10">
        <f>_xlfn.XLOOKUP(A:A,Sheet1!A:A,Sheet1!O:O)</f>
        <v>2.8</v>
      </c>
      <c r="K271" t="str">
        <f>_xlfn.XLOOKUP(A:A,Sheet1!A:A,Sheet1!P:P)</f>
        <v>Yes</v>
      </c>
      <c r="L271" s="12">
        <f>_xlfn.XLOOKUP(A:A,Sheet1!A:A,Sheet1!S:S)</f>
        <v>0.86</v>
      </c>
    </row>
    <row r="272" spans="1:12" x14ac:dyDescent="0.35">
      <c r="A272" s="8" t="s">
        <v>590</v>
      </c>
      <c r="B272" s="2" t="str">
        <f>_xlfn.XLOOKUP(A272,Sheet1!A:A,Sheet1!B:B)</f>
        <v>Melanie Harris</v>
      </c>
      <c r="C272" s="2" t="str">
        <f>_xlfn.XLOOKUP(A:A,Sheet1!A:A,Sheet1!D:D)</f>
        <v>Female</v>
      </c>
      <c r="D272" s="8">
        <f>_xlfn.XLOOKUP(A:A,Sheet1!A:A,Sheet1!F:F)</f>
        <v>47</v>
      </c>
      <c r="E272" s="2" t="str">
        <f>_xlfn.XLOOKUP(A:A,Sheet1!A:A,Sheet1!G:G)</f>
        <v>South Africa</v>
      </c>
      <c r="F272" s="8" t="str">
        <f>_xlfn.XLOOKUP(A:A,Sheet1!A:A,Sheet1!H:H)</f>
        <v>Afrikaans</v>
      </c>
      <c r="G272" s="8" t="str">
        <f>_xlfn.XLOOKUP(A:A,Sheet1!A:A,Sheet1!I:I)</f>
        <v>Mobile Apps</v>
      </c>
      <c r="H272" s="8">
        <f>_xlfn.XLOOKUP(A:A,Sheet1!A:A,Sheet1!K:K)</f>
        <v>14</v>
      </c>
      <c r="I272" s="9">
        <f>_xlfn.XLOOKUP(A:A,Sheet1!A:A,Sheet1!M:M)</f>
        <v>40</v>
      </c>
      <c r="J272" s="10">
        <f>_xlfn.XLOOKUP(A:A,Sheet1!A:A,Sheet1!O:O)</f>
        <v>2.5125695216907653</v>
      </c>
      <c r="K272" t="str">
        <f>_xlfn.XLOOKUP(A:A,Sheet1!A:A,Sheet1!P:P)</f>
        <v>No</v>
      </c>
      <c r="L272" s="12">
        <f>_xlfn.XLOOKUP(A:A,Sheet1!A:A,Sheet1!S:S)</f>
        <v>0.69</v>
      </c>
    </row>
    <row r="273" spans="1:12" x14ac:dyDescent="0.35">
      <c r="A273" s="8" t="s">
        <v>592</v>
      </c>
      <c r="B273" s="2" t="str">
        <f>_xlfn.XLOOKUP(A273,Sheet1!A:A,Sheet1!B:B)</f>
        <v>Jacqueline Peterson</v>
      </c>
      <c r="C273" s="2" t="str">
        <f>_xlfn.XLOOKUP(A:A,Sheet1!A:A,Sheet1!D:D)</f>
        <v>Female</v>
      </c>
      <c r="D273" s="8">
        <f>_xlfn.XLOOKUP(A:A,Sheet1!A:A,Sheet1!F:F)</f>
        <v>35</v>
      </c>
      <c r="E273" s="2" t="str">
        <f>_xlfn.XLOOKUP(A:A,Sheet1!A:A,Sheet1!G:G)</f>
        <v>South Africa</v>
      </c>
      <c r="F273" s="8" t="str">
        <f>_xlfn.XLOOKUP(A:A,Sheet1!A:A,Sheet1!H:H)</f>
        <v>Afrikaans</v>
      </c>
      <c r="G273" s="8" t="str">
        <f>_xlfn.XLOOKUP(A:A,Sheet1!A:A,Sheet1!I:I)</f>
        <v>UI/UX Design</v>
      </c>
      <c r="H273" s="8">
        <f>_xlfn.XLOOKUP(A:A,Sheet1!A:A,Sheet1!K:K)</f>
        <v>10</v>
      </c>
      <c r="I273" s="9">
        <f>_xlfn.XLOOKUP(A:A,Sheet1!A:A,Sheet1!M:M)</f>
        <v>100</v>
      </c>
      <c r="J273" s="10">
        <f>_xlfn.XLOOKUP(A:A,Sheet1!A:A,Sheet1!O:O)</f>
        <v>4.7</v>
      </c>
      <c r="K273" t="str">
        <f>_xlfn.XLOOKUP(A:A,Sheet1!A:A,Sheet1!P:P)</f>
        <v>Yes</v>
      </c>
      <c r="L273" s="12">
        <f>_xlfn.XLOOKUP(A:A,Sheet1!A:A,Sheet1!S:S)</f>
        <v>0.84</v>
      </c>
    </row>
    <row r="274" spans="1:12" x14ac:dyDescent="0.35">
      <c r="A274" s="8" t="s">
        <v>594</v>
      </c>
      <c r="B274" s="2" t="str">
        <f>_xlfn.XLOOKUP(A274,Sheet1!A:A,Sheet1!B:B)</f>
        <v>Nancy Long</v>
      </c>
      <c r="C274" s="2" t="str">
        <f>_xlfn.XLOOKUP(A:A,Sheet1!A:A,Sheet1!D:D)</f>
        <v>Female</v>
      </c>
      <c r="D274" s="8">
        <f>_xlfn.XLOOKUP(A:A,Sheet1!A:A,Sheet1!F:F)</f>
        <v>41</v>
      </c>
      <c r="E274" s="2" t="str">
        <f>_xlfn.XLOOKUP(A:A,Sheet1!A:A,Sheet1!G:G)</f>
        <v>United Kingdom</v>
      </c>
      <c r="F274" s="8" t="str">
        <f>_xlfn.XLOOKUP(A:A,Sheet1!A:A,Sheet1!H:H)</f>
        <v>English</v>
      </c>
      <c r="G274" s="8" t="str">
        <f>_xlfn.XLOOKUP(A:A,Sheet1!A:A,Sheet1!I:I)</f>
        <v>Cybersecurity</v>
      </c>
      <c r="H274" s="8">
        <f>_xlfn.XLOOKUP(A:A,Sheet1!A:A,Sheet1!K:K)</f>
        <v>5</v>
      </c>
      <c r="I274" s="9">
        <f>_xlfn.XLOOKUP(A:A,Sheet1!A:A,Sheet1!M:M)</f>
        <v>100</v>
      </c>
      <c r="J274" s="10">
        <f>_xlfn.XLOOKUP(A:A,Sheet1!A:A,Sheet1!O:O)</f>
        <v>1.3</v>
      </c>
      <c r="K274" t="str">
        <f>_xlfn.XLOOKUP(A:A,Sheet1!A:A,Sheet1!P:P)</f>
        <v>No</v>
      </c>
      <c r="L274" s="12">
        <f>_xlfn.XLOOKUP(A:A,Sheet1!A:A,Sheet1!S:S)</f>
        <v>0.6</v>
      </c>
    </row>
    <row r="275" spans="1:12" x14ac:dyDescent="0.35">
      <c r="A275" s="8" t="s">
        <v>596</v>
      </c>
      <c r="B275" s="2" t="str">
        <f>_xlfn.XLOOKUP(A275,Sheet1!A:A,Sheet1!B:B)</f>
        <v xml:space="preserve"> Juan Mitchell</v>
      </c>
      <c r="C275" s="2" t="str">
        <f>_xlfn.XLOOKUP(A:A,Sheet1!A:A,Sheet1!D:D)</f>
        <v>Male</v>
      </c>
      <c r="D275" s="8">
        <f>_xlfn.XLOOKUP(A:A,Sheet1!A:A,Sheet1!F:F)</f>
        <v>35</v>
      </c>
      <c r="E275" s="2" t="str">
        <f>_xlfn.XLOOKUP(A:A,Sheet1!A:A,Sheet1!G:G)</f>
        <v>Netherlands</v>
      </c>
      <c r="F275" s="8" t="str">
        <f>_xlfn.XLOOKUP(A:A,Sheet1!A:A,Sheet1!H:H)</f>
        <v>Dutch</v>
      </c>
      <c r="G275" s="8" t="str">
        <f>_xlfn.XLOOKUP(A:A,Sheet1!A:A,Sheet1!I:I)</f>
        <v>Blockchain Development</v>
      </c>
      <c r="H275" s="8">
        <f>_xlfn.XLOOKUP(A:A,Sheet1!A:A,Sheet1!K:K)</f>
        <v>6</v>
      </c>
      <c r="I275" s="9">
        <f>_xlfn.XLOOKUP(A:A,Sheet1!A:A,Sheet1!M:M)</f>
        <v>75</v>
      </c>
      <c r="J275" s="10">
        <f>_xlfn.XLOOKUP(A:A,Sheet1!A:A,Sheet1!O:O)</f>
        <v>1.6</v>
      </c>
      <c r="K275" t="str">
        <f>_xlfn.XLOOKUP(A:A,Sheet1!A:A,Sheet1!P:P)</f>
        <v>Yes</v>
      </c>
      <c r="L275" s="12">
        <f>_xlfn.XLOOKUP(A:A,Sheet1!A:A,Sheet1!S:S)</f>
        <v>0.97</v>
      </c>
    </row>
    <row r="276" spans="1:12" x14ac:dyDescent="0.35">
      <c r="A276" s="8" t="s">
        <v>597</v>
      </c>
      <c r="B276" s="2" t="str">
        <f>_xlfn.XLOOKUP(A276,Sheet1!A:A,Sheet1!B:B)</f>
        <v>William Gaines</v>
      </c>
      <c r="C276" s="2" t="str">
        <f>_xlfn.XLOOKUP(A:A,Sheet1!A:A,Sheet1!D:D)</f>
        <v>Male</v>
      </c>
      <c r="D276" s="8">
        <f>_xlfn.XLOOKUP(A:A,Sheet1!A:A,Sheet1!F:F)</f>
        <v>59</v>
      </c>
      <c r="E276" s="2" t="str">
        <f>_xlfn.XLOOKUP(A:A,Sheet1!A:A,Sheet1!G:G)</f>
        <v>France</v>
      </c>
      <c r="F276" s="8" t="str">
        <f>_xlfn.XLOOKUP(A:A,Sheet1!A:A,Sheet1!H:H)</f>
        <v>French</v>
      </c>
      <c r="G276" s="8" t="str">
        <f>_xlfn.XLOOKUP(A:A,Sheet1!A:A,Sheet1!I:I)</f>
        <v>Web Development</v>
      </c>
      <c r="H276" s="8">
        <f>_xlfn.XLOOKUP(A:A,Sheet1!A:A,Sheet1!K:K)</f>
        <v>21</v>
      </c>
      <c r="I276" s="9">
        <f>_xlfn.XLOOKUP(A:A,Sheet1!A:A,Sheet1!M:M)</f>
        <v>100</v>
      </c>
      <c r="J276" s="11">
        <v>0</v>
      </c>
      <c r="K276" t="str">
        <f>_xlfn.XLOOKUP(A:A,Sheet1!A:A,Sheet1!P:P)</f>
        <v>No</v>
      </c>
      <c r="L276" s="12">
        <f>_xlfn.XLOOKUP(A:A,Sheet1!A:A,Sheet1!S:S)</f>
        <v>0.7</v>
      </c>
    </row>
    <row r="277" spans="1:12" x14ac:dyDescent="0.35">
      <c r="A277" s="8" t="s">
        <v>599</v>
      </c>
      <c r="B277" s="2" t="str">
        <f>_xlfn.XLOOKUP(A277,Sheet1!A:A,Sheet1!B:B)</f>
        <v>Haley Yates</v>
      </c>
      <c r="C277" s="2" t="str">
        <f>_xlfn.XLOOKUP(A:A,Sheet1!A:A,Sheet1!D:D)</f>
        <v>Female</v>
      </c>
      <c r="D277" s="8">
        <f>_xlfn.XLOOKUP(A:A,Sheet1!A:A,Sheet1!F:F)</f>
        <v>26</v>
      </c>
      <c r="E277" s="2" t="str">
        <f>_xlfn.XLOOKUP(A:A,Sheet1!A:A,Sheet1!G:G)</f>
        <v>China</v>
      </c>
      <c r="F277" s="8" t="str">
        <f>_xlfn.XLOOKUP(A:A,Sheet1!A:A,Sheet1!H:H)</f>
        <v>Mandarin</v>
      </c>
      <c r="G277" s="8" t="str">
        <f>_xlfn.XLOOKUP(A:A,Sheet1!A:A,Sheet1!I:I)</f>
        <v>UI/UX Design</v>
      </c>
      <c r="H277" s="8">
        <f>_xlfn.XLOOKUP(A:A,Sheet1!A:A,Sheet1!K:K)</f>
        <v>4</v>
      </c>
      <c r="I277" s="9">
        <f>_xlfn.XLOOKUP(A:A,Sheet1!A:A,Sheet1!M:M)</f>
        <v>100</v>
      </c>
      <c r="J277" s="10">
        <f>_xlfn.XLOOKUP(A:A,Sheet1!A:A,Sheet1!O:O)</f>
        <v>3.6</v>
      </c>
      <c r="K277" t="str">
        <f>_xlfn.XLOOKUP(A:A,Sheet1!A:A,Sheet1!P:P)</f>
        <v>No</v>
      </c>
      <c r="L277" s="12">
        <f>_xlfn.XLOOKUP(A:A,Sheet1!A:A,Sheet1!S:S)</f>
        <v>0.81</v>
      </c>
    </row>
    <row r="278" spans="1:12" x14ac:dyDescent="0.35">
      <c r="A278" s="8" t="s">
        <v>601</v>
      </c>
      <c r="B278" s="2" t="str">
        <f>_xlfn.XLOOKUP(A278,Sheet1!A:A,Sheet1!B:B)</f>
        <v>Richard Mcguire</v>
      </c>
      <c r="C278" s="2" t="str">
        <f>_xlfn.XLOOKUP(A:A,Sheet1!A:A,Sheet1!D:D)</f>
        <v>Male</v>
      </c>
      <c r="D278" s="8">
        <f>_xlfn.XLOOKUP(A:A,Sheet1!A:A,Sheet1!F:F)</f>
        <v>44</v>
      </c>
      <c r="E278" s="2" t="str">
        <f>_xlfn.XLOOKUP(A:A,Sheet1!A:A,Sheet1!G:G)</f>
        <v>Russia</v>
      </c>
      <c r="F278" s="8" t="str">
        <f>_xlfn.XLOOKUP(A:A,Sheet1!A:A,Sheet1!H:H)</f>
        <v>Russian</v>
      </c>
      <c r="G278" s="8" t="str">
        <f>_xlfn.XLOOKUP(A:A,Sheet1!A:A,Sheet1!I:I)</f>
        <v>Machine Learning</v>
      </c>
      <c r="H278" s="8">
        <f>_xlfn.XLOOKUP(A:A,Sheet1!A:A,Sheet1!K:K)</f>
        <v>18</v>
      </c>
      <c r="I278" s="9">
        <f>_xlfn.XLOOKUP(A:A,Sheet1!A:A,Sheet1!M:M)</f>
        <v>20</v>
      </c>
      <c r="J278" s="10">
        <f>_xlfn.XLOOKUP(A:A,Sheet1!A:A,Sheet1!O:O)</f>
        <v>4.7</v>
      </c>
      <c r="K278" t="str">
        <f>_xlfn.XLOOKUP(A:A,Sheet1!A:A,Sheet1!P:P)</f>
        <v>Yes</v>
      </c>
      <c r="L278" s="12">
        <f>_xlfn.XLOOKUP(A:A,Sheet1!A:A,Sheet1!S:S)</f>
        <v>0.88</v>
      </c>
    </row>
    <row r="279" spans="1:12" x14ac:dyDescent="0.35">
      <c r="A279" s="8" t="s">
        <v>603</v>
      </c>
      <c r="B279" s="2" t="str">
        <f>_xlfn.XLOOKUP(A279,Sheet1!A:A,Sheet1!B:B)</f>
        <v>Stephanie Fisher</v>
      </c>
      <c r="C279" s="2" t="str">
        <f>_xlfn.XLOOKUP(A:A,Sheet1!A:A,Sheet1!D:D)</f>
        <v>Female</v>
      </c>
      <c r="D279" s="8">
        <f>_xlfn.XLOOKUP(A:A,Sheet1!A:A,Sheet1!F:F)</f>
        <v>31</v>
      </c>
      <c r="E279" s="2" t="str">
        <f>_xlfn.XLOOKUP(A:A,Sheet1!A:A,Sheet1!G:G)</f>
        <v>South Africa</v>
      </c>
      <c r="F279" s="8" t="str">
        <f>_xlfn.XLOOKUP(A:A,Sheet1!A:A,Sheet1!H:H)</f>
        <v>Afrikaans</v>
      </c>
      <c r="G279" s="8" t="str">
        <f>_xlfn.XLOOKUP(A:A,Sheet1!A:A,Sheet1!I:I)</f>
        <v>UI/UX Design</v>
      </c>
      <c r="H279" s="8">
        <f>_xlfn.XLOOKUP(A:A,Sheet1!A:A,Sheet1!K:K)</f>
        <v>12</v>
      </c>
      <c r="I279" s="9">
        <f>_xlfn.XLOOKUP(A:A,Sheet1!A:A,Sheet1!M:M)</f>
        <v>40</v>
      </c>
      <c r="J279" s="10">
        <f>_xlfn.XLOOKUP(A:A,Sheet1!A:A,Sheet1!O:O)</f>
        <v>2.5125695216907653</v>
      </c>
      <c r="K279" t="str">
        <f>_xlfn.XLOOKUP(A:A,Sheet1!A:A,Sheet1!P:P)</f>
        <v>Yes</v>
      </c>
      <c r="L279" s="12">
        <f>_xlfn.XLOOKUP(A:A,Sheet1!A:A,Sheet1!S:S)</f>
        <v>1</v>
      </c>
    </row>
    <row r="280" spans="1:12" x14ac:dyDescent="0.35">
      <c r="A280" s="8" t="s">
        <v>605</v>
      </c>
      <c r="B280" s="2" t="str">
        <f>_xlfn.XLOOKUP(A280,Sheet1!A:A,Sheet1!B:B)</f>
        <v xml:space="preserve">Anthony Goodwin </v>
      </c>
      <c r="C280" s="2" t="str">
        <f>_xlfn.XLOOKUP(A:A,Sheet1!A:A,Sheet1!D:D)</f>
        <v>Male</v>
      </c>
      <c r="D280" s="8">
        <f>_xlfn.XLOOKUP(A:A,Sheet1!A:A,Sheet1!F:F)</f>
        <v>60</v>
      </c>
      <c r="E280" s="2" t="str">
        <f>_xlfn.XLOOKUP(A:A,Sheet1!A:A,Sheet1!G:G)</f>
        <v>Turkey</v>
      </c>
      <c r="F280" s="8" t="str">
        <f>_xlfn.XLOOKUP(A:A,Sheet1!A:A,Sheet1!H:H)</f>
        <v>Turkish</v>
      </c>
      <c r="G280" s="8" t="str">
        <f>_xlfn.XLOOKUP(A:A,Sheet1!A:A,Sheet1!I:I)</f>
        <v>Data Analysis</v>
      </c>
      <c r="H280" s="8">
        <f>_xlfn.XLOOKUP(A:A,Sheet1!A:A,Sheet1!K:K)</f>
        <v>6</v>
      </c>
      <c r="I280" s="9">
        <f>_xlfn.XLOOKUP(A:A,Sheet1!A:A,Sheet1!M:M)</f>
        <v>40</v>
      </c>
      <c r="J280" s="10">
        <f>_xlfn.XLOOKUP(A:A,Sheet1!A:A,Sheet1!O:O)</f>
        <v>3.2</v>
      </c>
      <c r="K280" t="str">
        <f>_xlfn.XLOOKUP(A:A,Sheet1!A:A,Sheet1!P:P)</f>
        <v>No</v>
      </c>
      <c r="L280" s="12">
        <f>_xlfn.XLOOKUP(A:A,Sheet1!A:A,Sheet1!S:S)</f>
        <v>0.95</v>
      </c>
    </row>
    <row r="281" spans="1:12" x14ac:dyDescent="0.35">
      <c r="A281" s="8" t="s">
        <v>606</v>
      </c>
      <c r="B281" s="2" t="str">
        <f>_xlfn.XLOOKUP(A281,Sheet1!A:A,Sheet1!B:B)</f>
        <v>Meagan Walters</v>
      </c>
      <c r="C281" s="2" t="str">
        <f>_xlfn.XLOOKUP(A:A,Sheet1!A:A,Sheet1!D:D)</f>
        <v>Female</v>
      </c>
      <c r="D281" s="8">
        <f>_xlfn.XLOOKUP(A:A,Sheet1!A:A,Sheet1!F:F)</f>
        <v>23</v>
      </c>
      <c r="E281" s="2" t="str">
        <f>_xlfn.XLOOKUP(A:A,Sheet1!A:A,Sheet1!G:G)</f>
        <v>United Kingdom</v>
      </c>
      <c r="F281" s="8" t="str">
        <f>_xlfn.XLOOKUP(A:A,Sheet1!A:A,Sheet1!H:H)</f>
        <v>English</v>
      </c>
      <c r="G281" s="8" t="str">
        <f>_xlfn.XLOOKUP(A:A,Sheet1!A:A,Sheet1!I:I)</f>
        <v>Blockchain Development</v>
      </c>
      <c r="H281" s="8">
        <f>_xlfn.XLOOKUP(A:A,Sheet1!A:A,Sheet1!K:K)</f>
        <v>4</v>
      </c>
      <c r="I281" s="9">
        <f>_xlfn.XLOOKUP(A:A,Sheet1!A:A,Sheet1!M:M)</f>
        <v>20</v>
      </c>
      <c r="J281" s="10">
        <f>_xlfn.XLOOKUP(A:A,Sheet1!A:A,Sheet1!O:O)</f>
        <v>2.5125695216907653</v>
      </c>
      <c r="K281" t="str">
        <f>_xlfn.XLOOKUP(A:A,Sheet1!A:A,Sheet1!P:P)</f>
        <v>No</v>
      </c>
      <c r="L281" s="12">
        <f>_xlfn.XLOOKUP(A:A,Sheet1!A:A,Sheet1!S:S)</f>
        <v>0.71</v>
      </c>
    </row>
    <row r="282" spans="1:12" x14ac:dyDescent="0.35">
      <c r="A282" s="8" t="s">
        <v>608</v>
      </c>
      <c r="B282" s="2" t="str">
        <f>_xlfn.XLOOKUP(A282,Sheet1!A:A,Sheet1!B:B)</f>
        <v>David Powell</v>
      </c>
      <c r="C282" s="2" t="str">
        <f>_xlfn.XLOOKUP(A:A,Sheet1!A:A,Sheet1!D:D)</f>
        <v>Male</v>
      </c>
      <c r="D282" s="8">
        <f>_xlfn.XLOOKUP(A:A,Sheet1!A:A,Sheet1!F:F)</f>
        <v>42</v>
      </c>
      <c r="E282" s="2" t="str">
        <f>_xlfn.XLOOKUP(A:A,Sheet1!A:A,Sheet1!G:G)</f>
        <v>Indonesia</v>
      </c>
      <c r="F282" s="8" t="str">
        <f>_xlfn.XLOOKUP(A:A,Sheet1!A:A,Sheet1!H:H)</f>
        <v>Indonesian</v>
      </c>
      <c r="G282" s="8" t="str">
        <f>_xlfn.XLOOKUP(A:A,Sheet1!A:A,Sheet1!I:I)</f>
        <v>UI/UX Design</v>
      </c>
      <c r="H282" s="8">
        <f>_xlfn.XLOOKUP(A:A,Sheet1!A:A,Sheet1!K:K)</f>
        <v>13</v>
      </c>
      <c r="I282" s="9">
        <f>_xlfn.XLOOKUP(A:A,Sheet1!A:A,Sheet1!M:M)</f>
        <v>20</v>
      </c>
      <c r="J282" s="10">
        <f>_xlfn.XLOOKUP(A:A,Sheet1!A:A,Sheet1!O:O)</f>
        <v>4.7</v>
      </c>
      <c r="K282" t="str">
        <f>_xlfn.XLOOKUP(A:A,Sheet1!A:A,Sheet1!P:P)</f>
        <v>No</v>
      </c>
      <c r="L282" s="12">
        <f>_xlfn.XLOOKUP(A:A,Sheet1!A:A,Sheet1!S:S)</f>
        <v>0.85</v>
      </c>
    </row>
    <row r="283" spans="1:12" x14ac:dyDescent="0.35">
      <c r="A283" s="8" t="s">
        <v>610</v>
      </c>
      <c r="B283" s="2" t="str">
        <f>_xlfn.XLOOKUP(A283,Sheet1!A:A,Sheet1!B:B)</f>
        <v>Kelly Jones</v>
      </c>
      <c r="C283" s="2" t="str">
        <f>_xlfn.XLOOKUP(A:A,Sheet1!A:A,Sheet1!D:D)</f>
        <v>Female</v>
      </c>
      <c r="D283" s="8">
        <f>_xlfn.XLOOKUP(A:A,Sheet1!A:A,Sheet1!F:F)</f>
        <v>48</v>
      </c>
      <c r="E283" s="2" t="str">
        <f>_xlfn.XLOOKUP(A:A,Sheet1!A:A,Sheet1!G:G)</f>
        <v>India</v>
      </c>
      <c r="F283" s="8" t="str">
        <f>_xlfn.XLOOKUP(A:A,Sheet1!A:A,Sheet1!H:H)</f>
        <v>Hindi</v>
      </c>
      <c r="G283" s="8" t="str">
        <f>_xlfn.XLOOKUP(A:A,Sheet1!A:A,Sheet1!I:I)</f>
        <v>Mobile Apps</v>
      </c>
      <c r="H283" s="8">
        <f>_xlfn.XLOOKUP(A:A,Sheet1!A:A,Sheet1!K:K)</f>
        <v>6</v>
      </c>
      <c r="I283" s="9">
        <f>_xlfn.XLOOKUP(A:A,Sheet1!A:A,Sheet1!M:M)</f>
        <v>30</v>
      </c>
      <c r="J283" s="10">
        <f>_xlfn.XLOOKUP(A:A,Sheet1!A:A,Sheet1!O:O)</f>
        <v>2.5125695216907653</v>
      </c>
      <c r="K283" t="str">
        <f>_xlfn.XLOOKUP(A:A,Sheet1!A:A,Sheet1!P:P)</f>
        <v>No</v>
      </c>
      <c r="L283" s="12">
        <f>_xlfn.XLOOKUP(A:A,Sheet1!A:A,Sheet1!S:S)</f>
        <v>0.96</v>
      </c>
    </row>
    <row r="284" spans="1:12" x14ac:dyDescent="0.35">
      <c r="A284" s="8" t="s">
        <v>612</v>
      </c>
      <c r="B284" s="2" t="str">
        <f>_xlfn.XLOOKUP(A284,Sheet1!A:A,Sheet1!B:B)</f>
        <v xml:space="preserve"> Michael Aguilar</v>
      </c>
      <c r="C284" s="2" t="str">
        <f>_xlfn.XLOOKUP(A:A,Sheet1!A:A,Sheet1!D:D)</f>
        <v>Male</v>
      </c>
      <c r="D284" s="8">
        <f>_xlfn.XLOOKUP(A:A,Sheet1!A:A,Sheet1!F:F)</f>
        <v>42</v>
      </c>
      <c r="E284" s="2" t="str">
        <f>_xlfn.XLOOKUP(A:A,Sheet1!A:A,Sheet1!G:G)</f>
        <v>Netherlands</v>
      </c>
      <c r="F284" s="8" t="str">
        <f>_xlfn.XLOOKUP(A:A,Sheet1!A:A,Sheet1!H:H)</f>
        <v>Dutch</v>
      </c>
      <c r="G284" s="8" t="str">
        <f>_xlfn.XLOOKUP(A:A,Sheet1!A:A,Sheet1!I:I)</f>
        <v>Graphic Design</v>
      </c>
      <c r="H284" s="8">
        <f>_xlfn.XLOOKUP(A:A,Sheet1!A:A,Sheet1!K:K)</f>
        <v>10</v>
      </c>
      <c r="I284" s="9">
        <f>_xlfn.XLOOKUP(A:A,Sheet1!A:A,Sheet1!M:M)</f>
        <v>20</v>
      </c>
      <c r="J284" s="10">
        <f>_xlfn.XLOOKUP(A:A,Sheet1!A:A,Sheet1!O:O)</f>
        <v>2.4</v>
      </c>
      <c r="K284" t="str">
        <f>_xlfn.XLOOKUP(A:A,Sheet1!A:A,Sheet1!P:P)</f>
        <v>Yes</v>
      </c>
      <c r="L284" s="12">
        <f>_xlfn.XLOOKUP(A:A,Sheet1!A:A,Sheet1!S:S)</f>
        <v>0.92</v>
      </c>
    </row>
    <row r="285" spans="1:12" x14ac:dyDescent="0.35">
      <c r="A285" s="8" t="s">
        <v>613</v>
      </c>
      <c r="B285" s="2" t="str">
        <f>_xlfn.XLOOKUP(A285,Sheet1!A:A,Sheet1!B:B)</f>
        <v>Alex Novak</v>
      </c>
      <c r="C285" s="2" t="str">
        <f>_xlfn.XLOOKUP(A:A,Sheet1!A:A,Sheet1!D:D)</f>
        <v>Male</v>
      </c>
      <c r="D285" s="8">
        <f>_xlfn.XLOOKUP(A:A,Sheet1!A:A,Sheet1!F:F)</f>
        <v>52</v>
      </c>
      <c r="E285" s="2" t="str">
        <f>_xlfn.XLOOKUP(A:A,Sheet1!A:A,Sheet1!G:G)</f>
        <v>South Korea</v>
      </c>
      <c r="F285" s="8" t="str">
        <f>_xlfn.XLOOKUP(A:A,Sheet1!A:A,Sheet1!H:H)</f>
        <v>Korean</v>
      </c>
      <c r="G285" s="8" t="str">
        <f>_xlfn.XLOOKUP(A:A,Sheet1!A:A,Sheet1!I:I)</f>
        <v>Cybersecurity</v>
      </c>
      <c r="H285" s="8">
        <f>_xlfn.XLOOKUP(A:A,Sheet1!A:A,Sheet1!K:K)</f>
        <v>20</v>
      </c>
      <c r="I285" s="9">
        <f>_xlfn.XLOOKUP(A:A,Sheet1!A:A,Sheet1!M:M)</f>
        <v>50</v>
      </c>
      <c r="J285" s="10">
        <f>_xlfn.XLOOKUP(A:A,Sheet1!A:A,Sheet1!O:O)</f>
        <v>2.5125695216907653</v>
      </c>
      <c r="K285" t="str">
        <f>_xlfn.XLOOKUP(A:A,Sheet1!A:A,Sheet1!P:P)</f>
        <v>No</v>
      </c>
      <c r="L285" s="12">
        <f>_xlfn.XLOOKUP(A:A,Sheet1!A:A,Sheet1!S:S)</f>
        <v>0.79</v>
      </c>
    </row>
    <row r="286" spans="1:12" x14ac:dyDescent="0.35">
      <c r="A286" s="8" t="s">
        <v>615</v>
      </c>
      <c r="B286" s="2" t="str">
        <f>_xlfn.XLOOKUP(A286,Sheet1!A:A,Sheet1!B:B)</f>
        <v>Ann Contreras</v>
      </c>
      <c r="C286" s="2" t="str">
        <f>_xlfn.XLOOKUP(A:A,Sheet1!A:A,Sheet1!D:D)</f>
        <v>Female</v>
      </c>
      <c r="D286" s="8">
        <f>_xlfn.XLOOKUP(A:A,Sheet1!A:A,Sheet1!F:F)</f>
        <v>55</v>
      </c>
      <c r="E286" s="2" t="str">
        <f>_xlfn.XLOOKUP(A:A,Sheet1!A:A,Sheet1!G:G)</f>
        <v>Japan</v>
      </c>
      <c r="F286" s="8" t="str">
        <f>_xlfn.XLOOKUP(A:A,Sheet1!A:A,Sheet1!H:H)</f>
        <v>Japanese</v>
      </c>
      <c r="G286" s="8" t="str">
        <f>_xlfn.XLOOKUP(A:A,Sheet1!A:A,Sheet1!I:I)</f>
        <v>Web Development</v>
      </c>
      <c r="H286" s="8">
        <f>_xlfn.XLOOKUP(A:A,Sheet1!A:A,Sheet1!K:K)</f>
        <v>20</v>
      </c>
      <c r="I286" s="9">
        <f>_xlfn.XLOOKUP(A:A,Sheet1!A:A,Sheet1!M:M)</f>
        <v>75</v>
      </c>
      <c r="J286" s="10">
        <f>_xlfn.XLOOKUP(A:A,Sheet1!A:A,Sheet1!O:O)</f>
        <v>2.9</v>
      </c>
      <c r="K286" t="str">
        <f>_xlfn.XLOOKUP(A:A,Sheet1!A:A,Sheet1!P:P)</f>
        <v>No</v>
      </c>
      <c r="L286" s="12">
        <f>_xlfn.XLOOKUP(A:A,Sheet1!A:A,Sheet1!S:S)</f>
        <v>0.79269417475728277</v>
      </c>
    </row>
    <row r="287" spans="1:12" x14ac:dyDescent="0.35">
      <c r="A287" s="8" t="s">
        <v>617</v>
      </c>
      <c r="B287" s="2" t="str">
        <f>_xlfn.XLOOKUP(A287,Sheet1!A:A,Sheet1!B:B)</f>
        <v>Mary Reed</v>
      </c>
      <c r="C287" s="2" t="str">
        <f>_xlfn.XLOOKUP(A:A,Sheet1!A:A,Sheet1!D:D)</f>
        <v>Female</v>
      </c>
      <c r="D287" s="8">
        <f>_xlfn.XLOOKUP(A:A,Sheet1!A:A,Sheet1!F:F)</f>
        <v>58</v>
      </c>
      <c r="E287" s="2" t="str">
        <f>_xlfn.XLOOKUP(A:A,Sheet1!A:A,Sheet1!G:G)</f>
        <v>South Africa</v>
      </c>
      <c r="F287" s="8" t="str">
        <f>_xlfn.XLOOKUP(A:A,Sheet1!A:A,Sheet1!H:H)</f>
        <v>Afrikaans</v>
      </c>
      <c r="G287" s="8" t="str">
        <f>_xlfn.XLOOKUP(A:A,Sheet1!A:A,Sheet1!I:I)</f>
        <v>Cybersecurity</v>
      </c>
      <c r="H287" s="8">
        <f>_xlfn.XLOOKUP(A:A,Sheet1!A:A,Sheet1!K:K)</f>
        <v>11</v>
      </c>
      <c r="I287" s="9">
        <f>_xlfn.XLOOKUP(A:A,Sheet1!A:A,Sheet1!M:M)</f>
        <v>50</v>
      </c>
      <c r="J287" s="11">
        <v>0</v>
      </c>
      <c r="K287" t="str">
        <f>_xlfn.XLOOKUP(A:A,Sheet1!A:A,Sheet1!P:P)</f>
        <v>No</v>
      </c>
      <c r="L287" s="12">
        <f>_xlfn.XLOOKUP(A:A,Sheet1!A:A,Sheet1!S:S)</f>
        <v>0.79269417475728277</v>
      </c>
    </row>
    <row r="288" spans="1:12" x14ac:dyDescent="0.35">
      <c r="A288" s="8" t="s">
        <v>619</v>
      </c>
      <c r="B288" s="2" t="str">
        <f>_xlfn.XLOOKUP(A288,Sheet1!A:A,Sheet1!B:B)</f>
        <v>Lauren Ross</v>
      </c>
      <c r="C288" s="2" t="str">
        <f>_xlfn.XLOOKUP(A:A,Sheet1!A:A,Sheet1!D:D)</f>
        <v>Female</v>
      </c>
      <c r="D288" s="8">
        <f>_xlfn.XLOOKUP(A:A,Sheet1!A:A,Sheet1!F:F)</f>
        <v>46</v>
      </c>
      <c r="E288" s="2" t="str">
        <f>_xlfn.XLOOKUP(A:A,Sheet1!A:A,Sheet1!G:G)</f>
        <v>South Korea</v>
      </c>
      <c r="F288" s="8" t="str">
        <f>_xlfn.XLOOKUP(A:A,Sheet1!A:A,Sheet1!H:H)</f>
        <v>Korean</v>
      </c>
      <c r="G288" s="8" t="str">
        <f>_xlfn.XLOOKUP(A:A,Sheet1!A:A,Sheet1!I:I)</f>
        <v>Machine Learning</v>
      </c>
      <c r="H288" s="8">
        <f>_xlfn.XLOOKUP(A:A,Sheet1!A:A,Sheet1!K:K)</f>
        <v>12</v>
      </c>
      <c r="I288" s="9">
        <f>_xlfn.XLOOKUP(A:A,Sheet1!A:A,Sheet1!M:M)</f>
        <v>20</v>
      </c>
      <c r="J288" s="11">
        <v>0</v>
      </c>
      <c r="K288" t="str">
        <f>_xlfn.XLOOKUP(A:A,Sheet1!A:A,Sheet1!P:P)</f>
        <v>No</v>
      </c>
      <c r="L288" s="12">
        <f>_xlfn.XLOOKUP(A:A,Sheet1!A:A,Sheet1!S:S)</f>
        <v>0.89</v>
      </c>
    </row>
    <row r="289" spans="1:12" x14ac:dyDescent="0.35">
      <c r="A289" s="8" t="s">
        <v>621</v>
      </c>
      <c r="B289" s="2" t="str">
        <f>_xlfn.XLOOKUP(A289,Sheet1!A:A,Sheet1!B:B)</f>
        <v>Candice Wise</v>
      </c>
      <c r="C289" s="2" t="str">
        <f>_xlfn.XLOOKUP(A:A,Sheet1!A:A,Sheet1!D:D)</f>
        <v>Female</v>
      </c>
      <c r="D289" s="8">
        <f>_xlfn.XLOOKUP(A:A,Sheet1!A:A,Sheet1!F:F)</f>
        <v>45</v>
      </c>
      <c r="E289" s="2" t="str">
        <f>_xlfn.XLOOKUP(A:A,Sheet1!A:A,Sheet1!G:G)</f>
        <v>Spain</v>
      </c>
      <c r="F289" s="8" t="str">
        <f>_xlfn.XLOOKUP(A:A,Sheet1!A:A,Sheet1!H:H)</f>
        <v>Spanish</v>
      </c>
      <c r="G289" s="8" t="str">
        <f>_xlfn.XLOOKUP(A:A,Sheet1!A:A,Sheet1!I:I)</f>
        <v>Machine Learning</v>
      </c>
      <c r="H289" s="8">
        <f>_xlfn.XLOOKUP(A:A,Sheet1!A:A,Sheet1!K:K)</f>
        <v>1</v>
      </c>
      <c r="I289" s="9">
        <f>_xlfn.XLOOKUP(A:A,Sheet1!A:A,Sheet1!M:M)</f>
        <v>100</v>
      </c>
      <c r="J289" s="10">
        <f>_xlfn.XLOOKUP(A:A,Sheet1!A:A,Sheet1!O:O)</f>
        <v>1.5</v>
      </c>
      <c r="K289" t="str">
        <f>_xlfn.XLOOKUP(A:A,Sheet1!A:A,Sheet1!P:P)</f>
        <v>Yes</v>
      </c>
      <c r="L289" s="12">
        <f>_xlfn.XLOOKUP(A:A,Sheet1!A:A,Sheet1!S:S)</f>
        <v>1</v>
      </c>
    </row>
    <row r="290" spans="1:12" x14ac:dyDescent="0.35">
      <c r="A290" s="8" t="s">
        <v>623</v>
      </c>
      <c r="B290" s="2" t="str">
        <f>_xlfn.XLOOKUP(A290,Sheet1!A:A,Sheet1!B:B)</f>
        <v>Joyce Humphrey</v>
      </c>
      <c r="C290" s="2" t="str">
        <f>_xlfn.XLOOKUP(A:A,Sheet1!A:A,Sheet1!D:D)</f>
        <v>Female</v>
      </c>
      <c r="D290" s="8">
        <f>_xlfn.XLOOKUP(A:A,Sheet1!A:A,Sheet1!F:F)</f>
        <v>56</v>
      </c>
      <c r="E290" s="2" t="str">
        <f>_xlfn.XLOOKUP(A:A,Sheet1!A:A,Sheet1!G:G)</f>
        <v>India</v>
      </c>
      <c r="F290" s="8" t="str">
        <f>_xlfn.XLOOKUP(A:A,Sheet1!A:A,Sheet1!H:H)</f>
        <v>Hindi</v>
      </c>
      <c r="G290" s="8" t="str">
        <f>_xlfn.XLOOKUP(A:A,Sheet1!A:A,Sheet1!I:I)</f>
        <v>Machine Learning</v>
      </c>
      <c r="H290" s="8">
        <f>_xlfn.XLOOKUP(A:A,Sheet1!A:A,Sheet1!K:K)</f>
        <v>2</v>
      </c>
      <c r="I290" s="9">
        <f>_xlfn.XLOOKUP(A:A,Sheet1!A:A,Sheet1!M:M)</f>
        <v>30</v>
      </c>
      <c r="J290" s="10">
        <f>_xlfn.XLOOKUP(A:A,Sheet1!A:A,Sheet1!O:O)</f>
        <v>1.9</v>
      </c>
      <c r="K290" t="str">
        <f>_xlfn.XLOOKUP(A:A,Sheet1!A:A,Sheet1!P:P)</f>
        <v>Yes</v>
      </c>
      <c r="L290" s="12">
        <f>_xlfn.XLOOKUP(A:A,Sheet1!A:A,Sheet1!S:S)</f>
        <v>0.81</v>
      </c>
    </row>
    <row r="291" spans="1:12" x14ac:dyDescent="0.35">
      <c r="A291" s="8" t="s">
        <v>625</v>
      </c>
      <c r="B291" s="2" t="str">
        <f>_xlfn.XLOOKUP(A291,Sheet1!A:A,Sheet1!B:B)</f>
        <v>James Carr</v>
      </c>
      <c r="C291" s="2" t="str">
        <f>_xlfn.XLOOKUP(A:A,Sheet1!A:A,Sheet1!D:D)</f>
        <v>Male</v>
      </c>
      <c r="D291" s="8">
        <f>_xlfn.XLOOKUP(A:A,Sheet1!A:A,Sheet1!F:F)</f>
        <v>44</v>
      </c>
      <c r="E291" s="2" t="str">
        <f>_xlfn.XLOOKUP(A:A,Sheet1!A:A,Sheet1!G:G)</f>
        <v>United Kingdom</v>
      </c>
      <c r="F291" s="8" t="str">
        <f>_xlfn.XLOOKUP(A:A,Sheet1!A:A,Sheet1!H:H)</f>
        <v>English</v>
      </c>
      <c r="G291" s="8" t="str">
        <f>_xlfn.XLOOKUP(A:A,Sheet1!A:A,Sheet1!I:I)</f>
        <v>Blockchain Development</v>
      </c>
      <c r="H291" s="8">
        <f>_xlfn.XLOOKUP(A:A,Sheet1!A:A,Sheet1!K:K)</f>
        <v>13</v>
      </c>
      <c r="I291" s="9">
        <f>_xlfn.XLOOKUP(A:A,Sheet1!A:A,Sheet1!M:M)</f>
        <v>100</v>
      </c>
      <c r="J291" s="10">
        <f>_xlfn.XLOOKUP(A:A,Sheet1!A:A,Sheet1!O:O)</f>
        <v>3.1</v>
      </c>
      <c r="K291" t="str">
        <f>_xlfn.XLOOKUP(A:A,Sheet1!A:A,Sheet1!P:P)</f>
        <v>Yes</v>
      </c>
      <c r="L291" s="12">
        <f>_xlfn.XLOOKUP(A:A,Sheet1!A:A,Sheet1!S:S)</f>
        <v>0.95</v>
      </c>
    </row>
    <row r="292" spans="1:12" x14ac:dyDescent="0.35">
      <c r="A292" s="8" t="s">
        <v>627</v>
      </c>
      <c r="B292" s="2" t="str">
        <f>_xlfn.XLOOKUP(A292,Sheet1!A:A,Sheet1!B:B)</f>
        <v>Joseph Mendoza</v>
      </c>
      <c r="C292" s="2" t="str">
        <f>_xlfn.XLOOKUP(A:A,Sheet1!A:A,Sheet1!D:D)</f>
        <v>Male</v>
      </c>
      <c r="D292" s="8">
        <f>_xlfn.XLOOKUP(A:A,Sheet1!A:A,Sheet1!F:F)</f>
        <v>46</v>
      </c>
      <c r="E292" s="2" t="str">
        <f>_xlfn.XLOOKUP(A:A,Sheet1!A:A,Sheet1!G:G)</f>
        <v>Indonesia</v>
      </c>
      <c r="F292" s="8" t="str">
        <f>_xlfn.XLOOKUP(A:A,Sheet1!A:A,Sheet1!H:H)</f>
        <v>Indonesian</v>
      </c>
      <c r="G292" s="8" t="str">
        <f>_xlfn.XLOOKUP(A:A,Sheet1!A:A,Sheet1!I:I)</f>
        <v>UI/UX Design</v>
      </c>
      <c r="H292" s="8">
        <f>_xlfn.XLOOKUP(A:A,Sheet1!A:A,Sheet1!K:K)</f>
        <v>0</v>
      </c>
      <c r="I292" s="9">
        <f>_xlfn.XLOOKUP(A:A,Sheet1!A:A,Sheet1!M:M)</f>
        <v>40</v>
      </c>
      <c r="J292" s="10">
        <f>_xlfn.XLOOKUP(A:A,Sheet1!A:A,Sheet1!O:O)</f>
        <v>1.8</v>
      </c>
      <c r="K292" t="str">
        <f>_xlfn.XLOOKUP(A:A,Sheet1!A:A,Sheet1!P:P)</f>
        <v>No</v>
      </c>
      <c r="L292" s="12">
        <f>_xlfn.XLOOKUP(A:A,Sheet1!A:A,Sheet1!S:S)</f>
        <v>0.88</v>
      </c>
    </row>
    <row r="293" spans="1:12" x14ac:dyDescent="0.35">
      <c r="A293" s="8" t="s">
        <v>629</v>
      </c>
      <c r="B293" s="2" t="str">
        <f>_xlfn.XLOOKUP(A293,Sheet1!A:A,Sheet1!B:B)</f>
        <v>Cathy Baldwin</v>
      </c>
      <c r="C293" s="2" t="str">
        <f>_xlfn.XLOOKUP(A:A,Sheet1!A:A,Sheet1!D:D)</f>
        <v>Female</v>
      </c>
      <c r="D293" s="8">
        <f>_xlfn.XLOOKUP(A:A,Sheet1!A:A,Sheet1!F:F)</f>
        <v>27</v>
      </c>
      <c r="E293" s="2" t="str">
        <f>_xlfn.XLOOKUP(A:A,Sheet1!A:A,Sheet1!G:G)</f>
        <v>Japan</v>
      </c>
      <c r="F293" s="8" t="str">
        <f>_xlfn.XLOOKUP(A:A,Sheet1!A:A,Sheet1!H:H)</f>
        <v>Japanese</v>
      </c>
      <c r="G293" s="8" t="str">
        <f>_xlfn.XLOOKUP(A:A,Sheet1!A:A,Sheet1!I:I)</f>
        <v>Web Development</v>
      </c>
      <c r="H293" s="8">
        <f>_xlfn.XLOOKUP(A:A,Sheet1!A:A,Sheet1!K:K)</f>
        <v>7</v>
      </c>
      <c r="I293" s="9">
        <f>_xlfn.XLOOKUP(A:A,Sheet1!A:A,Sheet1!M:M)</f>
        <v>30</v>
      </c>
      <c r="J293" s="10">
        <f>_xlfn.XLOOKUP(A:A,Sheet1!A:A,Sheet1!O:O)</f>
        <v>2.4</v>
      </c>
      <c r="K293" t="str">
        <f>_xlfn.XLOOKUP(A:A,Sheet1!A:A,Sheet1!P:P)</f>
        <v>Yes</v>
      </c>
      <c r="L293" s="12">
        <f>_xlfn.XLOOKUP(A:A,Sheet1!A:A,Sheet1!S:S)</f>
        <v>0.66</v>
      </c>
    </row>
    <row r="294" spans="1:12" x14ac:dyDescent="0.35">
      <c r="A294" s="8" t="s">
        <v>631</v>
      </c>
      <c r="B294" s="2" t="str">
        <f>_xlfn.XLOOKUP(A294,Sheet1!A:A,Sheet1!B:B)</f>
        <v>Christine Hart</v>
      </c>
      <c r="C294" s="2" t="str">
        <f>_xlfn.XLOOKUP(A:A,Sheet1!A:A,Sheet1!D:D)</f>
        <v>Female</v>
      </c>
      <c r="D294" s="8">
        <f>_xlfn.XLOOKUP(A:A,Sheet1!A:A,Sheet1!F:F)</f>
        <v>49</v>
      </c>
      <c r="E294" s="2" t="str">
        <f>_xlfn.XLOOKUP(A:A,Sheet1!A:A,Sheet1!G:G)</f>
        <v>India</v>
      </c>
      <c r="F294" s="8" t="str">
        <f>_xlfn.XLOOKUP(A:A,Sheet1!A:A,Sheet1!H:H)</f>
        <v>Hindi</v>
      </c>
      <c r="G294" s="8" t="str">
        <f>_xlfn.XLOOKUP(A:A,Sheet1!A:A,Sheet1!I:I)</f>
        <v>Blockchain Development</v>
      </c>
      <c r="H294" s="8">
        <f>_xlfn.XLOOKUP(A:A,Sheet1!A:A,Sheet1!K:K)</f>
        <v>13</v>
      </c>
      <c r="I294" s="9">
        <f>_xlfn.XLOOKUP(A:A,Sheet1!A:A,Sheet1!M:M)</f>
        <v>100</v>
      </c>
      <c r="J294" s="10">
        <f>_xlfn.XLOOKUP(A:A,Sheet1!A:A,Sheet1!O:O)</f>
        <v>4.2</v>
      </c>
      <c r="K294" t="str">
        <f>_xlfn.XLOOKUP(A:A,Sheet1!A:A,Sheet1!P:P)</f>
        <v>Yes</v>
      </c>
      <c r="L294" s="12">
        <f>_xlfn.XLOOKUP(A:A,Sheet1!A:A,Sheet1!S:S)</f>
        <v>0.84</v>
      </c>
    </row>
    <row r="295" spans="1:12" x14ac:dyDescent="0.35">
      <c r="A295" s="8" t="s">
        <v>633</v>
      </c>
      <c r="B295" s="2" t="str">
        <f>_xlfn.XLOOKUP(A295,Sheet1!A:A,Sheet1!B:B)</f>
        <v>Mike Stanley</v>
      </c>
      <c r="C295" s="2" t="str">
        <f>_xlfn.XLOOKUP(A:A,Sheet1!A:A,Sheet1!D:D)</f>
        <v>Male</v>
      </c>
      <c r="D295" s="8">
        <f>_xlfn.XLOOKUP(A:A,Sheet1!A:A,Sheet1!F:F)</f>
        <v>53</v>
      </c>
      <c r="E295" s="2" t="str">
        <f>_xlfn.XLOOKUP(A:A,Sheet1!A:A,Sheet1!G:G)</f>
        <v>Mexico</v>
      </c>
      <c r="F295" s="8" t="str">
        <f>_xlfn.XLOOKUP(A:A,Sheet1!A:A,Sheet1!H:H)</f>
        <v>Spanish</v>
      </c>
      <c r="G295" s="8" t="str">
        <f>_xlfn.XLOOKUP(A:A,Sheet1!A:A,Sheet1!I:I)</f>
        <v>Web Development</v>
      </c>
      <c r="H295" s="8">
        <f>_xlfn.XLOOKUP(A:A,Sheet1!A:A,Sheet1!K:K)</f>
        <v>21</v>
      </c>
      <c r="I295" s="9">
        <f>_xlfn.XLOOKUP(A:A,Sheet1!A:A,Sheet1!M:M)</f>
        <v>50</v>
      </c>
      <c r="J295" s="10">
        <f>_xlfn.XLOOKUP(A:A,Sheet1!A:A,Sheet1!O:O)</f>
        <v>1.4</v>
      </c>
      <c r="K295" t="str">
        <f>_xlfn.XLOOKUP(A:A,Sheet1!A:A,Sheet1!P:P)</f>
        <v>No</v>
      </c>
      <c r="L295" s="12">
        <f>_xlfn.XLOOKUP(A:A,Sheet1!A:A,Sheet1!S:S)</f>
        <v>0.79269417475728277</v>
      </c>
    </row>
    <row r="296" spans="1:12" x14ac:dyDescent="0.35">
      <c r="A296" s="8" t="s">
        <v>635</v>
      </c>
      <c r="B296" s="2" t="str">
        <f>_xlfn.XLOOKUP(A296,Sheet1!A:A,Sheet1!B:B)</f>
        <v>Jeffrey Edwards</v>
      </c>
      <c r="C296" s="2" t="str">
        <f>_xlfn.XLOOKUP(A:A,Sheet1!A:A,Sheet1!D:D)</f>
        <v>Male</v>
      </c>
      <c r="D296" s="8">
        <f>_xlfn.XLOOKUP(A:A,Sheet1!A:A,Sheet1!F:F)</f>
        <v>56</v>
      </c>
      <c r="E296" s="2" t="str">
        <f>_xlfn.XLOOKUP(A:A,Sheet1!A:A,Sheet1!G:G)</f>
        <v>Australia</v>
      </c>
      <c r="F296" s="8" t="str">
        <f>_xlfn.XLOOKUP(A:A,Sheet1!A:A,Sheet1!H:H)</f>
        <v>English</v>
      </c>
      <c r="G296" s="8" t="str">
        <f>_xlfn.XLOOKUP(A:A,Sheet1!A:A,Sheet1!I:I)</f>
        <v>Web Development</v>
      </c>
      <c r="H296" s="8">
        <f>_xlfn.XLOOKUP(A:A,Sheet1!A:A,Sheet1!K:K)</f>
        <v>19</v>
      </c>
      <c r="I296" s="9">
        <f>_xlfn.XLOOKUP(A:A,Sheet1!A:A,Sheet1!M:M)</f>
        <v>40</v>
      </c>
      <c r="J296" s="10">
        <f>_xlfn.XLOOKUP(A:A,Sheet1!A:A,Sheet1!O:O)</f>
        <v>1.2</v>
      </c>
      <c r="K296" t="str">
        <f>_xlfn.XLOOKUP(A:A,Sheet1!A:A,Sheet1!P:P)</f>
        <v>Yes</v>
      </c>
      <c r="L296" s="12">
        <f>_xlfn.XLOOKUP(A:A,Sheet1!A:A,Sheet1!S:S)</f>
        <v>0.82</v>
      </c>
    </row>
    <row r="297" spans="1:12" x14ac:dyDescent="0.35">
      <c r="A297" s="8" t="s">
        <v>637</v>
      </c>
      <c r="B297" s="2" t="str">
        <f>_xlfn.XLOOKUP(A297,Sheet1!A:A,Sheet1!B:B)</f>
        <v>Amy Lee</v>
      </c>
      <c r="C297" s="2" t="str">
        <f>_xlfn.XLOOKUP(A:A,Sheet1!A:A,Sheet1!D:D)</f>
        <v>Female</v>
      </c>
      <c r="D297" s="8">
        <f>_xlfn.XLOOKUP(A:A,Sheet1!A:A,Sheet1!F:F)</f>
        <v>56</v>
      </c>
      <c r="E297" s="2" t="str">
        <f>_xlfn.XLOOKUP(A:A,Sheet1!A:A,Sheet1!G:G)</f>
        <v>United Kingdom</v>
      </c>
      <c r="F297" s="8" t="str">
        <f>_xlfn.XLOOKUP(A:A,Sheet1!A:A,Sheet1!H:H)</f>
        <v>English</v>
      </c>
      <c r="G297" s="8" t="str">
        <f>_xlfn.XLOOKUP(A:A,Sheet1!A:A,Sheet1!I:I)</f>
        <v>DevOps</v>
      </c>
      <c r="H297" s="8">
        <f>_xlfn.XLOOKUP(A:A,Sheet1!A:A,Sheet1!K:K)</f>
        <v>34</v>
      </c>
      <c r="I297" s="9">
        <f>_xlfn.XLOOKUP(A:A,Sheet1!A:A,Sheet1!M:M)</f>
        <v>40</v>
      </c>
      <c r="J297" s="10">
        <f>_xlfn.XLOOKUP(A:A,Sheet1!A:A,Sheet1!O:O)</f>
        <v>2.1</v>
      </c>
      <c r="K297" t="str">
        <f>_xlfn.XLOOKUP(A:A,Sheet1!A:A,Sheet1!P:P)</f>
        <v>Yes</v>
      </c>
      <c r="L297" s="12">
        <f>_xlfn.XLOOKUP(A:A,Sheet1!A:A,Sheet1!S:S)</f>
        <v>0.84</v>
      </c>
    </row>
    <row r="298" spans="1:12" x14ac:dyDescent="0.35">
      <c r="A298" s="8" t="s">
        <v>639</v>
      </c>
      <c r="B298" s="2" t="str">
        <f>_xlfn.XLOOKUP(A298,Sheet1!A:A,Sheet1!B:B)</f>
        <v>Mark Thompson</v>
      </c>
      <c r="C298" s="2" t="str">
        <f>_xlfn.XLOOKUP(A:A,Sheet1!A:A,Sheet1!D:D)</f>
        <v>Male</v>
      </c>
      <c r="D298" s="8">
        <f>_xlfn.XLOOKUP(A:A,Sheet1!A:A,Sheet1!F:F)</f>
        <v>38</v>
      </c>
      <c r="E298" s="2" t="str">
        <f>_xlfn.XLOOKUP(A:A,Sheet1!A:A,Sheet1!G:G)</f>
        <v>South Africa</v>
      </c>
      <c r="F298" s="8" t="str">
        <f>_xlfn.XLOOKUP(A:A,Sheet1!A:A,Sheet1!H:H)</f>
        <v>Afrikaans</v>
      </c>
      <c r="G298" s="8" t="str">
        <f>_xlfn.XLOOKUP(A:A,Sheet1!A:A,Sheet1!I:I)</f>
        <v>Data Analysis</v>
      </c>
      <c r="H298" s="8">
        <f>_xlfn.XLOOKUP(A:A,Sheet1!A:A,Sheet1!K:K)</f>
        <v>3</v>
      </c>
      <c r="I298" s="9">
        <f>_xlfn.XLOOKUP(A:A,Sheet1!A:A,Sheet1!M:M)</f>
        <v>100</v>
      </c>
      <c r="J298" s="10">
        <f>_xlfn.XLOOKUP(A:A,Sheet1!A:A,Sheet1!O:O)</f>
        <v>1.4</v>
      </c>
      <c r="K298" t="str">
        <f>_xlfn.XLOOKUP(A:A,Sheet1!A:A,Sheet1!P:P)</f>
        <v>No</v>
      </c>
      <c r="L298" s="12">
        <f>_xlfn.XLOOKUP(A:A,Sheet1!A:A,Sheet1!S:S)</f>
        <v>0.73</v>
      </c>
    </row>
    <row r="299" spans="1:12" x14ac:dyDescent="0.35">
      <c r="A299" s="8" t="s">
        <v>641</v>
      </c>
      <c r="B299" s="2" t="str">
        <f>_xlfn.XLOOKUP(A299,Sheet1!A:A,Sheet1!B:B)</f>
        <v>Alex Wilson</v>
      </c>
      <c r="C299" s="2" t="str">
        <f>_xlfn.XLOOKUP(A:A,Sheet1!A:A,Sheet1!D:D)</f>
        <v>Male</v>
      </c>
      <c r="D299" s="8">
        <f>_xlfn.XLOOKUP(A:A,Sheet1!A:A,Sheet1!F:F)</f>
        <v>20</v>
      </c>
      <c r="E299" s="2" t="str">
        <f>_xlfn.XLOOKUP(A:A,Sheet1!A:A,Sheet1!G:G)</f>
        <v>South Korea</v>
      </c>
      <c r="F299" s="8" t="str">
        <f>_xlfn.XLOOKUP(A:A,Sheet1!A:A,Sheet1!H:H)</f>
        <v>Korean</v>
      </c>
      <c r="G299" s="8" t="str">
        <f>_xlfn.XLOOKUP(A:A,Sheet1!A:A,Sheet1!I:I)</f>
        <v>Mobile Apps</v>
      </c>
      <c r="H299" s="8">
        <f>_xlfn.XLOOKUP(A:A,Sheet1!A:A,Sheet1!K:K)</f>
        <v>0</v>
      </c>
      <c r="I299" s="9">
        <f>_xlfn.XLOOKUP(A:A,Sheet1!A:A,Sheet1!M:M)</f>
        <v>30</v>
      </c>
      <c r="J299" s="10">
        <f>_xlfn.XLOOKUP(A:A,Sheet1!A:A,Sheet1!O:O)</f>
        <v>3.8</v>
      </c>
      <c r="K299" t="str">
        <f>_xlfn.XLOOKUP(A:A,Sheet1!A:A,Sheet1!P:P)</f>
        <v>No</v>
      </c>
      <c r="L299" s="12">
        <f>_xlfn.XLOOKUP(A:A,Sheet1!A:A,Sheet1!S:S)</f>
        <v>0.93</v>
      </c>
    </row>
    <row r="300" spans="1:12" x14ac:dyDescent="0.35">
      <c r="A300" s="8" t="s">
        <v>643</v>
      </c>
      <c r="B300" s="2" t="str">
        <f>_xlfn.XLOOKUP(A300,Sheet1!A:A,Sheet1!B:B)</f>
        <v>Nancy Mendez</v>
      </c>
      <c r="C300" s="2" t="str">
        <f>_xlfn.XLOOKUP(A:A,Sheet1!A:A,Sheet1!D:D)</f>
        <v>Female</v>
      </c>
      <c r="D300" s="8">
        <f>_xlfn.XLOOKUP(A:A,Sheet1!A:A,Sheet1!F:F)</f>
        <v>38</v>
      </c>
      <c r="E300" s="2" t="str">
        <f>_xlfn.XLOOKUP(A:A,Sheet1!A:A,Sheet1!G:G)</f>
        <v>Canada</v>
      </c>
      <c r="F300" s="8" t="str">
        <f>_xlfn.XLOOKUP(A:A,Sheet1!A:A,Sheet1!H:H)</f>
        <v>English</v>
      </c>
      <c r="G300" s="8" t="str">
        <f>_xlfn.XLOOKUP(A:A,Sheet1!A:A,Sheet1!I:I)</f>
        <v>Machine Learning</v>
      </c>
      <c r="H300" s="8">
        <f>_xlfn.XLOOKUP(A:A,Sheet1!A:A,Sheet1!K:K)</f>
        <v>20</v>
      </c>
      <c r="I300" s="9">
        <f>_xlfn.XLOOKUP(A:A,Sheet1!A:A,Sheet1!M:M)</f>
        <v>50</v>
      </c>
      <c r="J300" s="11">
        <v>0</v>
      </c>
      <c r="K300" t="str">
        <f>_xlfn.XLOOKUP(A:A,Sheet1!A:A,Sheet1!P:P)</f>
        <v>No</v>
      </c>
      <c r="L300" s="12">
        <f>_xlfn.XLOOKUP(A:A,Sheet1!A:A,Sheet1!S:S)</f>
        <v>0.64</v>
      </c>
    </row>
    <row r="301" spans="1:12" x14ac:dyDescent="0.35">
      <c r="A301" s="8" t="s">
        <v>645</v>
      </c>
      <c r="B301" s="2" t="str">
        <f>_xlfn.XLOOKUP(A301,Sheet1!A:A,Sheet1!B:B)</f>
        <v>Beth Crane</v>
      </c>
      <c r="C301" s="2" t="str">
        <f>_xlfn.XLOOKUP(A:A,Sheet1!A:A,Sheet1!D:D)</f>
        <v>Female</v>
      </c>
      <c r="D301" s="8">
        <f>_xlfn.XLOOKUP(A:A,Sheet1!A:A,Sheet1!F:F)</f>
        <v>41</v>
      </c>
      <c r="E301" s="2" t="str">
        <f>_xlfn.XLOOKUP(A:A,Sheet1!A:A,Sheet1!G:G)</f>
        <v>Netherlands</v>
      </c>
      <c r="F301" s="8" t="str">
        <f>_xlfn.XLOOKUP(A:A,Sheet1!A:A,Sheet1!H:H)</f>
        <v>Dutch</v>
      </c>
      <c r="G301" s="8" t="str">
        <f>_xlfn.XLOOKUP(A:A,Sheet1!A:A,Sheet1!I:I)</f>
        <v>Mobile Apps</v>
      </c>
      <c r="H301" s="8">
        <f>_xlfn.XLOOKUP(A:A,Sheet1!A:A,Sheet1!K:K)</f>
        <v>6</v>
      </c>
      <c r="I301" s="9">
        <f>_xlfn.XLOOKUP(A:A,Sheet1!A:A,Sheet1!M:M)</f>
        <v>40</v>
      </c>
      <c r="J301" s="10">
        <f>_xlfn.XLOOKUP(A:A,Sheet1!A:A,Sheet1!O:O)</f>
        <v>3.5</v>
      </c>
      <c r="K301" t="str">
        <f>_xlfn.XLOOKUP(A:A,Sheet1!A:A,Sheet1!P:P)</f>
        <v>No</v>
      </c>
      <c r="L301" s="12">
        <f>_xlfn.XLOOKUP(A:A,Sheet1!A:A,Sheet1!S:S)</f>
        <v>0.76</v>
      </c>
    </row>
    <row r="302" spans="1:12" x14ac:dyDescent="0.35">
      <c r="A302" s="8" t="s">
        <v>647</v>
      </c>
      <c r="B302" s="2" t="str">
        <f>_xlfn.XLOOKUP(A302,Sheet1!A:A,Sheet1!B:B)</f>
        <v>Miguel Rogers</v>
      </c>
      <c r="C302" s="2" t="str">
        <f>_xlfn.XLOOKUP(A:A,Sheet1!A:A,Sheet1!D:D)</f>
        <v>Male</v>
      </c>
      <c r="D302" s="8">
        <f>_xlfn.XLOOKUP(A:A,Sheet1!A:A,Sheet1!F:F)</f>
        <v>46</v>
      </c>
      <c r="E302" s="2" t="str">
        <f>_xlfn.XLOOKUP(A:A,Sheet1!A:A,Sheet1!G:G)</f>
        <v>India</v>
      </c>
      <c r="F302" s="8" t="str">
        <f>_xlfn.XLOOKUP(A:A,Sheet1!A:A,Sheet1!H:H)</f>
        <v>Hindi</v>
      </c>
      <c r="G302" s="8" t="str">
        <f>_xlfn.XLOOKUP(A:A,Sheet1!A:A,Sheet1!I:I)</f>
        <v>Machine Learning</v>
      </c>
      <c r="H302" s="8">
        <f>_xlfn.XLOOKUP(A:A,Sheet1!A:A,Sheet1!K:K)</f>
        <v>13</v>
      </c>
      <c r="I302" s="9">
        <f>_xlfn.XLOOKUP(A:A,Sheet1!A:A,Sheet1!M:M)</f>
        <v>100</v>
      </c>
      <c r="J302" s="11">
        <v>0</v>
      </c>
      <c r="K302" t="str">
        <f>_xlfn.XLOOKUP(A:A,Sheet1!A:A,Sheet1!P:P)</f>
        <v>Yes</v>
      </c>
      <c r="L302" s="12">
        <f>_xlfn.XLOOKUP(A:A,Sheet1!A:A,Sheet1!S:S)</f>
        <v>0.97</v>
      </c>
    </row>
    <row r="303" spans="1:12" x14ac:dyDescent="0.35">
      <c r="A303" s="8" t="s">
        <v>649</v>
      </c>
      <c r="B303" s="2" t="str">
        <f>_xlfn.XLOOKUP(A303,Sheet1!A:A,Sheet1!B:B)</f>
        <v>Thomas Robles</v>
      </c>
      <c r="C303" s="2" t="str">
        <f>_xlfn.XLOOKUP(A:A,Sheet1!A:A,Sheet1!D:D)</f>
        <v>Male</v>
      </c>
      <c r="D303" s="8">
        <f>_xlfn.XLOOKUP(A:A,Sheet1!A:A,Sheet1!F:F)</f>
        <v>36</v>
      </c>
      <c r="E303" s="2" t="str">
        <f>_xlfn.XLOOKUP(A:A,Sheet1!A:A,Sheet1!G:G)</f>
        <v>South Africa</v>
      </c>
      <c r="F303" s="8" t="str">
        <f>_xlfn.XLOOKUP(A:A,Sheet1!A:A,Sheet1!H:H)</f>
        <v>Afrikaans</v>
      </c>
      <c r="G303" s="8" t="str">
        <f>_xlfn.XLOOKUP(A:A,Sheet1!A:A,Sheet1!I:I)</f>
        <v>Data Analysis</v>
      </c>
      <c r="H303" s="8">
        <f>_xlfn.XLOOKUP(A:A,Sheet1!A:A,Sheet1!K:K)</f>
        <v>9</v>
      </c>
      <c r="I303" s="9">
        <f>_xlfn.XLOOKUP(A:A,Sheet1!A:A,Sheet1!M:M)</f>
        <v>75</v>
      </c>
      <c r="J303" s="10">
        <f>_xlfn.XLOOKUP(A:A,Sheet1!A:A,Sheet1!O:O)</f>
        <v>2.2000000000000002</v>
      </c>
      <c r="K303" t="str">
        <f>_xlfn.XLOOKUP(A:A,Sheet1!A:A,Sheet1!P:P)</f>
        <v>No</v>
      </c>
      <c r="L303" s="12">
        <f>_xlfn.XLOOKUP(A:A,Sheet1!A:A,Sheet1!S:S)</f>
        <v>0.95</v>
      </c>
    </row>
    <row r="304" spans="1:12" x14ac:dyDescent="0.35">
      <c r="A304" s="8" t="s">
        <v>651</v>
      </c>
      <c r="B304" s="2" t="str">
        <f>_xlfn.XLOOKUP(A304,Sheet1!A:A,Sheet1!B:B)</f>
        <v xml:space="preserve">Joel Brown </v>
      </c>
      <c r="C304" s="2" t="str">
        <f>_xlfn.XLOOKUP(A:A,Sheet1!A:A,Sheet1!D:D)</f>
        <v>Male</v>
      </c>
      <c r="D304" s="8">
        <f>_xlfn.XLOOKUP(A:A,Sheet1!A:A,Sheet1!F:F)</f>
        <v>33</v>
      </c>
      <c r="E304" s="2" t="str">
        <f>_xlfn.XLOOKUP(A:A,Sheet1!A:A,Sheet1!G:G)</f>
        <v>Russia</v>
      </c>
      <c r="F304" s="8" t="str">
        <f>_xlfn.XLOOKUP(A:A,Sheet1!A:A,Sheet1!H:H)</f>
        <v>Russian</v>
      </c>
      <c r="G304" s="8" t="str">
        <f>_xlfn.XLOOKUP(A:A,Sheet1!A:A,Sheet1!I:I)</f>
        <v>Web Development</v>
      </c>
      <c r="H304" s="8">
        <f>_xlfn.XLOOKUP(A:A,Sheet1!A:A,Sheet1!K:K)</f>
        <v>2</v>
      </c>
      <c r="I304" s="9">
        <f>_xlfn.XLOOKUP(A:A,Sheet1!A:A,Sheet1!M:M)</f>
        <v>75</v>
      </c>
      <c r="J304" s="10">
        <f>_xlfn.XLOOKUP(A:A,Sheet1!A:A,Sheet1!O:O)</f>
        <v>2.5</v>
      </c>
      <c r="K304" t="str">
        <f>_xlfn.XLOOKUP(A:A,Sheet1!A:A,Sheet1!P:P)</f>
        <v>No</v>
      </c>
      <c r="L304" s="12">
        <f>_xlfn.XLOOKUP(A:A,Sheet1!A:A,Sheet1!S:S)</f>
        <v>0.65</v>
      </c>
    </row>
    <row r="305" spans="1:12" x14ac:dyDescent="0.35">
      <c r="A305" s="8" t="s">
        <v>652</v>
      </c>
      <c r="B305" s="2" t="str">
        <f>_xlfn.XLOOKUP(A305,Sheet1!A:A,Sheet1!B:B)</f>
        <v>Olivia Schultz</v>
      </c>
      <c r="C305" s="2" t="str">
        <f>_xlfn.XLOOKUP(A:A,Sheet1!A:A,Sheet1!D:D)</f>
        <v>Female</v>
      </c>
      <c r="D305" s="8">
        <f>_xlfn.XLOOKUP(A:A,Sheet1!A:A,Sheet1!F:F)</f>
        <v>37</v>
      </c>
      <c r="E305" s="2" t="str">
        <f>_xlfn.XLOOKUP(A:A,Sheet1!A:A,Sheet1!G:G)</f>
        <v>Canada</v>
      </c>
      <c r="F305" s="8" t="str">
        <f>_xlfn.XLOOKUP(A:A,Sheet1!A:A,Sheet1!H:H)</f>
        <v>English</v>
      </c>
      <c r="G305" s="8" t="str">
        <f>_xlfn.XLOOKUP(A:A,Sheet1!A:A,Sheet1!I:I)</f>
        <v>Graphic Design</v>
      </c>
      <c r="H305" s="8">
        <f>_xlfn.XLOOKUP(A:A,Sheet1!A:A,Sheet1!K:K)</f>
        <v>0</v>
      </c>
      <c r="I305" s="9">
        <f>_xlfn.XLOOKUP(A:A,Sheet1!A:A,Sheet1!M:M)</f>
        <v>50</v>
      </c>
      <c r="J305" s="10">
        <f>_xlfn.XLOOKUP(A:A,Sheet1!A:A,Sheet1!O:O)</f>
        <v>4.7</v>
      </c>
      <c r="K305" t="str">
        <f>_xlfn.XLOOKUP(A:A,Sheet1!A:A,Sheet1!P:P)</f>
        <v>No</v>
      </c>
      <c r="L305" s="12">
        <f>_xlfn.XLOOKUP(A:A,Sheet1!A:A,Sheet1!S:S)</f>
        <v>0.77</v>
      </c>
    </row>
    <row r="306" spans="1:12" x14ac:dyDescent="0.35">
      <c r="A306" s="8" t="s">
        <v>654</v>
      </c>
      <c r="B306" s="2" t="str">
        <f>_xlfn.XLOOKUP(A306,Sheet1!A:A,Sheet1!B:B)</f>
        <v>Clayton Pena</v>
      </c>
      <c r="C306" s="2" t="str">
        <f>_xlfn.XLOOKUP(A:A,Sheet1!A:A,Sheet1!D:D)</f>
        <v>Male</v>
      </c>
      <c r="D306" s="8">
        <f>_xlfn.XLOOKUP(A:A,Sheet1!A:A,Sheet1!F:F)</f>
        <v>20</v>
      </c>
      <c r="E306" s="2" t="str">
        <f>_xlfn.XLOOKUP(A:A,Sheet1!A:A,Sheet1!G:G)</f>
        <v>Egypt</v>
      </c>
      <c r="F306" s="8" t="str">
        <f>_xlfn.XLOOKUP(A:A,Sheet1!A:A,Sheet1!H:H)</f>
        <v>Arabic</v>
      </c>
      <c r="G306" s="8" t="str">
        <f>_xlfn.XLOOKUP(A:A,Sheet1!A:A,Sheet1!I:I)</f>
        <v>Data Analysis</v>
      </c>
      <c r="H306" s="8">
        <f>_xlfn.XLOOKUP(A:A,Sheet1!A:A,Sheet1!K:K)</f>
        <v>0</v>
      </c>
      <c r="I306" s="9">
        <f>_xlfn.XLOOKUP(A:A,Sheet1!A:A,Sheet1!M:M)</f>
        <v>20</v>
      </c>
      <c r="J306" s="10">
        <f>_xlfn.XLOOKUP(A:A,Sheet1!A:A,Sheet1!O:O)</f>
        <v>3.9</v>
      </c>
      <c r="K306" t="str">
        <f>_xlfn.XLOOKUP(A:A,Sheet1!A:A,Sheet1!P:P)</f>
        <v>No</v>
      </c>
      <c r="L306" s="12">
        <f>_xlfn.XLOOKUP(A:A,Sheet1!A:A,Sheet1!S:S)</f>
        <v>0.79269417475728277</v>
      </c>
    </row>
    <row r="307" spans="1:12" x14ac:dyDescent="0.35">
      <c r="A307" s="8" t="s">
        <v>656</v>
      </c>
      <c r="B307" s="2" t="str">
        <f>_xlfn.XLOOKUP(A307,Sheet1!A:A,Sheet1!B:B)</f>
        <v>Ashley Salazar</v>
      </c>
      <c r="C307" s="2" t="str">
        <f>_xlfn.XLOOKUP(A:A,Sheet1!A:A,Sheet1!D:D)</f>
        <v>Female</v>
      </c>
      <c r="D307" s="8">
        <f>_xlfn.XLOOKUP(A:A,Sheet1!A:A,Sheet1!F:F)</f>
        <v>48</v>
      </c>
      <c r="E307" s="2" t="str">
        <f>_xlfn.XLOOKUP(A:A,Sheet1!A:A,Sheet1!G:G)</f>
        <v>China</v>
      </c>
      <c r="F307" s="8" t="str">
        <f>_xlfn.XLOOKUP(A:A,Sheet1!A:A,Sheet1!H:H)</f>
        <v>Mandarin</v>
      </c>
      <c r="G307" s="8" t="str">
        <f>_xlfn.XLOOKUP(A:A,Sheet1!A:A,Sheet1!I:I)</f>
        <v>Data Analysis</v>
      </c>
      <c r="H307" s="8">
        <f>_xlfn.XLOOKUP(A:A,Sheet1!A:A,Sheet1!K:K)</f>
        <v>2</v>
      </c>
      <c r="I307" s="9">
        <f>_xlfn.XLOOKUP(A:A,Sheet1!A:A,Sheet1!M:M)</f>
        <v>75</v>
      </c>
      <c r="J307" s="10">
        <f>_xlfn.XLOOKUP(A:A,Sheet1!A:A,Sheet1!O:O)</f>
        <v>1.6</v>
      </c>
      <c r="K307" t="str">
        <f>_xlfn.XLOOKUP(A:A,Sheet1!A:A,Sheet1!P:P)</f>
        <v>No</v>
      </c>
      <c r="L307" s="12">
        <f>_xlfn.XLOOKUP(A:A,Sheet1!A:A,Sheet1!S:S)</f>
        <v>0.67</v>
      </c>
    </row>
    <row r="308" spans="1:12" x14ac:dyDescent="0.35">
      <c r="A308" s="8" t="s">
        <v>658</v>
      </c>
      <c r="B308" s="2" t="str">
        <f>_xlfn.XLOOKUP(A308,Sheet1!A:A,Sheet1!B:B)</f>
        <v>Robert Lucas</v>
      </c>
      <c r="C308" s="2" t="str">
        <f>_xlfn.XLOOKUP(A:A,Sheet1!A:A,Sheet1!D:D)</f>
        <v>Male</v>
      </c>
      <c r="D308" s="8">
        <f>_xlfn.XLOOKUP(A:A,Sheet1!A:A,Sheet1!F:F)</f>
        <v>27</v>
      </c>
      <c r="E308" s="2" t="str">
        <f>_xlfn.XLOOKUP(A:A,Sheet1!A:A,Sheet1!G:G)</f>
        <v>France</v>
      </c>
      <c r="F308" s="8" t="str">
        <f>_xlfn.XLOOKUP(A:A,Sheet1!A:A,Sheet1!H:H)</f>
        <v>French</v>
      </c>
      <c r="G308" s="8" t="str">
        <f>_xlfn.XLOOKUP(A:A,Sheet1!A:A,Sheet1!I:I)</f>
        <v>Cybersecurity</v>
      </c>
      <c r="H308" s="8">
        <f>_xlfn.XLOOKUP(A:A,Sheet1!A:A,Sheet1!K:K)</f>
        <v>2</v>
      </c>
      <c r="I308" s="9">
        <f>_xlfn.XLOOKUP(A:A,Sheet1!A:A,Sheet1!M:M)</f>
        <v>50</v>
      </c>
      <c r="J308" s="10">
        <f>_xlfn.XLOOKUP(A:A,Sheet1!A:A,Sheet1!O:O)</f>
        <v>2.5125695216907653</v>
      </c>
      <c r="K308" t="str">
        <f>_xlfn.XLOOKUP(A:A,Sheet1!A:A,Sheet1!P:P)</f>
        <v>No</v>
      </c>
      <c r="L308" s="12">
        <f>_xlfn.XLOOKUP(A:A,Sheet1!A:A,Sheet1!S:S)</f>
        <v>0.84</v>
      </c>
    </row>
    <row r="309" spans="1:12" x14ac:dyDescent="0.35">
      <c r="A309" s="8" t="s">
        <v>660</v>
      </c>
      <c r="B309" s="2" t="str">
        <f>_xlfn.XLOOKUP(A309,Sheet1!A:A,Sheet1!B:B)</f>
        <v>David Cox</v>
      </c>
      <c r="C309" s="2" t="str">
        <f>_xlfn.XLOOKUP(A:A,Sheet1!A:A,Sheet1!D:D)</f>
        <v>Male</v>
      </c>
      <c r="D309" s="8">
        <f>_xlfn.XLOOKUP(A:A,Sheet1!A:A,Sheet1!F:F)</f>
        <v>34</v>
      </c>
      <c r="E309" s="2" t="str">
        <f>_xlfn.XLOOKUP(A:A,Sheet1!A:A,Sheet1!G:G)</f>
        <v>South Korea</v>
      </c>
      <c r="F309" s="8" t="str">
        <f>_xlfn.XLOOKUP(A:A,Sheet1!A:A,Sheet1!H:H)</f>
        <v>Korean</v>
      </c>
      <c r="G309" s="8" t="str">
        <f>_xlfn.XLOOKUP(A:A,Sheet1!A:A,Sheet1!I:I)</f>
        <v>Mobile Apps</v>
      </c>
      <c r="H309" s="8">
        <f>_xlfn.XLOOKUP(A:A,Sheet1!A:A,Sheet1!K:K)</f>
        <v>1</v>
      </c>
      <c r="I309" s="9">
        <f>_xlfn.XLOOKUP(A:A,Sheet1!A:A,Sheet1!M:M)</f>
        <v>30</v>
      </c>
      <c r="J309" s="10">
        <f>_xlfn.XLOOKUP(A:A,Sheet1!A:A,Sheet1!O:O)</f>
        <v>3.6</v>
      </c>
      <c r="K309" t="str">
        <f>_xlfn.XLOOKUP(A:A,Sheet1!A:A,Sheet1!P:P)</f>
        <v>Yes</v>
      </c>
      <c r="L309" s="12">
        <f>_xlfn.XLOOKUP(A:A,Sheet1!A:A,Sheet1!S:S)</f>
        <v>0.87</v>
      </c>
    </row>
    <row r="310" spans="1:12" x14ac:dyDescent="0.35">
      <c r="A310" s="8" t="s">
        <v>662</v>
      </c>
      <c r="B310" s="2" t="str">
        <f>_xlfn.XLOOKUP(A310,Sheet1!A:A,Sheet1!B:B)</f>
        <v>Christian Campbell</v>
      </c>
      <c r="C310" s="2" t="str">
        <f>_xlfn.XLOOKUP(A:A,Sheet1!A:A,Sheet1!D:D)</f>
        <v>Male</v>
      </c>
      <c r="D310" s="8">
        <f>_xlfn.XLOOKUP(A:A,Sheet1!A:A,Sheet1!F:F)</f>
        <v>55</v>
      </c>
      <c r="E310" s="2" t="str">
        <f>_xlfn.XLOOKUP(A:A,Sheet1!A:A,Sheet1!G:G)</f>
        <v>Brazil</v>
      </c>
      <c r="F310" s="8" t="str">
        <f>_xlfn.XLOOKUP(A:A,Sheet1!A:A,Sheet1!H:H)</f>
        <v>Portuguese</v>
      </c>
      <c r="G310" s="8" t="str">
        <f>_xlfn.XLOOKUP(A:A,Sheet1!A:A,Sheet1!I:I)</f>
        <v>Machine Learning</v>
      </c>
      <c r="H310" s="8">
        <f>_xlfn.XLOOKUP(A:A,Sheet1!A:A,Sheet1!K:K)</f>
        <v>14</v>
      </c>
      <c r="I310" s="9">
        <f>_xlfn.XLOOKUP(A:A,Sheet1!A:A,Sheet1!M:M)</f>
        <v>30</v>
      </c>
      <c r="J310" s="10">
        <f>_xlfn.XLOOKUP(A:A,Sheet1!A:A,Sheet1!O:O)</f>
        <v>1.2</v>
      </c>
      <c r="K310" t="str">
        <f>_xlfn.XLOOKUP(A:A,Sheet1!A:A,Sheet1!P:P)</f>
        <v>Yes</v>
      </c>
      <c r="L310" s="12">
        <f>_xlfn.XLOOKUP(A:A,Sheet1!A:A,Sheet1!S:S)</f>
        <v>0.91</v>
      </c>
    </row>
    <row r="311" spans="1:12" x14ac:dyDescent="0.35">
      <c r="A311" s="8" t="s">
        <v>664</v>
      </c>
      <c r="B311" s="2" t="str">
        <f>_xlfn.XLOOKUP(A311,Sheet1!A:A,Sheet1!B:B)</f>
        <v xml:space="preserve"> Angela Ward</v>
      </c>
      <c r="C311" s="2" t="str">
        <f>_xlfn.XLOOKUP(A:A,Sheet1!A:A,Sheet1!D:D)</f>
        <v>Female</v>
      </c>
      <c r="D311" s="8">
        <f>_xlfn.XLOOKUP(A:A,Sheet1!A:A,Sheet1!F:F)</f>
        <v>44</v>
      </c>
      <c r="E311" s="2" t="str">
        <f>_xlfn.XLOOKUP(A:A,Sheet1!A:A,Sheet1!G:G)</f>
        <v>South Africa</v>
      </c>
      <c r="F311" s="8" t="str">
        <f>_xlfn.XLOOKUP(A:A,Sheet1!A:A,Sheet1!H:H)</f>
        <v>Afrikaans</v>
      </c>
      <c r="G311" s="8" t="str">
        <f>_xlfn.XLOOKUP(A:A,Sheet1!A:A,Sheet1!I:I)</f>
        <v>Machine Learning</v>
      </c>
      <c r="H311" s="8">
        <f>_xlfn.XLOOKUP(A:A,Sheet1!A:A,Sheet1!K:K)</f>
        <v>14</v>
      </c>
      <c r="I311" s="9">
        <f>_xlfn.XLOOKUP(A:A,Sheet1!A:A,Sheet1!M:M)</f>
        <v>75</v>
      </c>
      <c r="J311" s="10">
        <f>_xlfn.XLOOKUP(A:A,Sheet1!A:A,Sheet1!O:O)</f>
        <v>3</v>
      </c>
      <c r="K311" t="str">
        <f>_xlfn.XLOOKUP(A:A,Sheet1!A:A,Sheet1!P:P)</f>
        <v>No</v>
      </c>
      <c r="L311" s="12">
        <f>_xlfn.XLOOKUP(A:A,Sheet1!A:A,Sheet1!S:S)</f>
        <v>0.78</v>
      </c>
    </row>
    <row r="312" spans="1:12" x14ac:dyDescent="0.35">
      <c r="A312" s="8" t="s">
        <v>665</v>
      </c>
      <c r="B312" s="2" t="str">
        <f>_xlfn.XLOOKUP(A312,Sheet1!A:A,Sheet1!B:B)</f>
        <v>Lucas Chen</v>
      </c>
      <c r="C312" s="2" t="str">
        <f>_xlfn.XLOOKUP(A:A,Sheet1!A:A,Sheet1!D:D)</f>
        <v>Male</v>
      </c>
      <c r="D312" s="8">
        <f>_xlfn.XLOOKUP(A:A,Sheet1!A:A,Sheet1!F:F)</f>
        <v>31</v>
      </c>
      <c r="E312" s="2" t="str">
        <f>_xlfn.XLOOKUP(A:A,Sheet1!A:A,Sheet1!G:G)</f>
        <v>Netherlands</v>
      </c>
      <c r="F312" s="8" t="str">
        <f>_xlfn.XLOOKUP(A:A,Sheet1!A:A,Sheet1!H:H)</f>
        <v>Dutch</v>
      </c>
      <c r="G312" s="8" t="str">
        <f>_xlfn.XLOOKUP(A:A,Sheet1!A:A,Sheet1!I:I)</f>
        <v>UI/UX Design</v>
      </c>
      <c r="H312" s="8">
        <f>_xlfn.XLOOKUP(A:A,Sheet1!A:A,Sheet1!K:K)</f>
        <v>2</v>
      </c>
      <c r="I312" s="9">
        <f>_xlfn.XLOOKUP(A:A,Sheet1!A:A,Sheet1!M:M)</f>
        <v>50</v>
      </c>
      <c r="J312" s="10">
        <f>_xlfn.XLOOKUP(A:A,Sheet1!A:A,Sheet1!O:O)</f>
        <v>3.9</v>
      </c>
      <c r="K312" t="str">
        <f>_xlfn.XLOOKUP(A:A,Sheet1!A:A,Sheet1!P:P)</f>
        <v>No</v>
      </c>
      <c r="L312" s="12">
        <f>_xlfn.XLOOKUP(A:A,Sheet1!A:A,Sheet1!S:S)</f>
        <v>0.79269417475728277</v>
      </c>
    </row>
    <row r="313" spans="1:12" x14ac:dyDescent="0.35">
      <c r="A313" s="8" t="s">
        <v>667</v>
      </c>
      <c r="B313" s="2" t="str">
        <f>_xlfn.XLOOKUP(A313,Sheet1!A:A,Sheet1!B:B)</f>
        <v>Ruben Nelson</v>
      </c>
      <c r="C313" s="2" t="str">
        <f>_xlfn.XLOOKUP(A:A,Sheet1!A:A,Sheet1!D:D)</f>
        <v>Male</v>
      </c>
      <c r="D313" s="8">
        <f>_xlfn.XLOOKUP(A:A,Sheet1!A:A,Sheet1!F:F)</f>
        <v>34</v>
      </c>
      <c r="E313" s="2" t="str">
        <f>_xlfn.XLOOKUP(A:A,Sheet1!A:A,Sheet1!G:G)</f>
        <v>Australia</v>
      </c>
      <c r="F313" s="8" t="str">
        <f>_xlfn.XLOOKUP(A:A,Sheet1!A:A,Sheet1!H:H)</f>
        <v>English</v>
      </c>
      <c r="G313" s="8" t="str">
        <f>_xlfn.XLOOKUP(A:A,Sheet1!A:A,Sheet1!I:I)</f>
        <v>DevOps</v>
      </c>
      <c r="H313" s="8">
        <f>_xlfn.XLOOKUP(A:A,Sheet1!A:A,Sheet1!K:K)</f>
        <v>1</v>
      </c>
      <c r="I313" s="9">
        <f>_xlfn.XLOOKUP(A:A,Sheet1!A:A,Sheet1!M:M)</f>
        <v>40</v>
      </c>
      <c r="J313" s="10">
        <f>_xlfn.XLOOKUP(A:A,Sheet1!A:A,Sheet1!O:O)</f>
        <v>1.7</v>
      </c>
      <c r="K313" t="str">
        <f>_xlfn.XLOOKUP(A:A,Sheet1!A:A,Sheet1!P:P)</f>
        <v>No</v>
      </c>
      <c r="L313" s="12">
        <f>_xlfn.XLOOKUP(A:A,Sheet1!A:A,Sheet1!S:S)</f>
        <v>0.74</v>
      </c>
    </row>
    <row r="314" spans="1:12" x14ac:dyDescent="0.35">
      <c r="A314" s="8" t="s">
        <v>669</v>
      </c>
      <c r="B314" s="2" t="str">
        <f>_xlfn.XLOOKUP(A314,Sheet1!A:A,Sheet1!B:B)</f>
        <v>Brenda Briggs</v>
      </c>
      <c r="C314" s="2" t="str">
        <f>_xlfn.XLOOKUP(A:A,Sheet1!A:A,Sheet1!D:D)</f>
        <v>Female</v>
      </c>
      <c r="D314" s="8">
        <f>_xlfn.XLOOKUP(A:A,Sheet1!A:A,Sheet1!F:F)</f>
        <v>47</v>
      </c>
      <c r="E314" s="2" t="str">
        <f>_xlfn.XLOOKUP(A:A,Sheet1!A:A,Sheet1!G:G)</f>
        <v>Brazil</v>
      </c>
      <c r="F314" s="8" t="str">
        <f>_xlfn.XLOOKUP(A:A,Sheet1!A:A,Sheet1!H:H)</f>
        <v>Portuguese</v>
      </c>
      <c r="G314" s="8" t="str">
        <f>_xlfn.XLOOKUP(A:A,Sheet1!A:A,Sheet1!I:I)</f>
        <v>DevOps</v>
      </c>
      <c r="H314" s="8">
        <f>_xlfn.XLOOKUP(A:A,Sheet1!A:A,Sheet1!K:K)</f>
        <v>13</v>
      </c>
      <c r="I314" s="9">
        <f>_xlfn.XLOOKUP(A:A,Sheet1!A:A,Sheet1!M:M)</f>
        <v>20</v>
      </c>
      <c r="J314" s="10">
        <f>_xlfn.XLOOKUP(A:A,Sheet1!A:A,Sheet1!O:O)</f>
        <v>4.5</v>
      </c>
      <c r="K314" t="str">
        <f>_xlfn.XLOOKUP(A:A,Sheet1!A:A,Sheet1!P:P)</f>
        <v>No</v>
      </c>
      <c r="L314" s="12">
        <f>_xlfn.XLOOKUP(A:A,Sheet1!A:A,Sheet1!S:S)</f>
        <v>0.91</v>
      </c>
    </row>
    <row r="315" spans="1:12" x14ac:dyDescent="0.35">
      <c r="A315" s="8" t="s">
        <v>671</v>
      </c>
      <c r="B315" s="2" t="str">
        <f>_xlfn.XLOOKUP(A315,Sheet1!A:A,Sheet1!B:B)</f>
        <v>Ronald Smith</v>
      </c>
      <c r="C315" s="2" t="str">
        <f>_xlfn.XLOOKUP(A:A,Sheet1!A:A,Sheet1!D:D)</f>
        <v>Male</v>
      </c>
      <c r="D315" s="8">
        <f>_xlfn.XLOOKUP(A:A,Sheet1!A:A,Sheet1!F:F)</f>
        <v>50</v>
      </c>
      <c r="E315" s="2" t="str">
        <f>_xlfn.XLOOKUP(A:A,Sheet1!A:A,Sheet1!G:G)</f>
        <v>United States</v>
      </c>
      <c r="F315" s="8" t="str">
        <f>_xlfn.XLOOKUP(A:A,Sheet1!A:A,Sheet1!H:H)</f>
        <v>English</v>
      </c>
      <c r="G315" s="8" t="str">
        <f>_xlfn.XLOOKUP(A:A,Sheet1!A:A,Sheet1!I:I)</f>
        <v>Graphic Design</v>
      </c>
      <c r="H315" s="8">
        <f>_xlfn.XLOOKUP(A:A,Sheet1!A:A,Sheet1!K:K)</f>
        <v>23</v>
      </c>
      <c r="I315" s="9">
        <f>_xlfn.XLOOKUP(A:A,Sheet1!A:A,Sheet1!M:M)</f>
        <v>40</v>
      </c>
      <c r="J315" s="10">
        <f>_xlfn.XLOOKUP(A:A,Sheet1!A:A,Sheet1!O:O)</f>
        <v>3.6</v>
      </c>
      <c r="K315" t="str">
        <f>_xlfn.XLOOKUP(A:A,Sheet1!A:A,Sheet1!P:P)</f>
        <v>Yes</v>
      </c>
      <c r="L315" s="12">
        <f>_xlfn.XLOOKUP(A:A,Sheet1!A:A,Sheet1!S:S)</f>
        <v>0.71</v>
      </c>
    </row>
    <row r="316" spans="1:12" x14ac:dyDescent="0.35">
      <c r="A316" s="8" t="s">
        <v>673</v>
      </c>
      <c r="B316" s="2" t="str">
        <f>_xlfn.XLOOKUP(A316,Sheet1!A:A,Sheet1!B:B)</f>
        <v>Dakota Giles</v>
      </c>
      <c r="C316" s="2" t="str">
        <f>_xlfn.XLOOKUP(A:A,Sheet1!A:A,Sheet1!D:D)</f>
        <v>Male</v>
      </c>
      <c r="D316" s="8">
        <f>_xlfn.XLOOKUP(A:A,Sheet1!A:A,Sheet1!F:F)</f>
        <v>39</v>
      </c>
      <c r="E316" s="2" t="str">
        <f>_xlfn.XLOOKUP(A:A,Sheet1!A:A,Sheet1!G:G)</f>
        <v>Germany</v>
      </c>
      <c r="F316" s="8" t="str">
        <f>_xlfn.XLOOKUP(A:A,Sheet1!A:A,Sheet1!H:H)</f>
        <v>German</v>
      </c>
      <c r="G316" s="8" t="str">
        <f>_xlfn.XLOOKUP(A:A,Sheet1!A:A,Sheet1!I:I)</f>
        <v>Cybersecurity</v>
      </c>
      <c r="H316" s="8">
        <f>_xlfn.XLOOKUP(A:A,Sheet1!A:A,Sheet1!K:K)</f>
        <v>9</v>
      </c>
      <c r="I316" s="9">
        <f>_xlfn.XLOOKUP(A:A,Sheet1!A:A,Sheet1!M:M)</f>
        <v>75</v>
      </c>
      <c r="J316" s="10">
        <f>_xlfn.XLOOKUP(A:A,Sheet1!A:A,Sheet1!O:O)</f>
        <v>3.6</v>
      </c>
      <c r="K316" t="str">
        <f>_xlfn.XLOOKUP(A:A,Sheet1!A:A,Sheet1!P:P)</f>
        <v>Yes</v>
      </c>
      <c r="L316" s="12">
        <f>_xlfn.XLOOKUP(A:A,Sheet1!A:A,Sheet1!S:S)</f>
        <v>0.87</v>
      </c>
    </row>
    <row r="317" spans="1:12" x14ac:dyDescent="0.35">
      <c r="A317" s="8" t="s">
        <v>675</v>
      </c>
      <c r="B317" s="2" t="str">
        <f>_xlfn.XLOOKUP(A317,Sheet1!A:A,Sheet1!B:B)</f>
        <v>Angela Castillo</v>
      </c>
      <c r="C317" s="2" t="str">
        <f>_xlfn.XLOOKUP(A:A,Sheet1!A:A,Sheet1!D:D)</f>
        <v>Female</v>
      </c>
      <c r="D317" s="8">
        <f>_xlfn.XLOOKUP(A:A,Sheet1!A:A,Sheet1!F:F)</f>
        <v>26</v>
      </c>
      <c r="E317" s="2" t="str">
        <f>_xlfn.XLOOKUP(A:A,Sheet1!A:A,Sheet1!G:G)</f>
        <v>Argentina</v>
      </c>
      <c r="F317" s="8" t="str">
        <f>_xlfn.XLOOKUP(A:A,Sheet1!A:A,Sheet1!H:H)</f>
        <v>Spanish</v>
      </c>
      <c r="G317" s="8" t="str">
        <f>_xlfn.XLOOKUP(A:A,Sheet1!A:A,Sheet1!I:I)</f>
        <v>Blockchain Development</v>
      </c>
      <c r="H317" s="8">
        <f>_xlfn.XLOOKUP(A:A,Sheet1!A:A,Sheet1!K:K)</f>
        <v>3</v>
      </c>
      <c r="I317" s="9">
        <f>_xlfn.XLOOKUP(A:A,Sheet1!A:A,Sheet1!M:M)</f>
        <v>100</v>
      </c>
      <c r="J317" s="10">
        <f>_xlfn.XLOOKUP(A:A,Sheet1!A:A,Sheet1!O:O)</f>
        <v>2.8</v>
      </c>
      <c r="K317" t="str">
        <f>_xlfn.XLOOKUP(A:A,Sheet1!A:A,Sheet1!P:P)</f>
        <v>Yes</v>
      </c>
      <c r="L317" s="12">
        <f>_xlfn.XLOOKUP(A:A,Sheet1!A:A,Sheet1!S:S)</f>
        <v>0.61</v>
      </c>
    </row>
    <row r="318" spans="1:12" x14ac:dyDescent="0.35">
      <c r="A318" s="8" t="s">
        <v>677</v>
      </c>
      <c r="B318" s="2" t="str">
        <f>_xlfn.XLOOKUP(A318,Sheet1!A:A,Sheet1!B:B)</f>
        <v>Allen Lee</v>
      </c>
      <c r="C318" s="2" t="str">
        <f>_xlfn.XLOOKUP(A:A,Sheet1!A:A,Sheet1!D:D)</f>
        <v>Male</v>
      </c>
      <c r="D318" s="8">
        <f>_xlfn.XLOOKUP(A:A,Sheet1!A:A,Sheet1!F:F)</f>
        <v>41</v>
      </c>
      <c r="E318" s="2" t="str">
        <f>_xlfn.XLOOKUP(A:A,Sheet1!A:A,Sheet1!G:G)</f>
        <v>Netherlands</v>
      </c>
      <c r="F318" s="8" t="str">
        <f>_xlfn.XLOOKUP(A:A,Sheet1!A:A,Sheet1!H:H)</f>
        <v>Dutch</v>
      </c>
      <c r="G318" s="8" t="str">
        <f>_xlfn.XLOOKUP(A:A,Sheet1!A:A,Sheet1!I:I)</f>
        <v>DevOps</v>
      </c>
      <c r="H318" s="8">
        <f>_xlfn.XLOOKUP(A:A,Sheet1!A:A,Sheet1!K:K)</f>
        <v>0</v>
      </c>
      <c r="I318" s="9">
        <f>_xlfn.XLOOKUP(A:A,Sheet1!A:A,Sheet1!M:M)</f>
        <v>100</v>
      </c>
      <c r="J318" s="10">
        <f>_xlfn.XLOOKUP(A:A,Sheet1!A:A,Sheet1!O:O)</f>
        <v>5</v>
      </c>
      <c r="K318" t="str">
        <f>_xlfn.XLOOKUP(A:A,Sheet1!A:A,Sheet1!P:P)</f>
        <v>No</v>
      </c>
      <c r="L318" s="12">
        <f>_xlfn.XLOOKUP(A:A,Sheet1!A:A,Sheet1!S:S)</f>
        <v>0.79269417475728277</v>
      </c>
    </row>
    <row r="319" spans="1:12" x14ac:dyDescent="0.35">
      <c r="A319" s="8" t="s">
        <v>679</v>
      </c>
      <c r="B319" s="2" t="str">
        <f>_xlfn.XLOOKUP(A319,Sheet1!A:A,Sheet1!B:B)</f>
        <v>Michael Rogers</v>
      </c>
      <c r="C319" s="2" t="str">
        <f>_xlfn.XLOOKUP(A:A,Sheet1!A:A,Sheet1!D:D)</f>
        <v>Male</v>
      </c>
      <c r="D319" s="8">
        <f>_xlfn.XLOOKUP(A:A,Sheet1!A:A,Sheet1!F:F)</f>
        <v>32</v>
      </c>
      <c r="E319" s="2" t="str">
        <f>_xlfn.XLOOKUP(A:A,Sheet1!A:A,Sheet1!G:G)</f>
        <v>Germany</v>
      </c>
      <c r="F319" s="8" t="str">
        <f>_xlfn.XLOOKUP(A:A,Sheet1!A:A,Sheet1!H:H)</f>
        <v>German</v>
      </c>
      <c r="G319" s="8" t="str">
        <f>_xlfn.XLOOKUP(A:A,Sheet1!A:A,Sheet1!I:I)</f>
        <v>Graphic Design</v>
      </c>
      <c r="H319" s="8">
        <f>_xlfn.XLOOKUP(A:A,Sheet1!A:A,Sheet1!K:K)</f>
        <v>0</v>
      </c>
      <c r="I319" s="9">
        <f>_xlfn.XLOOKUP(A:A,Sheet1!A:A,Sheet1!M:M)</f>
        <v>100</v>
      </c>
      <c r="J319" s="10">
        <f>_xlfn.XLOOKUP(A:A,Sheet1!A:A,Sheet1!O:O)</f>
        <v>1.4</v>
      </c>
      <c r="K319" t="str">
        <f>_xlfn.XLOOKUP(A:A,Sheet1!A:A,Sheet1!P:P)</f>
        <v>Yes</v>
      </c>
      <c r="L319" s="12">
        <f>_xlfn.XLOOKUP(A:A,Sheet1!A:A,Sheet1!S:S)</f>
        <v>0.81</v>
      </c>
    </row>
    <row r="320" spans="1:12" x14ac:dyDescent="0.35">
      <c r="A320" s="8" t="s">
        <v>681</v>
      </c>
      <c r="B320" s="2" t="str">
        <f>_xlfn.XLOOKUP(A320,Sheet1!A:A,Sheet1!B:B)</f>
        <v>Danielle Costa</v>
      </c>
      <c r="C320" s="2" t="str">
        <f>_xlfn.XLOOKUP(A:A,Sheet1!A:A,Sheet1!D:D)</f>
        <v>Female</v>
      </c>
      <c r="D320" s="8">
        <f>_xlfn.XLOOKUP(A:A,Sheet1!A:A,Sheet1!F:F)</f>
        <v>55</v>
      </c>
      <c r="E320" s="2" t="str">
        <f>_xlfn.XLOOKUP(A:A,Sheet1!A:A,Sheet1!G:G)</f>
        <v>Russia</v>
      </c>
      <c r="F320" s="8" t="str">
        <f>_xlfn.XLOOKUP(A:A,Sheet1!A:A,Sheet1!H:H)</f>
        <v>Russian</v>
      </c>
      <c r="G320" s="8" t="str">
        <f>_xlfn.XLOOKUP(A:A,Sheet1!A:A,Sheet1!I:I)</f>
        <v>Data Analysis</v>
      </c>
      <c r="H320" s="8">
        <f>_xlfn.XLOOKUP(A:A,Sheet1!A:A,Sheet1!K:K)</f>
        <v>17</v>
      </c>
      <c r="I320" s="9">
        <f>_xlfn.XLOOKUP(A:A,Sheet1!A:A,Sheet1!M:M)</f>
        <v>30</v>
      </c>
      <c r="J320" s="10">
        <f>_xlfn.XLOOKUP(A:A,Sheet1!A:A,Sheet1!O:O)</f>
        <v>2.5125695216907653</v>
      </c>
      <c r="K320" t="str">
        <f>_xlfn.XLOOKUP(A:A,Sheet1!A:A,Sheet1!P:P)</f>
        <v>No</v>
      </c>
      <c r="L320" s="12">
        <f>_xlfn.XLOOKUP(A:A,Sheet1!A:A,Sheet1!S:S)</f>
        <v>0.79269417475728277</v>
      </c>
    </row>
    <row r="321" spans="1:12" x14ac:dyDescent="0.35">
      <c r="A321" s="8" t="s">
        <v>683</v>
      </c>
      <c r="B321" s="2" t="str">
        <f>_xlfn.XLOOKUP(A321,Sheet1!A:A,Sheet1!B:B)</f>
        <v>William Nunez</v>
      </c>
      <c r="C321" s="2" t="str">
        <f>_xlfn.XLOOKUP(A:A,Sheet1!A:A,Sheet1!D:D)</f>
        <v>Male</v>
      </c>
      <c r="D321" s="8">
        <f>_xlfn.XLOOKUP(A:A,Sheet1!A:A,Sheet1!F:F)</f>
        <v>32</v>
      </c>
      <c r="E321" s="2" t="str">
        <f>_xlfn.XLOOKUP(A:A,Sheet1!A:A,Sheet1!G:G)</f>
        <v>Argentina</v>
      </c>
      <c r="F321" s="8" t="str">
        <f>_xlfn.XLOOKUP(A:A,Sheet1!A:A,Sheet1!H:H)</f>
        <v>Spanish</v>
      </c>
      <c r="G321" s="8" t="str">
        <f>_xlfn.XLOOKUP(A:A,Sheet1!A:A,Sheet1!I:I)</f>
        <v>Machine Learning</v>
      </c>
      <c r="H321" s="8">
        <f>_xlfn.XLOOKUP(A:A,Sheet1!A:A,Sheet1!K:K)</f>
        <v>9</v>
      </c>
      <c r="I321" s="9">
        <f>_xlfn.XLOOKUP(A:A,Sheet1!A:A,Sheet1!M:M)</f>
        <v>40</v>
      </c>
      <c r="J321" s="10">
        <f>_xlfn.XLOOKUP(A:A,Sheet1!A:A,Sheet1!O:O)</f>
        <v>4.5999999999999996</v>
      </c>
      <c r="K321" t="str">
        <f>_xlfn.XLOOKUP(A:A,Sheet1!A:A,Sheet1!P:P)</f>
        <v>Yes</v>
      </c>
      <c r="L321" s="12">
        <f>_xlfn.XLOOKUP(A:A,Sheet1!A:A,Sheet1!S:S)</f>
        <v>0.84</v>
      </c>
    </row>
    <row r="322" spans="1:12" x14ac:dyDescent="0.35">
      <c r="A322" s="8" t="s">
        <v>685</v>
      </c>
      <c r="B322" s="2" t="str">
        <f>_xlfn.XLOOKUP(A322,Sheet1!A:A,Sheet1!B:B)</f>
        <v>Christopher Riggs</v>
      </c>
      <c r="C322" s="2" t="str">
        <f>_xlfn.XLOOKUP(A:A,Sheet1!A:A,Sheet1!D:D)</f>
        <v>Male</v>
      </c>
      <c r="D322" s="8">
        <f>_xlfn.XLOOKUP(A:A,Sheet1!A:A,Sheet1!F:F)</f>
        <v>30</v>
      </c>
      <c r="E322" s="2" t="str">
        <f>_xlfn.XLOOKUP(A:A,Sheet1!A:A,Sheet1!G:G)</f>
        <v>South Korea</v>
      </c>
      <c r="F322" s="8" t="str">
        <f>_xlfn.XLOOKUP(A:A,Sheet1!A:A,Sheet1!H:H)</f>
        <v>Korean</v>
      </c>
      <c r="G322" s="8" t="str">
        <f>_xlfn.XLOOKUP(A:A,Sheet1!A:A,Sheet1!I:I)</f>
        <v>Blockchain Development</v>
      </c>
      <c r="H322" s="8">
        <f>_xlfn.XLOOKUP(A:A,Sheet1!A:A,Sheet1!K:K)</f>
        <v>4</v>
      </c>
      <c r="I322" s="9">
        <f>_xlfn.XLOOKUP(A:A,Sheet1!A:A,Sheet1!M:M)</f>
        <v>20</v>
      </c>
      <c r="J322" s="10">
        <f>_xlfn.XLOOKUP(A:A,Sheet1!A:A,Sheet1!O:O)</f>
        <v>3.3</v>
      </c>
      <c r="K322" t="str">
        <f>_xlfn.XLOOKUP(A:A,Sheet1!A:A,Sheet1!P:P)</f>
        <v>No</v>
      </c>
      <c r="L322" s="12">
        <f>_xlfn.XLOOKUP(A:A,Sheet1!A:A,Sheet1!S:S)</f>
        <v>0.79269417475728277</v>
      </c>
    </row>
    <row r="323" spans="1:12" x14ac:dyDescent="0.35">
      <c r="A323" s="8" t="s">
        <v>687</v>
      </c>
      <c r="B323" s="2" t="str">
        <f>_xlfn.XLOOKUP(A323,Sheet1!A:A,Sheet1!B:B)</f>
        <v>Kathryn Myers</v>
      </c>
      <c r="C323" s="2" t="str">
        <f>_xlfn.XLOOKUP(A:A,Sheet1!A:A,Sheet1!D:D)</f>
        <v>Female</v>
      </c>
      <c r="D323" s="8">
        <f>_xlfn.XLOOKUP(A:A,Sheet1!A:A,Sheet1!F:F)</f>
        <v>37</v>
      </c>
      <c r="E323" s="2" t="str">
        <f>_xlfn.XLOOKUP(A:A,Sheet1!A:A,Sheet1!G:G)</f>
        <v>Canada</v>
      </c>
      <c r="F323" s="8" t="str">
        <f>_xlfn.XLOOKUP(A:A,Sheet1!A:A,Sheet1!H:H)</f>
        <v>English</v>
      </c>
      <c r="G323" s="8" t="str">
        <f>_xlfn.XLOOKUP(A:A,Sheet1!A:A,Sheet1!I:I)</f>
        <v>Cybersecurity</v>
      </c>
      <c r="H323" s="8">
        <f>_xlfn.XLOOKUP(A:A,Sheet1!A:A,Sheet1!K:K)</f>
        <v>0</v>
      </c>
      <c r="I323" s="9">
        <f>_xlfn.XLOOKUP(A:A,Sheet1!A:A,Sheet1!M:M)</f>
        <v>40</v>
      </c>
      <c r="J323" s="10">
        <f>_xlfn.XLOOKUP(A:A,Sheet1!A:A,Sheet1!O:O)</f>
        <v>3.7</v>
      </c>
      <c r="K323" t="str">
        <f>_xlfn.XLOOKUP(A:A,Sheet1!A:A,Sheet1!P:P)</f>
        <v>Yes</v>
      </c>
      <c r="L323" s="12">
        <f>_xlfn.XLOOKUP(A:A,Sheet1!A:A,Sheet1!S:S)</f>
        <v>0.79269417475728277</v>
      </c>
    </row>
    <row r="324" spans="1:12" x14ac:dyDescent="0.35">
      <c r="A324" s="8" t="s">
        <v>689</v>
      </c>
      <c r="B324" s="2" t="str">
        <f>_xlfn.XLOOKUP(A324,Sheet1!A:A,Sheet1!B:B)</f>
        <v>Robert Walls</v>
      </c>
      <c r="C324" s="2" t="str">
        <f>_xlfn.XLOOKUP(A:A,Sheet1!A:A,Sheet1!D:D)</f>
        <v>Male</v>
      </c>
      <c r="D324" s="8">
        <f>_xlfn.XLOOKUP(A:A,Sheet1!A:A,Sheet1!F:F)</f>
        <v>52</v>
      </c>
      <c r="E324" s="2" t="str">
        <f>_xlfn.XLOOKUP(A:A,Sheet1!A:A,Sheet1!G:G)</f>
        <v>Brazil</v>
      </c>
      <c r="F324" s="8" t="str">
        <f>_xlfn.XLOOKUP(A:A,Sheet1!A:A,Sheet1!H:H)</f>
        <v>Portuguese</v>
      </c>
      <c r="G324" s="8" t="str">
        <f>_xlfn.XLOOKUP(A:A,Sheet1!A:A,Sheet1!I:I)</f>
        <v>Graphic Design</v>
      </c>
      <c r="H324" s="8">
        <f>_xlfn.XLOOKUP(A:A,Sheet1!A:A,Sheet1!K:K)</f>
        <v>33</v>
      </c>
      <c r="I324" s="9">
        <f>_xlfn.XLOOKUP(A:A,Sheet1!A:A,Sheet1!M:M)</f>
        <v>40</v>
      </c>
      <c r="J324" s="11">
        <v>0</v>
      </c>
      <c r="K324" t="str">
        <f>_xlfn.XLOOKUP(A:A,Sheet1!A:A,Sheet1!P:P)</f>
        <v>Yes</v>
      </c>
      <c r="L324" s="12">
        <f>_xlfn.XLOOKUP(A:A,Sheet1!A:A,Sheet1!S:S)</f>
        <v>0.6</v>
      </c>
    </row>
    <row r="325" spans="1:12" x14ac:dyDescent="0.35">
      <c r="A325" s="8" t="s">
        <v>691</v>
      </c>
      <c r="B325" s="2" t="str">
        <f>_xlfn.XLOOKUP(A325,Sheet1!A:A,Sheet1!B:B)</f>
        <v>Justin Johnson</v>
      </c>
      <c r="C325" s="2" t="str">
        <f>_xlfn.XLOOKUP(A:A,Sheet1!A:A,Sheet1!D:D)</f>
        <v>Male</v>
      </c>
      <c r="D325" s="8">
        <f>_xlfn.XLOOKUP(A:A,Sheet1!A:A,Sheet1!F:F)</f>
        <v>48</v>
      </c>
      <c r="E325" s="2" t="str">
        <f>_xlfn.XLOOKUP(A:A,Sheet1!A:A,Sheet1!G:G)</f>
        <v>India</v>
      </c>
      <c r="F325" s="8" t="str">
        <f>_xlfn.XLOOKUP(A:A,Sheet1!A:A,Sheet1!H:H)</f>
        <v>Hindi</v>
      </c>
      <c r="G325" s="8" t="str">
        <f>_xlfn.XLOOKUP(A:A,Sheet1!A:A,Sheet1!I:I)</f>
        <v>Cybersecurity</v>
      </c>
      <c r="H325" s="8">
        <f>_xlfn.XLOOKUP(A:A,Sheet1!A:A,Sheet1!K:K)</f>
        <v>18</v>
      </c>
      <c r="I325" s="9">
        <f>_xlfn.XLOOKUP(A:A,Sheet1!A:A,Sheet1!M:M)</f>
        <v>50</v>
      </c>
      <c r="J325" s="11">
        <v>0</v>
      </c>
      <c r="K325" t="str">
        <f>_xlfn.XLOOKUP(A:A,Sheet1!A:A,Sheet1!P:P)</f>
        <v>Yes</v>
      </c>
      <c r="L325" s="12">
        <f>_xlfn.XLOOKUP(A:A,Sheet1!A:A,Sheet1!S:S)</f>
        <v>0.64</v>
      </c>
    </row>
    <row r="326" spans="1:12" x14ac:dyDescent="0.35">
      <c r="A326" s="8" t="s">
        <v>693</v>
      </c>
      <c r="B326" s="2" t="str">
        <f>_xlfn.XLOOKUP(A326,Sheet1!A:A,Sheet1!B:B)</f>
        <v>Paula Stevens</v>
      </c>
      <c r="C326" s="2" t="str">
        <f>_xlfn.XLOOKUP(A:A,Sheet1!A:A,Sheet1!D:D)</f>
        <v>Female</v>
      </c>
      <c r="D326" s="8">
        <f>_xlfn.XLOOKUP(A:A,Sheet1!A:A,Sheet1!F:F)</f>
        <v>28</v>
      </c>
      <c r="E326" s="2" t="str">
        <f>_xlfn.XLOOKUP(A:A,Sheet1!A:A,Sheet1!G:G)</f>
        <v>Japan</v>
      </c>
      <c r="F326" s="8" t="str">
        <f>_xlfn.XLOOKUP(A:A,Sheet1!A:A,Sheet1!H:H)</f>
        <v>Japanese</v>
      </c>
      <c r="G326" s="8" t="str">
        <f>_xlfn.XLOOKUP(A:A,Sheet1!A:A,Sheet1!I:I)</f>
        <v>Mobile Apps</v>
      </c>
      <c r="H326" s="8">
        <f>_xlfn.XLOOKUP(A:A,Sheet1!A:A,Sheet1!K:K)</f>
        <v>9</v>
      </c>
      <c r="I326" s="9">
        <f>_xlfn.XLOOKUP(A:A,Sheet1!A:A,Sheet1!M:M)</f>
        <v>40</v>
      </c>
      <c r="J326" s="10">
        <f>_xlfn.XLOOKUP(A:A,Sheet1!A:A,Sheet1!O:O)</f>
        <v>2.5125695216907653</v>
      </c>
      <c r="K326" t="str">
        <f>_xlfn.XLOOKUP(A:A,Sheet1!A:A,Sheet1!P:P)</f>
        <v>Yes</v>
      </c>
      <c r="L326" s="12">
        <f>_xlfn.XLOOKUP(A:A,Sheet1!A:A,Sheet1!S:S)</f>
        <v>0.64</v>
      </c>
    </row>
    <row r="327" spans="1:12" x14ac:dyDescent="0.35">
      <c r="A327" s="8" t="s">
        <v>695</v>
      </c>
      <c r="B327" s="2" t="str">
        <f>_xlfn.XLOOKUP(A327,Sheet1!A:A,Sheet1!B:B)</f>
        <v>Jennifer Allen</v>
      </c>
      <c r="C327" s="2" t="str">
        <f>_xlfn.XLOOKUP(A:A,Sheet1!A:A,Sheet1!D:D)</f>
        <v>Female</v>
      </c>
      <c r="D327" s="8">
        <f>_xlfn.XLOOKUP(A:A,Sheet1!A:A,Sheet1!F:F)</f>
        <v>58</v>
      </c>
      <c r="E327" s="2" t="str">
        <f>_xlfn.XLOOKUP(A:A,Sheet1!A:A,Sheet1!G:G)</f>
        <v>Spain</v>
      </c>
      <c r="F327" s="8" t="str">
        <f>_xlfn.XLOOKUP(A:A,Sheet1!A:A,Sheet1!H:H)</f>
        <v>Spanish</v>
      </c>
      <c r="G327" s="8" t="str">
        <f>_xlfn.XLOOKUP(A:A,Sheet1!A:A,Sheet1!I:I)</f>
        <v>Data Analysis</v>
      </c>
      <c r="H327" s="8">
        <f>_xlfn.XLOOKUP(A:A,Sheet1!A:A,Sheet1!K:K)</f>
        <v>40</v>
      </c>
      <c r="I327" s="9">
        <f>_xlfn.XLOOKUP(A:A,Sheet1!A:A,Sheet1!M:M)</f>
        <v>75</v>
      </c>
      <c r="J327" s="10">
        <f>_xlfn.XLOOKUP(A:A,Sheet1!A:A,Sheet1!O:O)</f>
        <v>3.4</v>
      </c>
      <c r="K327" t="str">
        <f>_xlfn.XLOOKUP(A:A,Sheet1!A:A,Sheet1!P:P)</f>
        <v>Yes</v>
      </c>
      <c r="L327" s="12">
        <f>_xlfn.XLOOKUP(A:A,Sheet1!A:A,Sheet1!S:S)</f>
        <v>1</v>
      </c>
    </row>
    <row r="328" spans="1:12" x14ac:dyDescent="0.35">
      <c r="A328" s="8" t="s">
        <v>697</v>
      </c>
      <c r="B328" s="2" t="str">
        <f>_xlfn.XLOOKUP(A328,Sheet1!A:A,Sheet1!B:B)</f>
        <v>Mark Hudson</v>
      </c>
      <c r="C328" s="2" t="str">
        <f>_xlfn.XLOOKUP(A:A,Sheet1!A:A,Sheet1!D:D)</f>
        <v>Male</v>
      </c>
      <c r="D328" s="8">
        <f>_xlfn.XLOOKUP(A:A,Sheet1!A:A,Sheet1!F:F)</f>
        <v>30</v>
      </c>
      <c r="E328" s="2" t="str">
        <f>_xlfn.XLOOKUP(A:A,Sheet1!A:A,Sheet1!G:G)</f>
        <v>Argentina</v>
      </c>
      <c r="F328" s="8" t="str">
        <f>_xlfn.XLOOKUP(A:A,Sheet1!A:A,Sheet1!H:H)</f>
        <v>Spanish</v>
      </c>
      <c r="G328" s="8" t="str">
        <f>_xlfn.XLOOKUP(A:A,Sheet1!A:A,Sheet1!I:I)</f>
        <v>Web Development</v>
      </c>
      <c r="H328" s="8">
        <f>_xlfn.XLOOKUP(A:A,Sheet1!A:A,Sheet1!K:K)</f>
        <v>1</v>
      </c>
      <c r="I328" s="9">
        <f>_xlfn.XLOOKUP(A:A,Sheet1!A:A,Sheet1!M:M)</f>
        <v>40</v>
      </c>
      <c r="J328" s="10">
        <f>_xlfn.XLOOKUP(A:A,Sheet1!A:A,Sheet1!O:O)</f>
        <v>1.6</v>
      </c>
      <c r="K328" t="str">
        <f>_xlfn.XLOOKUP(A:A,Sheet1!A:A,Sheet1!P:P)</f>
        <v>Yes</v>
      </c>
      <c r="L328" s="12">
        <f>_xlfn.XLOOKUP(A:A,Sheet1!A:A,Sheet1!S:S)</f>
        <v>1</v>
      </c>
    </row>
    <row r="329" spans="1:12" x14ac:dyDescent="0.35">
      <c r="A329" s="8" t="s">
        <v>699</v>
      </c>
      <c r="B329" s="2" t="str">
        <f>_xlfn.XLOOKUP(A329,Sheet1!A:A,Sheet1!B:B)</f>
        <v>Jessica Smith</v>
      </c>
      <c r="C329" s="2" t="str">
        <f>_xlfn.XLOOKUP(A:A,Sheet1!A:A,Sheet1!D:D)</f>
        <v>Female</v>
      </c>
      <c r="D329" s="8">
        <f>_xlfn.XLOOKUP(A:A,Sheet1!A:A,Sheet1!F:F)</f>
        <v>47</v>
      </c>
      <c r="E329" s="2" t="str">
        <f>_xlfn.XLOOKUP(A:A,Sheet1!A:A,Sheet1!G:G)</f>
        <v>China</v>
      </c>
      <c r="F329" s="8" t="str">
        <f>_xlfn.XLOOKUP(A:A,Sheet1!A:A,Sheet1!H:H)</f>
        <v>Mandarin</v>
      </c>
      <c r="G329" s="8" t="str">
        <f>_xlfn.XLOOKUP(A:A,Sheet1!A:A,Sheet1!I:I)</f>
        <v>Mobile Apps</v>
      </c>
      <c r="H329" s="8">
        <f>_xlfn.XLOOKUP(A:A,Sheet1!A:A,Sheet1!K:K)</f>
        <v>5</v>
      </c>
      <c r="I329" s="9">
        <f>_xlfn.XLOOKUP(A:A,Sheet1!A:A,Sheet1!M:M)</f>
        <v>20</v>
      </c>
      <c r="J329" s="10">
        <f>_xlfn.XLOOKUP(A:A,Sheet1!A:A,Sheet1!O:O)</f>
        <v>1.9</v>
      </c>
      <c r="K329" t="str">
        <f>_xlfn.XLOOKUP(A:A,Sheet1!A:A,Sheet1!P:P)</f>
        <v>No</v>
      </c>
      <c r="L329" s="12">
        <f>_xlfn.XLOOKUP(A:A,Sheet1!A:A,Sheet1!S:S)</f>
        <v>0.79269417475728277</v>
      </c>
    </row>
    <row r="330" spans="1:12" x14ac:dyDescent="0.35">
      <c r="A330" s="8" t="s">
        <v>701</v>
      </c>
      <c r="B330" s="2" t="str">
        <f>_xlfn.XLOOKUP(A330,Sheet1!A:A,Sheet1!B:B)</f>
        <v>Mike Dean</v>
      </c>
      <c r="C330" s="2" t="str">
        <f>_xlfn.XLOOKUP(A:A,Sheet1!A:A,Sheet1!D:D)</f>
        <v>Male</v>
      </c>
      <c r="D330" s="8">
        <f>_xlfn.XLOOKUP(A:A,Sheet1!A:A,Sheet1!F:F)</f>
        <v>44</v>
      </c>
      <c r="E330" s="2" t="str">
        <f>_xlfn.XLOOKUP(A:A,Sheet1!A:A,Sheet1!G:G)</f>
        <v>Argentina</v>
      </c>
      <c r="F330" s="8" t="str">
        <f>_xlfn.XLOOKUP(A:A,Sheet1!A:A,Sheet1!H:H)</f>
        <v>Spanish</v>
      </c>
      <c r="G330" s="8" t="str">
        <f>_xlfn.XLOOKUP(A:A,Sheet1!A:A,Sheet1!I:I)</f>
        <v>AI</v>
      </c>
      <c r="H330" s="8">
        <f>_xlfn.XLOOKUP(A:A,Sheet1!A:A,Sheet1!K:K)</f>
        <v>4</v>
      </c>
      <c r="I330" s="9">
        <f>_xlfn.XLOOKUP(A:A,Sheet1!A:A,Sheet1!M:M)</f>
        <v>50</v>
      </c>
      <c r="J330" s="11">
        <v>0</v>
      </c>
      <c r="K330" t="str">
        <f>_xlfn.XLOOKUP(A:A,Sheet1!A:A,Sheet1!P:P)</f>
        <v>Yes</v>
      </c>
      <c r="L330" s="12">
        <f>_xlfn.XLOOKUP(A:A,Sheet1!A:A,Sheet1!S:S)</f>
        <v>0.83</v>
      </c>
    </row>
    <row r="331" spans="1:12" x14ac:dyDescent="0.35">
      <c r="A331" s="8" t="s">
        <v>703</v>
      </c>
      <c r="B331" s="2" t="str">
        <f>_xlfn.XLOOKUP(A331,Sheet1!A:A,Sheet1!B:B)</f>
        <v>Jose Wilson</v>
      </c>
      <c r="C331" s="2" t="str">
        <f>_xlfn.XLOOKUP(A:A,Sheet1!A:A,Sheet1!D:D)</f>
        <v>Male</v>
      </c>
      <c r="D331" s="8">
        <f>_xlfn.XLOOKUP(A:A,Sheet1!A:A,Sheet1!F:F)</f>
        <v>56</v>
      </c>
      <c r="E331" s="2" t="str">
        <f>_xlfn.XLOOKUP(A:A,Sheet1!A:A,Sheet1!G:G)</f>
        <v>Italy</v>
      </c>
      <c r="F331" s="8" t="str">
        <f>_xlfn.XLOOKUP(A:A,Sheet1!A:A,Sheet1!H:H)</f>
        <v>Italian</v>
      </c>
      <c r="G331" s="8" t="str">
        <f>_xlfn.XLOOKUP(A:A,Sheet1!A:A,Sheet1!I:I)</f>
        <v>Machine Learning</v>
      </c>
      <c r="H331" s="8">
        <f>_xlfn.XLOOKUP(A:A,Sheet1!A:A,Sheet1!K:K)</f>
        <v>13</v>
      </c>
      <c r="I331" s="9">
        <f>_xlfn.XLOOKUP(A:A,Sheet1!A:A,Sheet1!M:M)</f>
        <v>40</v>
      </c>
      <c r="J331" s="10">
        <f>_xlfn.XLOOKUP(A:A,Sheet1!A:A,Sheet1!O:O)</f>
        <v>2.5125695216907653</v>
      </c>
      <c r="K331" t="str">
        <f>_xlfn.XLOOKUP(A:A,Sheet1!A:A,Sheet1!P:P)</f>
        <v>Yes</v>
      </c>
      <c r="L331" s="12">
        <f>_xlfn.XLOOKUP(A:A,Sheet1!A:A,Sheet1!S:S)</f>
        <v>0.87</v>
      </c>
    </row>
    <row r="332" spans="1:12" x14ac:dyDescent="0.35">
      <c r="A332" s="8" t="s">
        <v>705</v>
      </c>
      <c r="B332" s="2" t="str">
        <f>_xlfn.XLOOKUP(A332,Sheet1!A:A,Sheet1!B:B)</f>
        <v>Tammy Hill</v>
      </c>
      <c r="C332" s="2" t="str">
        <f>_xlfn.XLOOKUP(A:A,Sheet1!A:A,Sheet1!D:D)</f>
        <v>Female</v>
      </c>
      <c r="D332" s="8">
        <f>_xlfn.XLOOKUP(A:A,Sheet1!A:A,Sheet1!F:F)</f>
        <v>53</v>
      </c>
      <c r="E332" s="2" t="str">
        <f>_xlfn.XLOOKUP(A:A,Sheet1!A:A,Sheet1!G:G)</f>
        <v>United States</v>
      </c>
      <c r="F332" s="8" t="str">
        <f>_xlfn.XLOOKUP(A:A,Sheet1!A:A,Sheet1!H:H)</f>
        <v>English</v>
      </c>
      <c r="G332" s="8" t="str">
        <f>_xlfn.XLOOKUP(A:A,Sheet1!A:A,Sheet1!I:I)</f>
        <v>Mobile Apps</v>
      </c>
      <c r="H332" s="8">
        <f>_xlfn.XLOOKUP(A:A,Sheet1!A:A,Sheet1!K:K)</f>
        <v>33</v>
      </c>
      <c r="I332" s="9">
        <f>_xlfn.XLOOKUP(A:A,Sheet1!A:A,Sheet1!M:M)</f>
        <v>100</v>
      </c>
      <c r="J332" s="10">
        <f>_xlfn.XLOOKUP(A:A,Sheet1!A:A,Sheet1!O:O)</f>
        <v>2.5125695216907653</v>
      </c>
      <c r="K332" t="str">
        <f>_xlfn.XLOOKUP(A:A,Sheet1!A:A,Sheet1!P:P)</f>
        <v>No</v>
      </c>
      <c r="L332" s="12">
        <f>_xlfn.XLOOKUP(A:A,Sheet1!A:A,Sheet1!S:S)</f>
        <v>0.75</v>
      </c>
    </row>
    <row r="333" spans="1:12" x14ac:dyDescent="0.35">
      <c r="A333" s="8" t="s">
        <v>707</v>
      </c>
      <c r="B333" s="2" t="str">
        <f>_xlfn.XLOOKUP(A333,Sheet1!A:A,Sheet1!B:B)</f>
        <v>Nathaniel Flores</v>
      </c>
      <c r="C333" s="2" t="str">
        <f>_xlfn.XLOOKUP(A:A,Sheet1!A:A,Sheet1!D:D)</f>
        <v>Male</v>
      </c>
      <c r="D333" s="8">
        <f>_xlfn.XLOOKUP(A:A,Sheet1!A:A,Sheet1!F:F)</f>
        <v>59</v>
      </c>
      <c r="E333" s="2" t="str">
        <f>_xlfn.XLOOKUP(A:A,Sheet1!A:A,Sheet1!G:G)</f>
        <v>United Kingdom</v>
      </c>
      <c r="F333" s="8" t="str">
        <f>_xlfn.XLOOKUP(A:A,Sheet1!A:A,Sheet1!H:H)</f>
        <v>English</v>
      </c>
      <c r="G333" s="8" t="str">
        <f>_xlfn.XLOOKUP(A:A,Sheet1!A:A,Sheet1!I:I)</f>
        <v>Mobile Apps</v>
      </c>
      <c r="H333" s="8">
        <f>_xlfn.XLOOKUP(A:A,Sheet1!A:A,Sheet1!K:K)</f>
        <v>22</v>
      </c>
      <c r="I333" s="9">
        <f>_xlfn.XLOOKUP(A:A,Sheet1!A:A,Sheet1!M:M)</f>
        <v>40</v>
      </c>
      <c r="J333" s="10">
        <f>_xlfn.XLOOKUP(A:A,Sheet1!A:A,Sheet1!O:O)</f>
        <v>1.1000000000000001</v>
      </c>
      <c r="K333" t="str">
        <f>_xlfn.XLOOKUP(A:A,Sheet1!A:A,Sheet1!P:P)</f>
        <v>Yes</v>
      </c>
      <c r="L333" s="12">
        <f>_xlfn.XLOOKUP(A:A,Sheet1!A:A,Sheet1!S:S)</f>
        <v>0.61</v>
      </c>
    </row>
    <row r="334" spans="1:12" x14ac:dyDescent="0.35">
      <c r="A334" s="8" t="s">
        <v>709</v>
      </c>
      <c r="B334" s="2" t="str">
        <f>_xlfn.XLOOKUP(A334,Sheet1!A:A,Sheet1!B:B)</f>
        <v>Edwin Carter</v>
      </c>
      <c r="C334" s="2" t="str">
        <f>_xlfn.XLOOKUP(A:A,Sheet1!A:A,Sheet1!D:D)</f>
        <v>Male</v>
      </c>
      <c r="D334" s="8">
        <f>_xlfn.XLOOKUP(A:A,Sheet1!A:A,Sheet1!F:F)</f>
        <v>60</v>
      </c>
      <c r="E334" s="2" t="str">
        <f>_xlfn.XLOOKUP(A:A,Sheet1!A:A,Sheet1!G:G)</f>
        <v>United States</v>
      </c>
      <c r="F334" s="8" t="str">
        <f>_xlfn.XLOOKUP(A:A,Sheet1!A:A,Sheet1!H:H)</f>
        <v>English</v>
      </c>
      <c r="G334" s="8" t="str">
        <f>_xlfn.XLOOKUP(A:A,Sheet1!A:A,Sheet1!I:I)</f>
        <v>DevOps</v>
      </c>
      <c r="H334" s="8">
        <f>_xlfn.XLOOKUP(A:A,Sheet1!A:A,Sheet1!K:K)</f>
        <v>34</v>
      </c>
      <c r="I334" s="9">
        <f>_xlfn.XLOOKUP(A:A,Sheet1!A:A,Sheet1!M:M)</f>
        <v>40</v>
      </c>
      <c r="J334" s="10">
        <f>_xlfn.XLOOKUP(A:A,Sheet1!A:A,Sheet1!O:O)</f>
        <v>2.5</v>
      </c>
      <c r="K334" t="str">
        <f>_xlfn.XLOOKUP(A:A,Sheet1!A:A,Sheet1!P:P)</f>
        <v>No</v>
      </c>
      <c r="L334" s="12">
        <f>_xlfn.XLOOKUP(A:A,Sheet1!A:A,Sheet1!S:S)</f>
        <v>0.93</v>
      </c>
    </row>
    <row r="335" spans="1:12" x14ac:dyDescent="0.35">
      <c r="A335" s="8" t="s">
        <v>711</v>
      </c>
      <c r="B335" s="2" t="str">
        <f>_xlfn.XLOOKUP(A335,Sheet1!A:A,Sheet1!B:B)</f>
        <v>Patricia Miller</v>
      </c>
      <c r="C335" s="2" t="str">
        <f>_xlfn.XLOOKUP(A:A,Sheet1!A:A,Sheet1!D:D)</f>
        <v>Female</v>
      </c>
      <c r="D335" s="8">
        <f>_xlfn.XLOOKUP(A:A,Sheet1!A:A,Sheet1!F:F)</f>
        <v>33</v>
      </c>
      <c r="E335" s="2" t="str">
        <f>_xlfn.XLOOKUP(A:A,Sheet1!A:A,Sheet1!G:G)</f>
        <v>Germany</v>
      </c>
      <c r="F335" s="8" t="str">
        <f>_xlfn.XLOOKUP(A:A,Sheet1!A:A,Sheet1!H:H)</f>
        <v>German</v>
      </c>
      <c r="G335" s="8" t="str">
        <f>_xlfn.XLOOKUP(A:A,Sheet1!A:A,Sheet1!I:I)</f>
        <v>Mobile Apps</v>
      </c>
      <c r="H335" s="8">
        <f>_xlfn.XLOOKUP(A:A,Sheet1!A:A,Sheet1!K:K)</f>
        <v>8</v>
      </c>
      <c r="I335" s="9">
        <f>_xlfn.XLOOKUP(A:A,Sheet1!A:A,Sheet1!M:M)</f>
        <v>30</v>
      </c>
      <c r="J335" s="10">
        <f>_xlfn.XLOOKUP(A:A,Sheet1!A:A,Sheet1!O:O)</f>
        <v>3.6</v>
      </c>
      <c r="K335" t="str">
        <f>_xlfn.XLOOKUP(A:A,Sheet1!A:A,Sheet1!P:P)</f>
        <v>Yes</v>
      </c>
      <c r="L335" s="12">
        <f>_xlfn.XLOOKUP(A:A,Sheet1!A:A,Sheet1!S:S)</f>
        <v>0.79269417475728277</v>
      </c>
    </row>
    <row r="336" spans="1:12" x14ac:dyDescent="0.35">
      <c r="A336" s="8" t="s">
        <v>713</v>
      </c>
      <c r="B336" s="2" t="str">
        <f>_xlfn.XLOOKUP(A336,Sheet1!A:A,Sheet1!B:B)</f>
        <v>Rebecca Schneider</v>
      </c>
      <c r="C336" s="2" t="str">
        <f>_xlfn.XLOOKUP(A:A,Sheet1!A:A,Sheet1!D:D)</f>
        <v>Female</v>
      </c>
      <c r="D336" s="8">
        <f>_xlfn.XLOOKUP(A:A,Sheet1!A:A,Sheet1!F:F)</f>
        <v>21</v>
      </c>
      <c r="E336" s="2" t="str">
        <f>_xlfn.XLOOKUP(A:A,Sheet1!A:A,Sheet1!G:G)</f>
        <v>Argentina</v>
      </c>
      <c r="F336" s="8" t="str">
        <f>_xlfn.XLOOKUP(A:A,Sheet1!A:A,Sheet1!H:H)</f>
        <v>Spanish</v>
      </c>
      <c r="G336" s="8" t="str">
        <f>_xlfn.XLOOKUP(A:A,Sheet1!A:A,Sheet1!I:I)</f>
        <v>Web Development</v>
      </c>
      <c r="H336" s="8">
        <f>_xlfn.XLOOKUP(A:A,Sheet1!A:A,Sheet1!K:K)</f>
        <v>1</v>
      </c>
      <c r="I336" s="9">
        <f>_xlfn.XLOOKUP(A:A,Sheet1!A:A,Sheet1!M:M)</f>
        <v>20</v>
      </c>
      <c r="J336" s="10">
        <f>_xlfn.XLOOKUP(A:A,Sheet1!A:A,Sheet1!O:O)</f>
        <v>2.5125695216907653</v>
      </c>
      <c r="K336" t="str">
        <f>_xlfn.XLOOKUP(A:A,Sheet1!A:A,Sheet1!P:P)</f>
        <v>No</v>
      </c>
      <c r="L336" s="12">
        <f>_xlfn.XLOOKUP(A:A,Sheet1!A:A,Sheet1!S:S)</f>
        <v>0.99</v>
      </c>
    </row>
    <row r="337" spans="1:12" x14ac:dyDescent="0.35">
      <c r="A337" s="8" t="s">
        <v>715</v>
      </c>
      <c r="B337" s="2" t="str">
        <f>_xlfn.XLOOKUP(A337,Sheet1!A:A,Sheet1!B:B)</f>
        <v>John Greene</v>
      </c>
      <c r="C337" s="2" t="str">
        <f>_xlfn.XLOOKUP(A:A,Sheet1!A:A,Sheet1!D:D)</f>
        <v>Male</v>
      </c>
      <c r="D337" s="8">
        <f>_xlfn.XLOOKUP(A:A,Sheet1!A:A,Sheet1!F:F)</f>
        <v>54</v>
      </c>
      <c r="E337" s="2" t="str">
        <f>_xlfn.XLOOKUP(A:A,Sheet1!A:A,Sheet1!G:G)</f>
        <v>United Kingdom</v>
      </c>
      <c r="F337" s="8" t="str">
        <f>_xlfn.XLOOKUP(A:A,Sheet1!A:A,Sheet1!H:H)</f>
        <v>English</v>
      </c>
      <c r="G337" s="8" t="str">
        <f>_xlfn.XLOOKUP(A:A,Sheet1!A:A,Sheet1!I:I)</f>
        <v>UI/UX Design</v>
      </c>
      <c r="H337" s="8">
        <f>_xlfn.XLOOKUP(A:A,Sheet1!A:A,Sheet1!K:K)</f>
        <v>20</v>
      </c>
      <c r="I337" s="9">
        <f>_xlfn.XLOOKUP(A:A,Sheet1!A:A,Sheet1!M:M)</f>
        <v>50</v>
      </c>
      <c r="J337" s="10">
        <f>_xlfn.XLOOKUP(A:A,Sheet1!A:A,Sheet1!O:O)</f>
        <v>4.4000000000000004</v>
      </c>
      <c r="K337" t="str">
        <f>_xlfn.XLOOKUP(A:A,Sheet1!A:A,Sheet1!P:P)</f>
        <v>No</v>
      </c>
      <c r="L337" s="12">
        <f>_xlfn.XLOOKUP(A:A,Sheet1!A:A,Sheet1!S:S)</f>
        <v>0.73</v>
      </c>
    </row>
    <row r="338" spans="1:12" x14ac:dyDescent="0.35">
      <c r="A338" s="8" t="s">
        <v>717</v>
      </c>
      <c r="B338" s="2" t="str">
        <f>_xlfn.XLOOKUP(A338,Sheet1!A:A,Sheet1!B:B)</f>
        <v>Brittany Mcdowell</v>
      </c>
      <c r="C338" s="2" t="str">
        <f>_xlfn.XLOOKUP(A:A,Sheet1!A:A,Sheet1!D:D)</f>
        <v>Female</v>
      </c>
      <c r="D338" s="8">
        <f>_xlfn.XLOOKUP(A:A,Sheet1!A:A,Sheet1!F:F)</f>
        <v>33</v>
      </c>
      <c r="E338" s="2" t="str">
        <f>_xlfn.XLOOKUP(A:A,Sheet1!A:A,Sheet1!G:G)</f>
        <v>United States</v>
      </c>
      <c r="F338" s="8" t="str">
        <f>_xlfn.XLOOKUP(A:A,Sheet1!A:A,Sheet1!H:H)</f>
        <v>English</v>
      </c>
      <c r="G338" s="8" t="str">
        <f>_xlfn.XLOOKUP(A:A,Sheet1!A:A,Sheet1!I:I)</f>
        <v>Graphic Design</v>
      </c>
      <c r="H338" s="8">
        <f>_xlfn.XLOOKUP(A:A,Sheet1!A:A,Sheet1!K:K)</f>
        <v>11</v>
      </c>
      <c r="I338" s="9">
        <f>_xlfn.XLOOKUP(A:A,Sheet1!A:A,Sheet1!M:M)</f>
        <v>75</v>
      </c>
      <c r="J338" s="10">
        <f>_xlfn.XLOOKUP(A:A,Sheet1!A:A,Sheet1!O:O)</f>
        <v>2.1</v>
      </c>
      <c r="K338" t="str">
        <f>_xlfn.XLOOKUP(A:A,Sheet1!A:A,Sheet1!P:P)</f>
        <v>No</v>
      </c>
      <c r="L338" s="12">
        <f>_xlfn.XLOOKUP(A:A,Sheet1!A:A,Sheet1!S:S)</f>
        <v>0.96</v>
      </c>
    </row>
    <row r="339" spans="1:12" x14ac:dyDescent="0.35">
      <c r="A339" s="8" t="s">
        <v>719</v>
      </c>
      <c r="B339" s="2" t="str">
        <f>_xlfn.XLOOKUP(A339,Sheet1!A:A,Sheet1!B:B)</f>
        <v>Lori Miller</v>
      </c>
      <c r="C339" s="2" t="str">
        <f>_xlfn.XLOOKUP(A:A,Sheet1!A:A,Sheet1!D:D)</f>
        <v>Female</v>
      </c>
      <c r="D339" s="8">
        <f>_xlfn.XLOOKUP(A:A,Sheet1!A:A,Sheet1!F:F)</f>
        <v>57</v>
      </c>
      <c r="E339" s="2" t="str">
        <f>_xlfn.XLOOKUP(A:A,Sheet1!A:A,Sheet1!G:G)</f>
        <v>Turkey</v>
      </c>
      <c r="F339" s="8" t="str">
        <f>_xlfn.XLOOKUP(A:A,Sheet1!A:A,Sheet1!H:H)</f>
        <v>Turkish</v>
      </c>
      <c r="G339" s="8" t="str">
        <f>_xlfn.XLOOKUP(A:A,Sheet1!A:A,Sheet1!I:I)</f>
        <v>Data Analysis</v>
      </c>
      <c r="H339" s="8">
        <f>_xlfn.XLOOKUP(A:A,Sheet1!A:A,Sheet1!K:K)</f>
        <v>2</v>
      </c>
      <c r="I339" s="9">
        <f>_xlfn.XLOOKUP(A:A,Sheet1!A:A,Sheet1!M:M)</f>
        <v>40</v>
      </c>
      <c r="J339" s="11">
        <v>0</v>
      </c>
      <c r="K339" t="str">
        <f>_xlfn.XLOOKUP(A:A,Sheet1!A:A,Sheet1!P:P)</f>
        <v>No</v>
      </c>
      <c r="L339" s="12">
        <f>_xlfn.XLOOKUP(A:A,Sheet1!A:A,Sheet1!S:S)</f>
        <v>0.6</v>
      </c>
    </row>
    <row r="340" spans="1:12" x14ac:dyDescent="0.35">
      <c r="A340" s="8" t="s">
        <v>721</v>
      </c>
      <c r="B340" s="2" t="str">
        <f>_xlfn.XLOOKUP(A340,Sheet1!A:A,Sheet1!B:B)</f>
        <v>Joseph Robinson</v>
      </c>
      <c r="C340" s="2" t="str">
        <f>_xlfn.XLOOKUP(A:A,Sheet1!A:A,Sheet1!D:D)</f>
        <v>Male</v>
      </c>
      <c r="D340" s="8">
        <f>_xlfn.XLOOKUP(A:A,Sheet1!A:A,Sheet1!F:F)</f>
        <v>36</v>
      </c>
      <c r="E340" s="2" t="str">
        <f>_xlfn.XLOOKUP(A:A,Sheet1!A:A,Sheet1!G:G)</f>
        <v>South Korea</v>
      </c>
      <c r="F340" s="8" t="str">
        <f>_xlfn.XLOOKUP(A:A,Sheet1!A:A,Sheet1!H:H)</f>
        <v>Korean</v>
      </c>
      <c r="G340" s="8" t="str">
        <f>_xlfn.XLOOKUP(A:A,Sheet1!A:A,Sheet1!I:I)</f>
        <v>Graphic Design</v>
      </c>
      <c r="H340" s="8">
        <f>_xlfn.XLOOKUP(A:A,Sheet1!A:A,Sheet1!K:K)</f>
        <v>6</v>
      </c>
      <c r="I340" s="9">
        <f>_xlfn.XLOOKUP(A:A,Sheet1!A:A,Sheet1!M:M)</f>
        <v>20</v>
      </c>
      <c r="J340" s="10">
        <f>_xlfn.XLOOKUP(A:A,Sheet1!A:A,Sheet1!O:O)</f>
        <v>1</v>
      </c>
      <c r="K340" t="str">
        <f>_xlfn.XLOOKUP(A:A,Sheet1!A:A,Sheet1!P:P)</f>
        <v>Yes</v>
      </c>
      <c r="L340" s="12">
        <f>_xlfn.XLOOKUP(A:A,Sheet1!A:A,Sheet1!S:S)</f>
        <v>0.64</v>
      </c>
    </row>
    <row r="341" spans="1:12" x14ac:dyDescent="0.35">
      <c r="A341" s="8" t="s">
        <v>723</v>
      </c>
      <c r="B341" s="2" t="str">
        <f>_xlfn.XLOOKUP(A341,Sheet1!A:A,Sheet1!B:B)</f>
        <v>Aaron Pruitt</v>
      </c>
      <c r="C341" s="2" t="str">
        <f>_xlfn.XLOOKUP(A:A,Sheet1!A:A,Sheet1!D:D)</f>
        <v>Male</v>
      </c>
      <c r="D341" s="8">
        <f>_xlfn.XLOOKUP(A:A,Sheet1!A:A,Sheet1!F:F)</f>
        <v>50</v>
      </c>
      <c r="E341" s="2" t="str">
        <f>_xlfn.XLOOKUP(A:A,Sheet1!A:A,Sheet1!G:G)</f>
        <v>Germany</v>
      </c>
      <c r="F341" s="8" t="str">
        <f>_xlfn.XLOOKUP(A:A,Sheet1!A:A,Sheet1!H:H)</f>
        <v>German</v>
      </c>
      <c r="G341" s="8" t="str">
        <f>_xlfn.XLOOKUP(A:A,Sheet1!A:A,Sheet1!I:I)</f>
        <v>Blockchain Development</v>
      </c>
      <c r="H341" s="8">
        <f>_xlfn.XLOOKUP(A:A,Sheet1!A:A,Sheet1!K:K)</f>
        <v>20</v>
      </c>
      <c r="I341" s="9">
        <f>_xlfn.XLOOKUP(A:A,Sheet1!A:A,Sheet1!M:M)</f>
        <v>30</v>
      </c>
      <c r="J341" s="11">
        <v>0</v>
      </c>
      <c r="K341" t="str">
        <f>_xlfn.XLOOKUP(A:A,Sheet1!A:A,Sheet1!P:P)</f>
        <v>No</v>
      </c>
      <c r="L341" s="12">
        <f>_xlfn.XLOOKUP(A:A,Sheet1!A:A,Sheet1!S:S)</f>
        <v>0.79269417475728277</v>
      </c>
    </row>
    <row r="342" spans="1:12" x14ac:dyDescent="0.35">
      <c r="A342" s="8" t="s">
        <v>725</v>
      </c>
      <c r="B342" s="2" t="str">
        <f>_xlfn.XLOOKUP(A342,Sheet1!A:A,Sheet1!B:B)</f>
        <v>Victoria Miller</v>
      </c>
      <c r="C342" s="2" t="str">
        <f>_xlfn.XLOOKUP(A:A,Sheet1!A:A,Sheet1!D:D)</f>
        <v>Female</v>
      </c>
      <c r="D342" s="8">
        <f>_xlfn.XLOOKUP(A:A,Sheet1!A:A,Sheet1!F:F)</f>
        <v>37</v>
      </c>
      <c r="E342" s="2" t="str">
        <f>_xlfn.XLOOKUP(A:A,Sheet1!A:A,Sheet1!G:G)</f>
        <v>Canada</v>
      </c>
      <c r="F342" s="8" t="str">
        <f>_xlfn.XLOOKUP(A:A,Sheet1!A:A,Sheet1!H:H)</f>
        <v>English</v>
      </c>
      <c r="G342" s="8" t="str">
        <f>_xlfn.XLOOKUP(A:A,Sheet1!A:A,Sheet1!I:I)</f>
        <v>DevOps</v>
      </c>
      <c r="H342" s="8">
        <f>_xlfn.XLOOKUP(A:A,Sheet1!A:A,Sheet1!K:K)</f>
        <v>9</v>
      </c>
      <c r="I342" s="9">
        <f>_xlfn.XLOOKUP(A:A,Sheet1!A:A,Sheet1!M:M)</f>
        <v>20</v>
      </c>
      <c r="J342" s="10">
        <f>_xlfn.XLOOKUP(A:A,Sheet1!A:A,Sheet1!O:O)</f>
        <v>4.9000000000000004</v>
      </c>
      <c r="K342" t="str">
        <f>_xlfn.XLOOKUP(A:A,Sheet1!A:A,Sheet1!P:P)</f>
        <v>No</v>
      </c>
      <c r="L342" s="12">
        <f>_xlfn.XLOOKUP(A:A,Sheet1!A:A,Sheet1!S:S)</f>
        <v>0.79269417475728277</v>
      </c>
    </row>
    <row r="343" spans="1:12" x14ac:dyDescent="0.35">
      <c r="A343" s="8" t="s">
        <v>727</v>
      </c>
      <c r="B343" s="2" t="str">
        <f>_xlfn.XLOOKUP(A343,Sheet1!A:A,Sheet1!B:B)</f>
        <v>Clarence Vega</v>
      </c>
      <c r="C343" s="2" t="str">
        <f>_xlfn.XLOOKUP(A:A,Sheet1!A:A,Sheet1!D:D)</f>
        <v>Male</v>
      </c>
      <c r="D343" s="8">
        <f>_xlfn.XLOOKUP(A:A,Sheet1!A:A,Sheet1!F:F)</f>
        <v>53</v>
      </c>
      <c r="E343" s="2" t="str">
        <f>_xlfn.XLOOKUP(A:A,Sheet1!A:A,Sheet1!G:G)</f>
        <v>Italy</v>
      </c>
      <c r="F343" s="8" t="str">
        <f>_xlfn.XLOOKUP(A:A,Sheet1!A:A,Sheet1!H:H)</f>
        <v>Italian</v>
      </c>
      <c r="G343" s="8" t="str">
        <f>_xlfn.XLOOKUP(A:A,Sheet1!A:A,Sheet1!I:I)</f>
        <v>AI</v>
      </c>
      <c r="H343" s="8">
        <f>_xlfn.XLOOKUP(A:A,Sheet1!A:A,Sheet1!K:K)</f>
        <v>4</v>
      </c>
      <c r="I343" s="9">
        <f>_xlfn.XLOOKUP(A:A,Sheet1!A:A,Sheet1!M:M)</f>
        <v>30</v>
      </c>
      <c r="J343" s="10">
        <f>_xlfn.XLOOKUP(A:A,Sheet1!A:A,Sheet1!O:O)</f>
        <v>4.7</v>
      </c>
      <c r="K343" t="str">
        <f>_xlfn.XLOOKUP(A:A,Sheet1!A:A,Sheet1!P:P)</f>
        <v>No</v>
      </c>
      <c r="L343" s="12">
        <f>_xlfn.XLOOKUP(A:A,Sheet1!A:A,Sheet1!S:S)</f>
        <v>0.99</v>
      </c>
    </row>
    <row r="344" spans="1:12" x14ac:dyDescent="0.35">
      <c r="A344" s="8" t="s">
        <v>729</v>
      </c>
      <c r="B344" s="2" t="str">
        <f>_xlfn.XLOOKUP(A344,Sheet1!A:A,Sheet1!B:B)</f>
        <v>Deborah Day</v>
      </c>
      <c r="C344" s="2" t="str">
        <f>_xlfn.XLOOKUP(A:A,Sheet1!A:A,Sheet1!D:D)</f>
        <v>Female</v>
      </c>
      <c r="D344" s="8">
        <f>_xlfn.XLOOKUP(A:A,Sheet1!A:A,Sheet1!F:F)</f>
        <v>22</v>
      </c>
      <c r="E344" s="2" t="str">
        <f>_xlfn.XLOOKUP(A:A,Sheet1!A:A,Sheet1!G:G)</f>
        <v>Italy</v>
      </c>
      <c r="F344" s="8" t="str">
        <f>_xlfn.XLOOKUP(A:A,Sheet1!A:A,Sheet1!H:H)</f>
        <v>Italian</v>
      </c>
      <c r="G344" s="8" t="str">
        <f>_xlfn.XLOOKUP(A:A,Sheet1!A:A,Sheet1!I:I)</f>
        <v>Blockchain Development</v>
      </c>
      <c r="H344" s="8">
        <f>_xlfn.XLOOKUP(A:A,Sheet1!A:A,Sheet1!K:K)</f>
        <v>3</v>
      </c>
      <c r="I344" s="9">
        <f>_xlfn.XLOOKUP(A:A,Sheet1!A:A,Sheet1!M:M)</f>
        <v>40</v>
      </c>
      <c r="J344" s="10">
        <f>_xlfn.XLOOKUP(A:A,Sheet1!A:A,Sheet1!O:O)</f>
        <v>2.1</v>
      </c>
      <c r="K344" t="str">
        <f>_xlfn.XLOOKUP(A:A,Sheet1!A:A,Sheet1!P:P)</f>
        <v>No</v>
      </c>
      <c r="L344" s="12">
        <f>_xlfn.XLOOKUP(A:A,Sheet1!A:A,Sheet1!S:S)</f>
        <v>0.79269417475728277</v>
      </c>
    </row>
    <row r="345" spans="1:12" x14ac:dyDescent="0.35">
      <c r="A345" s="8" t="s">
        <v>731</v>
      </c>
      <c r="B345" s="2" t="str">
        <f>_xlfn.XLOOKUP(A345,Sheet1!A:A,Sheet1!B:B)</f>
        <v>Nicole Rocha</v>
      </c>
      <c r="C345" s="2" t="str">
        <f>_xlfn.XLOOKUP(A:A,Sheet1!A:A,Sheet1!D:D)</f>
        <v>Female</v>
      </c>
      <c r="D345" s="8">
        <f>_xlfn.XLOOKUP(A:A,Sheet1!A:A,Sheet1!F:F)</f>
        <v>55</v>
      </c>
      <c r="E345" s="2" t="str">
        <f>_xlfn.XLOOKUP(A:A,Sheet1!A:A,Sheet1!G:G)</f>
        <v>Netherlands</v>
      </c>
      <c r="F345" s="8" t="str">
        <f>_xlfn.XLOOKUP(A:A,Sheet1!A:A,Sheet1!H:H)</f>
        <v>Dutch</v>
      </c>
      <c r="G345" s="8" t="str">
        <f>_xlfn.XLOOKUP(A:A,Sheet1!A:A,Sheet1!I:I)</f>
        <v>Mobile Apps</v>
      </c>
      <c r="H345" s="8">
        <f>_xlfn.XLOOKUP(A:A,Sheet1!A:A,Sheet1!K:K)</f>
        <v>33</v>
      </c>
      <c r="I345" s="9">
        <f>_xlfn.XLOOKUP(A:A,Sheet1!A:A,Sheet1!M:M)</f>
        <v>40</v>
      </c>
      <c r="J345" s="10">
        <f>_xlfn.XLOOKUP(A:A,Sheet1!A:A,Sheet1!O:O)</f>
        <v>1.5</v>
      </c>
      <c r="K345" t="str">
        <f>_xlfn.XLOOKUP(A:A,Sheet1!A:A,Sheet1!P:P)</f>
        <v>Yes</v>
      </c>
      <c r="L345" s="12">
        <f>_xlfn.XLOOKUP(A:A,Sheet1!A:A,Sheet1!S:S)</f>
        <v>0.71</v>
      </c>
    </row>
    <row r="346" spans="1:12" x14ac:dyDescent="0.35">
      <c r="A346" s="8" t="s">
        <v>733</v>
      </c>
      <c r="B346" s="2" t="str">
        <f>_xlfn.XLOOKUP(A346,Sheet1!A:A,Sheet1!B:B)</f>
        <v>Elijah Green</v>
      </c>
      <c r="C346" s="2" t="str">
        <f>_xlfn.XLOOKUP(A:A,Sheet1!A:A,Sheet1!D:D)</f>
        <v>Male</v>
      </c>
      <c r="D346" s="8">
        <f>_xlfn.XLOOKUP(A:A,Sheet1!A:A,Sheet1!F:F)</f>
        <v>22</v>
      </c>
      <c r="E346" s="2" t="str">
        <f>_xlfn.XLOOKUP(A:A,Sheet1!A:A,Sheet1!G:G)</f>
        <v>Australia</v>
      </c>
      <c r="F346" s="8" t="str">
        <f>_xlfn.XLOOKUP(A:A,Sheet1!A:A,Sheet1!H:H)</f>
        <v>English</v>
      </c>
      <c r="G346" s="8" t="str">
        <f>_xlfn.XLOOKUP(A:A,Sheet1!A:A,Sheet1!I:I)</f>
        <v>Cybersecurity</v>
      </c>
      <c r="H346" s="8">
        <f>_xlfn.XLOOKUP(A:A,Sheet1!A:A,Sheet1!K:K)</f>
        <v>1</v>
      </c>
      <c r="I346" s="9">
        <f>_xlfn.XLOOKUP(A:A,Sheet1!A:A,Sheet1!M:M)</f>
        <v>40</v>
      </c>
      <c r="J346" s="10">
        <f>_xlfn.XLOOKUP(A:A,Sheet1!A:A,Sheet1!O:O)</f>
        <v>2.6</v>
      </c>
      <c r="K346" t="str">
        <f>_xlfn.XLOOKUP(A:A,Sheet1!A:A,Sheet1!P:P)</f>
        <v>No</v>
      </c>
      <c r="L346" s="12">
        <f>_xlfn.XLOOKUP(A:A,Sheet1!A:A,Sheet1!S:S)</f>
        <v>0.72</v>
      </c>
    </row>
    <row r="347" spans="1:12" x14ac:dyDescent="0.35">
      <c r="A347" s="8" t="s">
        <v>735</v>
      </c>
      <c r="B347" s="2" t="str">
        <f>_xlfn.XLOOKUP(A347,Sheet1!A:A,Sheet1!B:B)</f>
        <v>Emily Johnson</v>
      </c>
      <c r="C347" s="2" t="str">
        <f>_xlfn.XLOOKUP(A:A,Sheet1!A:A,Sheet1!D:D)</f>
        <v>Female</v>
      </c>
      <c r="D347" s="8">
        <f>_xlfn.XLOOKUP(A:A,Sheet1!A:A,Sheet1!F:F)</f>
        <v>45</v>
      </c>
      <c r="E347" s="2" t="str">
        <f>_xlfn.XLOOKUP(A:A,Sheet1!A:A,Sheet1!G:G)</f>
        <v>Turkey</v>
      </c>
      <c r="F347" s="8" t="str">
        <f>_xlfn.XLOOKUP(A:A,Sheet1!A:A,Sheet1!H:H)</f>
        <v>Turkish</v>
      </c>
      <c r="G347" s="8" t="str">
        <f>_xlfn.XLOOKUP(A:A,Sheet1!A:A,Sheet1!I:I)</f>
        <v>Web Development</v>
      </c>
      <c r="H347" s="8">
        <f>_xlfn.XLOOKUP(A:A,Sheet1!A:A,Sheet1!K:K)</f>
        <v>23</v>
      </c>
      <c r="I347" s="9">
        <f>_xlfn.XLOOKUP(A:A,Sheet1!A:A,Sheet1!M:M)</f>
        <v>50</v>
      </c>
      <c r="J347" s="11">
        <v>0</v>
      </c>
      <c r="K347" t="str">
        <f>_xlfn.XLOOKUP(A:A,Sheet1!A:A,Sheet1!P:P)</f>
        <v>No</v>
      </c>
      <c r="L347" s="12">
        <f>_xlfn.XLOOKUP(A:A,Sheet1!A:A,Sheet1!S:S)</f>
        <v>0.66</v>
      </c>
    </row>
    <row r="348" spans="1:12" x14ac:dyDescent="0.35">
      <c r="A348" s="8" t="s">
        <v>737</v>
      </c>
      <c r="B348" s="2" t="str">
        <f>_xlfn.XLOOKUP(A348,Sheet1!A:A,Sheet1!B:B)</f>
        <v xml:space="preserve">Richard Velasquez </v>
      </c>
      <c r="C348" s="2" t="str">
        <f>_xlfn.XLOOKUP(A:A,Sheet1!A:A,Sheet1!D:D)</f>
        <v>Male</v>
      </c>
      <c r="D348" s="8">
        <f>_xlfn.XLOOKUP(A:A,Sheet1!A:A,Sheet1!F:F)</f>
        <v>36</v>
      </c>
      <c r="E348" s="2" t="str">
        <f>_xlfn.XLOOKUP(A:A,Sheet1!A:A,Sheet1!G:G)</f>
        <v>France</v>
      </c>
      <c r="F348" s="8" t="str">
        <f>_xlfn.XLOOKUP(A:A,Sheet1!A:A,Sheet1!H:H)</f>
        <v>French</v>
      </c>
      <c r="G348" s="8" t="str">
        <f>_xlfn.XLOOKUP(A:A,Sheet1!A:A,Sheet1!I:I)</f>
        <v>Data Analysis</v>
      </c>
      <c r="H348" s="8">
        <f>_xlfn.XLOOKUP(A:A,Sheet1!A:A,Sheet1!K:K)</f>
        <v>13</v>
      </c>
      <c r="I348" s="9">
        <f>_xlfn.XLOOKUP(A:A,Sheet1!A:A,Sheet1!M:M)</f>
        <v>40</v>
      </c>
      <c r="J348" s="10">
        <f>_xlfn.XLOOKUP(A:A,Sheet1!A:A,Sheet1!O:O)</f>
        <v>2.5125695216907653</v>
      </c>
      <c r="K348" t="str">
        <f>_xlfn.XLOOKUP(A:A,Sheet1!A:A,Sheet1!P:P)</f>
        <v>No</v>
      </c>
      <c r="L348" s="12">
        <f>_xlfn.XLOOKUP(A:A,Sheet1!A:A,Sheet1!S:S)</f>
        <v>0.78</v>
      </c>
    </row>
    <row r="349" spans="1:12" x14ac:dyDescent="0.35">
      <c r="A349" s="8" t="s">
        <v>738</v>
      </c>
      <c r="B349" s="2" t="str">
        <f>_xlfn.XLOOKUP(A349,Sheet1!A:A,Sheet1!B:B)</f>
        <v>Kurt Wilson</v>
      </c>
      <c r="C349" s="2" t="str">
        <f>_xlfn.XLOOKUP(A:A,Sheet1!A:A,Sheet1!D:D)</f>
        <v>Male</v>
      </c>
      <c r="D349" s="8">
        <f>_xlfn.XLOOKUP(A:A,Sheet1!A:A,Sheet1!F:F)</f>
        <v>23</v>
      </c>
      <c r="E349" s="2" t="str">
        <f>_xlfn.XLOOKUP(A:A,Sheet1!A:A,Sheet1!G:G)</f>
        <v>Australia</v>
      </c>
      <c r="F349" s="8" t="str">
        <f>_xlfn.XLOOKUP(A:A,Sheet1!A:A,Sheet1!H:H)</f>
        <v>English</v>
      </c>
      <c r="G349" s="8" t="str">
        <f>_xlfn.XLOOKUP(A:A,Sheet1!A:A,Sheet1!I:I)</f>
        <v>DevOps</v>
      </c>
      <c r="H349" s="8">
        <f>_xlfn.XLOOKUP(A:A,Sheet1!A:A,Sheet1!K:K)</f>
        <v>1</v>
      </c>
      <c r="I349" s="9">
        <f>_xlfn.XLOOKUP(A:A,Sheet1!A:A,Sheet1!M:M)</f>
        <v>20</v>
      </c>
      <c r="J349" s="10">
        <f>_xlfn.XLOOKUP(A:A,Sheet1!A:A,Sheet1!O:O)</f>
        <v>4</v>
      </c>
      <c r="K349" t="str">
        <f>_xlfn.XLOOKUP(A:A,Sheet1!A:A,Sheet1!P:P)</f>
        <v>Yes</v>
      </c>
      <c r="L349" s="12">
        <f>_xlfn.XLOOKUP(A:A,Sheet1!A:A,Sheet1!S:S)</f>
        <v>1</v>
      </c>
    </row>
    <row r="350" spans="1:12" x14ac:dyDescent="0.35">
      <c r="A350" s="8" t="s">
        <v>740</v>
      </c>
      <c r="B350" s="2" t="str">
        <f>_xlfn.XLOOKUP(A350,Sheet1!A:A,Sheet1!B:B)</f>
        <v>Jeremiah Rodriguez</v>
      </c>
      <c r="C350" s="2" t="str">
        <f>_xlfn.XLOOKUP(A:A,Sheet1!A:A,Sheet1!D:D)</f>
        <v>Male</v>
      </c>
      <c r="D350" s="8">
        <f>_xlfn.XLOOKUP(A:A,Sheet1!A:A,Sheet1!F:F)</f>
        <v>55</v>
      </c>
      <c r="E350" s="2" t="str">
        <f>_xlfn.XLOOKUP(A:A,Sheet1!A:A,Sheet1!G:G)</f>
        <v>Italy</v>
      </c>
      <c r="F350" s="8" t="str">
        <f>_xlfn.XLOOKUP(A:A,Sheet1!A:A,Sheet1!H:H)</f>
        <v>Italian</v>
      </c>
      <c r="G350" s="8" t="str">
        <f>_xlfn.XLOOKUP(A:A,Sheet1!A:A,Sheet1!I:I)</f>
        <v>DevOps</v>
      </c>
      <c r="H350" s="8">
        <f>_xlfn.XLOOKUP(A:A,Sheet1!A:A,Sheet1!K:K)</f>
        <v>15</v>
      </c>
      <c r="I350" s="9">
        <f>_xlfn.XLOOKUP(A:A,Sheet1!A:A,Sheet1!M:M)</f>
        <v>40</v>
      </c>
      <c r="J350" s="10">
        <f>_xlfn.XLOOKUP(A:A,Sheet1!A:A,Sheet1!O:O)</f>
        <v>4.5</v>
      </c>
      <c r="K350" t="str">
        <f>_xlfn.XLOOKUP(A:A,Sheet1!A:A,Sheet1!P:P)</f>
        <v>No</v>
      </c>
      <c r="L350" s="12">
        <f>_xlfn.XLOOKUP(A:A,Sheet1!A:A,Sheet1!S:S)</f>
        <v>0.79269417475728277</v>
      </c>
    </row>
    <row r="351" spans="1:12" x14ac:dyDescent="0.35">
      <c r="A351" s="8" t="s">
        <v>742</v>
      </c>
      <c r="B351" s="2" t="str">
        <f>_xlfn.XLOOKUP(A351,Sheet1!A:A,Sheet1!B:B)</f>
        <v>Lauren Lang</v>
      </c>
      <c r="C351" s="2" t="str">
        <f>_xlfn.XLOOKUP(A:A,Sheet1!A:A,Sheet1!D:D)</f>
        <v>Female</v>
      </c>
      <c r="D351" s="8">
        <f>_xlfn.XLOOKUP(A:A,Sheet1!A:A,Sheet1!F:F)</f>
        <v>50</v>
      </c>
      <c r="E351" s="2" t="str">
        <f>_xlfn.XLOOKUP(A:A,Sheet1!A:A,Sheet1!G:G)</f>
        <v>Brazil</v>
      </c>
      <c r="F351" s="8" t="str">
        <f>_xlfn.XLOOKUP(A:A,Sheet1!A:A,Sheet1!H:H)</f>
        <v>Portuguese</v>
      </c>
      <c r="G351" s="8" t="str">
        <f>_xlfn.XLOOKUP(A:A,Sheet1!A:A,Sheet1!I:I)</f>
        <v>Mobile Apps</v>
      </c>
      <c r="H351" s="8">
        <f>_xlfn.XLOOKUP(A:A,Sheet1!A:A,Sheet1!K:K)</f>
        <v>18</v>
      </c>
      <c r="I351" s="9">
        <f>_xlfn.XLOOKUP(A:A,Sheet1!A:A,Sheet1!M:M)</f>
        <v>75</v>
      </c>
      <c r="J351" s="10">
        <f>_xlfn.XLOOKUP(A:A,Sheet1!A:A,Sheet1!O:O)</f>
        <v>3.8</v>
      </c>
      <c r="K351" t="str">
        <f>_xlfn.XLOOKUP(A:A,Sheet1!A:A,Sheet1!P:P)</f>
        <v>No</v>
      </c>
      <c r="L351" s="12">
        <f>_xlfn.XLOOKUP(A:A,Sheet1!A:A,Sheet1!S:S)</f>
        <v>0.67</v>
      </c>
    </row>
    <row r="352" spans="1:12" x14ac:dyDescent="0.35">
      <c r="A352" s="8" t="s">
        <v>744</v>
      </c>
      <c r="B352" s="2" t="str">
        <f>_xlfn.XLOOKUP(A352,Sheet1!A:A,Sheet1!B:B)</f>
        <v>Matthew Phillips</v>
      </c>
      <c r="C352" s="2" t="str">
        <f>_xlfn.XLOOKUP(A:A,Sheet1!A:A,Sheet1!D:D)</f>
        <v>Male</v>
      </c>
      <c r="D352" s="8">
        <f>_xlfn.XLOOKUP(A:A,Sheet1!A:A,Sheet1!F:F)</f>
        <v>48</v>
      </c>
      <c r="E352" s="2" t="str">
        <f>_xlfn.XLOOKUP(A:A,Sheet1!A:A,Sheet1!G:G)</f>
        <v>United States</v>
      </c>
      <c r="F352" s="8" t="str">
        <f>_xlfn.XLOOKUP(A:A,Sheet1!A:A,Sheet1!H:H)</f>
        <v>English</v>
      </c>
      <c r="G352" s="8" t="str">
        <f>_xlfn.XLOOKUP(A:A,Sheet1!A:A,Sheet1!I:I)</f>
        <v>Machine Learning</v>
      </c>
      <c r="H352" s="8">
        <f>_xlfn.XLOOKUP(A:A,Sheet1!A:A,Sheet1!K:K)</f>
        <v>21</v>
      </c>
      <c r="I352" s="9">
        <f>_xlfn.XLOOKUP(A:A,Sheet1!A:A,Sheet1!M:M)</f>
        <v>50</v>
      </c>
      <c r="J352" s="10">
        <f>_xlfn.XLOOKUP(A:A,Sheet1!A:A,Sheet1!O:O)</f>
        <v>4</v>
      </c>
      <c r="K352" t="str">
        <f>_xlfn.XLOOKUP(A:A,Sheet1!A:A,Sheet1!P:P)</f>
        <v>No</v>
      </c>
      <c r="L352" s="12">
        <f>_xlfn.XLOOKUP(A:A,Sheet1!A:A,Sheet1!S:S)</f>
        <v>0.78</v>
      </c>
    </row>
    <row r="353" spans="1:12" x14ac:dyDescent="0.35">
      <c r="A353" s="8" t="s">
        <v>746</v>
      </c>
      <c r="B353" s="2" t="str">
        <f>_xlfn.XLOOKUP(A353,Sheet1!A:A,Sheet1!B:B)</f>
        <v>Michael Andersen</v>
      </c>
      <c r="C353" s="2" t="str">
        <f>_xlfn.XLOOKUP(A:A,Sheet1!A:A,Sheet1!D:D)</f>
        <v>Male</v>
      </c>
      <c r="D353" s="8">
        <f>_xlfn.XLOOKUP(A:A,Sheet1!A:A,Sheet1!F:F)</f>
        <v>23</v>
      </c>
      <c r="E353" s="2" t="str">
        <f>_xlfn.XLOOKUP(A:A,Sheet1!A:A,Sheet1!G:G)</f>
        <v>Netherlands</v>
      </c>
      <c r="F353" s="8" t="str">
        <f>_xlfn.XLOOKUP(A:A,Sheet1!A:A,Sheet1!H:H)</f>
        <v>Dutch</v>
      </c>
      <c r="G353" s="8" t="str">
        <f>_xlfn.XLOOKUP(A:A,Sheet1!A:A,Sheet1!I:I)</f>
        <v>DevOps</v>
      </c>
      <c r="H353" s="8">
        <f>_xlfn.XLOOKUP(A:A,Sheet1!A:A,Sheet1!K:K)</f>
        <v>1</v>
      </c>
      <c r="I353" s="9">
        <f>_xlfn.XLOOKUP(A:A,Sheet1!A:A,Sheet1!M:M)</f>
        <v>40</v>
      </c>
      <c r="J353" s="10">
        <f>_xlfn.XLOOKUP(A:A,Sheet1!A:A,Sheet1!O:O)</f>
        <v>4.9000000000000004</v>
      </c>
      <c r="K353" t="str">
        <f>_xlfn.XLOOKUP(A:A,Sheet1!A:A,Sheet1!P:P)</f>
        <v>Yes</v>
      </c>
      <c r="L353" s="12">
        <f>_xlfn.XLOOKUP(A:A,Sheet1!A:A,Sheet1!S:S)</f>
        <v>0.78</v>
      </c>
    </row>
    <row r="354" spans="1:12" x14ac:dyDescent="0.35">
      <c r="A354" s="8" t="s">
        <v>748</v>
      </c>
      <c r="B354" s="2" t="str">
        <f>_xlfn.XLOOKUP(A354,Sheet1!A:A,Sheet1!B:B)</f>
        <v>Amanda Mayo</v>
      </c>
      <c r="C354" s="2" t="str">
        <f>_xlfn.XLOOKUP(A:A,Sheet1!A:A,Sheet1!D:D)</f>
        <v>Female</v>
      </c>
      <c r="D354" s="8">
        <f>_xlfn.XLOOKUP(A:A,Sheet1!A:A,Sheet1!F:F)</f>
        <v>49</v>
      </c>
      <c r="E354" s="2" t="str">
        <f>_xlfn.XLOOKUP(A:A,Sheet1!A:A,Sheet1!G:G)</f>
        <v>Canada</v>
      </c>
      <c r="F354" s="8" t="str">
        <f>_xlfn.XLOOKUP(A:A,Sheet1!A:A,Sheet1!H:H)</f>
        <v>English</v>
      </c>
      <c r="G354" s="8" t="str">
        <f>_xlfn.XLOOKUP(A:A,Sheet1!A:A,Sheet1!I:I)</f>
        <v>Web Development</v>
      </c>
      <c r="H354" s="8">
        <f>_xlfn.XLOOKUP(A:A,Sheet1!A:A,Sheet1!K:K)</f>
        <v>25</v>
      </c>
      <c r="I354" s="9">
        <f>_xlfn.XLOOKUP(A:A,Sheet1!A:A,Sheet1!M:M)</f>
        <v>30</v>
      </c>
      <c r="J354" s="10">
        <f>_xlfn.XLOOKUP(A:A,Sheet1!A:A,Sheet1!O:O)</f>
        <v>3.4</v>
      </c>
      <c r="K354" t="str">
        <f>_xlfn.XLOOKUP(A:A,Sheet1!A:A,Sheet1!P:P)</f>
        <v>No</v>
      </c>
      <c r="L354" s="12">
        <f>_xlfn.XLOOKUP(A:A,Sheet1!A:A,Sheet1!S:S)</f>
        <v>0.75</v>
      </c>
    </row>
    <row r="355" spans="1:12" x14ac:dyDescent="0.35">
      <c r="A355" s="8" t="s">
        <v>750</v>
      </c>
      <c r="B355" s="2" t="str">
        <f>_xlfn.XLOOKUP(A355,Sheet1!A:A,Sheet1!B:B)</f>
        <v>Jessica Vance</v>
      </c>
      <c r="C355" s="2" t="str">
        <f>_xlfn.XLOOKUP(A:A,Sheet1!A:A,Sheet1!D:D)</f>
        <v>Female</v>
      </c>
      <c r="D355" s="8">
        <f>_xlfn.XLOOKUP(A:A,Sheet1!A:A,Sheet1!F:F)</f>
        <v>47</v>
      </c>
      <c r="E355" s="2" t="str">
        <f>_xlfn.XLOOKUP(A:A,Sheet1!A:A,Sheet1!G:G)</f>
        <v>Italy</v>
      </c>
      <c r="F355" s="8" t="str">
        <f>_xlfn.XLOOKUP(A:A,Sheet1!A:A,Sheet1!H:H)</f>
        <v>Italian</v>
      </c>
      <c r="G355" s="8" t="str">
        <f>_xlfn.XLOOKUP(A:A,Sheet1!A:A,Sheet1!I:I)</f>
        <v>Cybersecurity</v>
      </c>
      <c r="H355" s="8">
        <f>_xlfn.XLOOKUP(A:A,Sheet1!A:A,Sheet1!K:K)</f>
        <v>12</v>
      </c>
      <c r="I355" s="9">
        <f>_xlfn.XLOOKUP(A:A,Sheet1!A:A,Sheet1!M:M)</f>
        <v>50</v>
      </c>
      <c r="J355" s="10">
        <f>_xlfn.XLOOKUP(A:A,Sheet1!A:A,Sheet1!O:O)</f>
        <v>2.1</v>
      </c>
      <c r="K355" t="str">
        <f>_xlfn.XLOOKUP(A:A,Sheet1!A:A,Sheet1!P:P)</f>
        <v>Yes</v>
      </c>
      <c r="L355" s="12">
        <f>_xlfn.XLOOKUP(A:A,Sheet1!A:A,Sheet1!S:S)</f>
        <v>0.67</v>
      </c>
    </row>
    <row r="356" spans="1:12" x14ac:dyDescent="0.35">
      <c r="A356" s="8" t="s">
        <v>752</v>
      </c>
      <c r="B356" s="2" t="str">
        <f>_xlfn.XLOOKUP(A356,Sheet1!A:A,Sheet1!B:B)</f>
        <v>Alexa Gallegos</v>
      </c>
      <c r="C356" s="2" t="str">
        <f>_xlfn.XLOOKUP(A:A,Sheet1!A:A,Sheet1!D:D)</f>
        <v>Female</v>
      </c>
      <c r="D356" s="8">
        <f>_xlfn.XLOOKUP(A:A,Sheet1!A:A,Sheet1!F:F)</f>
        <v>56</v>
      </c>
      <c r="E356" s="2" t="str">
        <f>_xlfn.XLOOKUP(A:A,Sheet1!A:A,Sheet1!G:G)</f>
        <v>Japan</v>
      </c>
      <c r="F356" s="8" t="str">
        <f>_xlfn.XLOOKUP(A:A,Sheet1!A:A,Sheet1!H:H)</f>
        <v>Japanese</v>
      </c>
      <c r="G356" s="8" t="str">
        <f>_xlfn.XLOOKUP(A:A,Sheet1!A:A,Sheet1!I:I)</f>
        <v>Graphic Design</v>
      </c>
      <c r="H356" s="8">
        <f>_xlfn.XLOOKUP(A:A,Sheet1!A:A,Sheet1!K:K)</f>
        <v>32</v>
      </c>
      <c r="I356" s="9">
        <f>_xlfn.XLOOKUP(A:A,Sheet1!A:A,Sheet1!M:M)</f>
        <v>40</v>
      </c>
      <c r="J356" s="11">
        <v>0</v>
      </c>
      <c r="K356" t="str">
        <f>_xlfn.XLOOKUP(A:A,Sheet1!A:A,Sheet1!P:P)</f>
        <v>Yes</v>
      </c>
      <c r="L356" s="12">
        <f>_xlfn.XLOOKUP(A:A,Sheet1!A:A,Sheet1!S:S)</f>
        <v>0.86</v>
      </c>
    </row>
    <row r="357" spans="1:12" x14ac:dyDescent="0.35">
      <c r="A357" s="8" t="s">
        <v>754</v>
      </c>
      <c r="B357" s="2" t="str">
        <f>_xlfn.XLOOKUP(A357,Sheet1!A:A,Sheet1!B:B)</f>
        <v>Charles Pratt</v>
      </c>
      <c r="C357" s="2" t="str">
        <f>_xlfn.XLOOKUP(A:A,Sheet1!A:A,Sheet1!D:D)</f>
        <v>Male</v>
      </c>
      <c r="D357" s="8">
        <f>_xlfn.XLOOKUP(A:A,Sheet1!A:A,Sheet1!F:F)</f>
        <v>58</v>
      </c>
      <c r="E357" s="2" t="str">
        <f>_xlfn.XLOOKUP(A:A,Sheet1!A:A,Sheet1!G:G)</f>
        <v>Argentina</v>
      </c>
      <c r="F357" s="8" t="str">
        <f>_xlfn.XLOOKUP(A:A,Sheet1!A:A,Sheet1!H:H)</f>
        <v>Spanish</v>
      </c>
      <c r="G357" s="8" t="str">
        <f>_xlfn.XLOOKUP(A:A,Sheet1!A:A,Sheet1!I:I)</f>
        <v>UI/UX Design</v>
      </c>
      <c r="H357" s="8">
        <f>_xlfn.XLOOKUP(A:A,Sheet1!A:A,Sheet1!K:K)</f>
        <v>9</v>
      </c>
      <c r="I357" s="9">
        <f>_xlfn.XLOOKUP(A:A,Sheet1!A:A,Sheet1!M:M)</f>
        <v>100</v>
      </c>
      <c r="J357" s="10">
        <f>_xlfn.XLOOKUP(A:A,Sheet1!A:A,Sheet1!O:O)</f>
        <v>4.5</v>
      </c>
      <c r="K357" t="str">
        <f>_xlfn.XLOOKUP(A:A,Sheet1!A:A,Sheet1!P:P)</f>
        <v>No</v>
      </c>
      <c r="L357" s="12">
        <f>_xlfn.XLOOKUP(A:A,Sheet1!A:A,Sheet1!S:S)</f>
        <v>0.77</v>
      </c>
    </row>
    <row r="358" spans="1:12" x14ac:dyDescent="0.35">
      <c r="A358" s="8" t="s">
        <v>756</v>
      </c>
      <c r="B358" s="2" t="str">
        <f>_xlfn.XLOOKUP(A358,Sheet1!A:A,Sheet1!B:B)</f>
        <v>Brian Baker</v>
      </c>
      <c r="C358" s="2" t="str">
        <f>_xlfn.XLOOKUP(A:A,Sheet1!A:A,Sheet1!D:D)</f>
        <v>Male</v>
      </c>
      <c r="D358" s="8">
        <f>_xlfn.XLOOKUP(A:A,Sheet1!A:A,Sheet1!F:F)</f>
        <v>32</v>
      </c>
      <c r="E358" s="2" t="str">
        <f>_xlfn.XLOOKUP(A:A,Sheet1!A:A,Sheet1!G:G)</f>
        <v>South Korea</v>
      </c>
      <c r="F358" s="8" t="str">
        <f>_xlfn.XLOOKUP(A:A,Sheet1!A:A,Sheet1!H:H)</f>
        <v>Korean</v>
      </c>
      <c r="G358" s="8" t="str">
        <f>_xlfn.XLOOKUP(A:A,Sheet1!A:A,Sheet1!I:I)</f>
        <v>UI/UX Design</v>
      </c>
      <c r="H358" s="8">
        <f>_xlfn.XLOOKUP(A:A,Sheet1!A:A,Sheet1!K:K)</f>
        <v>10</v>
      </c>
      <c r="I358" s="9">
        <f>_xlfn.XLOOKUP(A:A,Sheet1!A:A,Sheet1!M:M)</f>
        <v>30</v>
      </c>
      <c r="J358" s="10">
        <f>_xlfn.XLOOKUP(A:A,Sheet1!A:A,Sheet1!O:O)</f>
        <v>3.8</v>
      </c>
      <c r="K358" t="str">
        <f>_xlfn.XLOOKUP(A:A,Sheet1!A:A,Sheet1!P:P)</f>
        <v>No</v>
      </c>
      <c r="L358" s="12">
        <f>_xlfn.XLOOKUP(A:A,Sheet1!A:A,Sheet1!S:S)</f>
        <v>0.61</v>
      </c>
    </row>
    <row r="359" spans="1:12" x14ac:dyDescent="0.35">
      <c r="A359" s="8" t="s">
        <v>758</v>
      </c>
      <c r="B359" s="2" t="str">
        <f>_xlfn.XLOOKUP(A359,Sheet1!A:A,Sheet1!B:B)</f>
        <v>Christina Norman</v>
      </c>
      <c r="C359" s="2" t="str">
        <f>_xlfn.XLOOKUP(A:A,Sheet1!A:A,Sheet1!D:D)</f>
        <v>Female</v>
      </c>
      <c r="D359" s="8">
        <f>_xlfn.XLOOKUP(A:A,Sheet1!A:A,Sheet1!F:F)</f>
        <v>52</v>
      </c>
      <c r="E359" s="2" t="str">
        <f>_xlfn.XLOOKUP(A:A,Sheet1!A:A,Sheet1!G:G)</f>
        <v>India</v>
      </c>
      <c r="F359" s="8" t="str">
        <f>_xlfn.XLOOKUP(A:A,Sheet1!A:A,Sheet1!H:H)</f>
        <v>Hindi</v>
      </c>
      <c r="G359" s="8" t="str">
        <f>_xlfn.XLOOKUP(A:A,Sheet1!A:A,Sheet1!I:I)</f>
        <v>UI/UX Design</v>
      </c>
      <c r="H359" s="8">
        <f>_xlfn.XLOOKUP(A:A,Sheet1!A:A,Sheet1!K:K)</f>
        <v>0</v>
      </c>
      <c r="I359" s="9">
        <f>_xlfn.XLOOKUP(A:A,Sheet1!A:A,Sheet1!M:M)</f>
        <v>40</v>
      </c>
      <c r="J359" s="10">
        <f>_xlfn.XLOOKUP(A:A,Sheet1!A:A,Sheet1!O:O)</f>
        <v>4.3</v>
      </c>
      <c r="K359" t="str">
        <f>_xlfn.XLOOKUP(A:A,Sheet1!A:A,Sheet1!P:P)</f>
        <v>No</v>
      </c>
      <c r="L359" s="12">
        <f>_xlfn.XLOOKUP(A:A,Sheet1!A:A,Sheet1!S:S)</f>
        <v>0.9</v>
      </c>
    </row>
    <row r="360" spans="1:12" x14ac:dyDescent="0.35">
      <c r="A360" s="8" t="s">
        <v>760</v>
      </c>
      <c r="B360" s="2" t="str">
        <f>_xlfn.XLOOKUP(A360,Sheet1!A:A,Sheet1!B:B)</f>
        <v>Laura Kelly</v>
      </c>
      <c r="C360" s="2" t="str">
        <f>_xlfn.XLOOKUP(A:A,Sheet1!A:A,Sheet1!D:D)</f>
        <v>Female</v>
      </c>
      <c r="D360" s="8">
        <f>_xlfn.XLOOKUP(A:A,Sheet1!A:A,Sheet1!F:F)</f>
        <v>22</v>
      </c>
      <c r="E360" s="2" t="str">
        <f>_xlfn.XLOOKUP(A:A,Sheet1!A:A,Sheet1!G:G)</f>
        <v>China</v>
      </c>
      <c r="F360" s="8" t="str">
        <f>_xlfn.XLOOKUP(A:A,Sheet1!A:A,Sheet1!H:H)</f>
        <v>Mandarin</v>
      </c>
      <c r="G360" s="8" t="str">
        <f>_xlfn.XLOOKUP(A:A,Sheet1!A:A,Sheet1!I:I)</f>
        <v>Data Analysis</v>
      </c>
      <c r="H360" s="8">
        <f>_xlfn.XLOOKUP(A:A,Sheet1!A:A,Sheet1!K:K)</f>
        <v>1</v>
      </c>
      <c r="I360" s="9">
        <f>_xlfn.XLOOKUP(A:A,Sheet1!A:A,Sheet1!M:M)</f>
        <v>50</v>
      </c>
      <c r="J360" s="11">
        <v>0</v>
      </c>
      <c r="K360" t="str">
        <f>_xlfn.XLOOKUP(A:A,Sheet1!A:A,Sheet1!P:P)</f>
        <v>No</v>
      </c>
      <c r="L360" s="12">
        <f>_xlfn.XLOOKUP(A:A,Sheet1!A:A,Sheet1!S:S)</f>
        <v>0.98</v>
      </c>
    </row>
    <row r="361" spans="1:12" x14ac:dyDescent="0.35">
      <c r="A361" s="8" t="s">
        <v>762</v>
      </c>
      <c r="B361" s="2" t="str">
        <f>_xlfn.XLOOKUP(A361,Sheet1!A:A,Sheet1!B:B)</f>
        <v>John Webb</v>
      </c>
      <c r="C361" s="2" t="str">
        <f>_xlfn.XLOOKUP(A:A,Sheet1!A:A,Sheet1!D:D)</f>
        <v>Male</v>
      </c>
      <c r="D361" s="8">
        <f>_xlfn.XLOOKUP(A:A,Sheet1!A:A,Sheet1!F:F)</f>
        <v>20</v>
      </c>
      <c r="E361" s="2" t="str">
        <f>_xlfn.XLOOKUP(A:A,Sheet1!A:A,Sheet1!G:G)</f>
        <v>India</v>
      </c>
      <c r="F361" s="8" t="str">
        <f>_xlfn.XLOOKUP(A:A,Sheet1!A:A,Sheet1!H:H)</f>
        <v>Hindi</v>
      </c>
      <c r="G361" s="8" t="str">
        <f>_xlfn.XLOOKUP(A:A,Sheet1!A:A,Sheet1!I:I)</f>
        <v>Cybersecurity</v>
      </c>
      <c r="H361" s="8">
        <f>_xlfn.XLOOKUP(A:A,Sheet1!A:A,Sheet1!K:K)</f>
        <v>2</v>
      </c>
      <c r="I361" s="9">
        <f>_xlfn.XLOOKUP(A:A,Sheet1!A:A,Sheet1!M:M)</f>
        <v>30</v>
      </c>
      <c r="J361" s="10">
        <f>_xlfn.XLOOKUP(A:A,Sheet1!A:A,Sheet1!O:O)</f>
        <v>2.5125695216907653</v>
      </c>
      <c r="K361" t="str">
        <f>_xlfn.XLOOKUP(A:A,Sheet1!A:A,Sheet1!P:P)</f>
        <v>Yes</v>
      </c>
      <c r="L361" s="12">
        <f>_xlfn.XLOOKUP(A:A,Sheet1!A:A,Sheet1!S:S)</f>
        <v>0.99</v>
      </c>
    </row>
    <row r="362" spans="1:12" x14ac:dyDescent="0.35">
      <c r="A362" s="8" t="s">
        <v>764</v>
      </c>
      <c r="B362" s="2" t="str">
        <f>_xlfn.XLOOKUP(A362,Sheet1!A:A,Sheet1!B:B)</f>
        <v>Christopher Burton</v>
      </c>
      <c r="C362" s="2" t="str">
        <f>_xlfn.XLOOKUP(A:A,Sheet1!A:A,Sheet1!D:D)</f>
        <v>Male</v>
      </c>
      <c r="D362" s="8">
        <f>_xlfn.XLOOKUP(A:A,Sheet1!A:A,Sheet1!F:F)</f>
        <v>56</v>
      </c>
      <c r="E362" s="2" t="str">
        <f>_xlfn.XLOOKUP(A:A,Sheet1!A:A,Sheet1!G:G)</f>
        <v>Netherlands</v>
      </c>
      <c r="F362" s="8" t="str">
        <f>_xlfn.XLOOKUP(A:A,Sheet1!A:A,Sheet1!H:H)</f>
        <v>Dutch</v>
      </c>
      <c r="G362" s="8" t="str">
        <f>_xlfn.XLOOKUP(A:A,Sheet1!A:A,Sheet1!I:I)</f>
        <v>Data Analysis</v>
      </c>
      <c r="H362" s="8">
        <f>_xlfn.XLOOKUP(A:A,Sheet1!A:A,Sheet1!K:K)</f>
        <v>9</v>
      </c>
      <c r="I362" s="9">
        <f>_xlfn.XLOOKUP(A:A,Sheet1!A:A,Sheet1!M:M)</f>
        <v>40</v>
      </c>
      <c r="J362" s="10">
        <f>_xlfn.XLOOKUP(A:A,Sheet1!A:A,Sheet1!O:O)</f>
        <v>2.6</v>
      </c>
      <c r="K362" t="str">
        <f>_xlfn.XLOOKUP(A:A,Sheet1!A:A,Sheet1!P:P)</f>
        <v>No</v>
      </c>
      <c r="L362" s="12">
        <f>_xlfn.XLOOKUP(A:A,Sheet1!A:A,Sheet1!S:S)</f>
        <v>0.61</v>
      </c>
    </row>
    <row r="363" spans="1:12" x14ac:dyDescent="0.35">
      <c r="A363" s="8" t="s">
        <v>766</v>
      </c>
      <c r="B363" s="2" t="str">
        <f>_xlfn.XLOOKUP(A363,Sheet1!A:A,Sheet1!B:B)</f>
        <v>Bradley Aguilar</v>
      </c>
      <c r="C363" s="2" t="str">
        <f>_xlfn.XLOOKUP(A:A,Sheet1!A:A,Sheet1!D:D)</f>
        <v>Male</v>
      </c>
      <c r="D363" s="8">
        <f>_xlfn.XLOOKUP(A:A,Sheet1!A:A,Sheet1!F:F)</f>
        <v>41</v>
      </c>
      <c r="E363" s="2" t="str">
        <f>_xlfn.XLOOKUP(A:A,Sheet1!A:A,Sheet1!G:G)</f>
        <v>Japan</v>
      </c>
      <c r="F363" s="8" t="str">
        <f>_xlfn.XLOOKUP(A:A,Sheet1!A:A,Sheet1!H:H)</f>
        <v>Japanese</v>
      </c>
      <c r="G363" s="8" t="str">
        <f>_xlfn.XLOOKUP(A:A,Sheet1!A:A,Sheet1!I:I)</f>
        <v>Data Analysis</v>
      </c>
      <c r="H363" s="8">
        <f>_xlfn.XLOOKUP(A:A,Sheet1!A:A,Sheet1!K:K)</f>
        <v>22</v>
      </c>
      <c r="I363" s="9">
        <f>_xlfn.XLOOKUP(A:A,Sheet1!A:A,Sheet1!M:M)</f>
        <v>50</v>
      </c>
      <c r="J363" s="10">
        <f>_xlfn.XLOOKUP(A:A,Sheet1!A:A,Sheet1!O:O)</f>
        <v>1.6</v>
      </c>
      <c r="K363" t="str">
        <f>_xlfn.XLOOKUP(A:A,Sheet1!A:A,Sheet1!P:P)</f>
        <v>Yes</v>
      </c>
      <c r="L363" s="12">
        <f>_xlfn.XLOOKUP(A:A,Sheet1!A:A,Sheet1!S:S)</f>
        <v>0.61</v>
      </c>
    </row>
    <row r="364" spans="1:12" x14ac:dyDescent="0.35">
      <c r="A364" s="8" t="s">
        <v>768</v>
      </c>
      <c r="B364" s="2" t="str">
        <f>_xlfn.XLOOKUP(A364,Sheet1!A:A,Sheet1!B:B)</f>
        <v>Arthur Vasquez</v>
      </c>
      <c r="C364" s="2" t="str">
        <f>_xlfn.XLOOKUP(A:A,Sheet1!A:A,Sheet1!D:D)</f>
        <v>Male</v>
      </c>
      <c r="D364" s="8">
        <f>_xlfn.XLOOKUP(A:A,Sheet1!A:A,Sheet1!F:F)</f>
        <v>25</v>
      </c>
      <c r="E364" s="2" t="str">
        <f>_xlfn.XLOOKUP(A:A,Sheet1!A:A,Sheet1!G:G)</f>
        <v>Argentina</v>
      </c>
      <c r="F364" s="8" t="str">
        <f>_xlfn.XLOOKUP(A:A,Sheet1!A:A,Sheet1!H:H)</f>
        <v>Spanish</v>
      </c>
      <c r="G364" s="8" t="str">
        <f>_xlfn.XLOOKUP(A:A,Sheet1!A:A,Sheet1!I:I)</f>
        <v>Blockchain Development</v>
      </c>
      <c r="H364" s="8">
        <f>_xlfn.XLOOKUP(A:A,Sheet1!A:A,Sheet1!K:K)</f>
        <v>5</v>
      </c>
      <c r="I364" s="9">
        <f>_xlfn.XLOOKUP(A:A,Sheet1!A:A,Sheet1!M:M)</f>
        <v>30</v>
      </c>
      <c r="J364" s="10">
        <f>_xlfn.XLOOKUP(A:A,Sheet1!A:A,Sheet1!O:O)</f>
        <v>2.2999999999999998</v>
      </c>
      <c r="K364" t="str">
        <f>_xlfn.XLOOKUP(A:A,Sheet1!A:A,Sheet1!P:P)</f>
        <v>No</v>
      </c>
      <c r="L364" s="12">
        <f>_xlfn.XLOOKUP(A:A,Sheet1!A:A,Sheet1!S:S)</f>
        <v>0.91</v>
      </c>
    </row>
    <row r="365" spans="1:12" x14ac:dyDescent="0.35">
      <c r="A365" s="8" t="s">
        <v>770</v>
      </c>
      <c r="B365" s="2" t="str">
        <f>_xlfn.XLOOKUP(A365,Sheet1!A:A,Sheet1!B:B)</f>
        <v>Angela Castro</v>
      </c>
      <c r="C365" s="2" t="str">
        <f>_xlfn.XLOOKUP(A:A,Sheet1!A:A,Sheet1!D:D)</f>
        <v>Female</v>
      </c>
      <c r="D365" s="8">
        <f>_xlfn.XLOOKUP(A:A,Sheet1!A:A,Sheet1!F:F)</f>
        <v>44</v>
      </c>
      <c r="E365" s="2" t="str">
        <f>_xlfn.XLOOKUP(A:A,Sheet1!A:A,Sheet1!G:G)</f>
        <v>Canada</v>
      </c>
      <c r="F365" s="8" t="str">
        <f>_xlfn.XLOOKUP(A:A,Sheet1!A:A,Sheet1!H:H)</f>
        <v>English</v>
      </c>
      <c r="G365" s="8" t="str">
        <f>_xlfn.XLOOKUP(A:A,Sheet1!A:A,Sheet1!I:I)</f>
        <v>Cybersecurity</v>
      </c>
      <c r="H365" s="8">
        <f>_xlfn.XLOOKUP(A:A,Sheet1!A:A,Sheet1!K:K)</f>
        <v>6</v>
      </c>
      <c r="I365" s="9">
        <f>_xlfn.XLOOKUP(A:A,Sheet1!A:A,Sheet1!M:M)</f>
        <v>75</v>
      </c>
      <c r="J365" s="10">
        <f>_xlfn.XLOOKUP(A:A,Sheet1!A:A,Sheet1!O:O)</f>
        <v>4.5999999999999996</v>
      </c>
      <c r="K365" t="str">
        <f>_xlfn.XLOOKUP(A:A,Sheet1!A:A,Sheet1!P:P)</f>
        <v>Yes</v>
      </c>
      <c r="L365" s="12">
        <f>_xlfn.XLOOKUP(A:A,Sheet1!A:A,Sheet1!S:S)</f>
        <v>0.72</v>
      </c>
    </row>
    <row r="366" spans="1:12" x14ac:dyDescent="0.35">
      <c r="A366" s="8" t="s">
        <v>772</v>
      </c>
      <c r="B366" s="2" t="str">
        <f>_xlfn.XLOOKUP(A366,Sheet1!A:A,Sheet1!B:B)</f>
        <v>Summer Yoder</v>
      </c>
      <c r="C366" s="2" t="str">
        <f>_xlfn.XLOOKUP(A:A,Sheet1!A:A,Sheet1!D:D)</f>
        <v>Female</v>
      </c>
      <c r="D366" s="8">
        <f>_xlfn.XLOOKUP(A:A,Sheet1!A:A,Sheet1!F:F)</f>
        <v>46</v>
      </c>
      <c r="E366" s="2" t="str">
        <f>_xlfn.XLOOKUP(A:A,Sheet1!A:A,Sheet1!G:G)</f>
        <v>Australia</v>
      </c>
      <c r="F366" s="8" t="str">
        <f>_xlfn.XLOOKUP(A:A,Sheet1!A:A,Sheet1!H:H)</f>
        <v>English</v>
      </c>
      <c r="G366" s="8" t="str">
        <f>_xlfn.XLOOKUP(A:A,Sheet1!A:A,Sheet1!I:I)</f>
        <v>Web Development</v>
      </c>
      <c r="H366" s="8">
        <f>_xlfn.XLOOKUP(A:A,Sheet1!A:A,Sheet1!K:K)</f>
        <v>26</v>
      </c>
      <c r="I366" s="9">
        <f>_xlfn.XLOOKUP(A:A,Sheet1!A:A,Sheet1!M:M)</f>
        <v>100</v>
      </c>
      <c r="J366" s="10">
        <f>_xlfn.XLOOKUP(A:A,Sheet1!A:A,Sheet1!O:O)</f>
        <v>2.1</v>
      </c>
      <c r="K366" t="str">
        <f>_xlfn.XLOOKUP(A:A,Sheet1!A:A,Sheet1!P:P)</f>
        <v>No</v>
      </c>
      <c r="L366" s="12">
        <f>_xlfn.XLOOKUP(A:A,Sheet1!A:A,Sheet1!S:S)</f>
        <v>0.79269417475728277</v>
      </c>
    </row>
    <row r="367" spans="1:12" x14ac:dyDescent="0.35">
      <c r="A367" s="8" t="s">
        <v>774</v>
      </c>
      <c r="B367" s="2" t="str">
        <f>_xlfn.XLOOKUP(A367,Sheet1!A:A,Sheet1!B:B)</f>
        <v>Jackie Allen</v>
      </c>
      <c r="C367" s="2" t="str">
        <f>_xlfn.XLOOKUP(A:A,Sheet1!A:A,Sheet1!D:D)</f>
        <v>Female</v>
      </c>
      <c r="D367" s="8">
        <f>_xlfn.XLOOKUP(A:A,Sheet1!A:A,Sheet1!F:F)</f>
        <v>40</v>
      </c>
      <c r="E367" s="2" t="str">
        <f>_xlfn.XLOOKUP(A:A,Sheet1!A:A,Sheet1!G:G)</f>
        <v>South Korea</v>
      </c>
      <c r="F367" s="8" t="str">
        <f>_xlfn.XLOOKUP(A:A,Sheet1!A:A,Sheet1!H:H)</f>
        <v>Korean</v>
      </c>
      <c r="G367" s="8" t="str">
        <f>_xlfn.XLOOKUP(A:A,Sheet1!A:A,Sheet1!I:I)</f>
        <v>Blockchain Development</v>
      </c>
      <c r="H367" s="8">
        <f>_xlfn.XLOOKUP(A:A,Sheet1!A:A,Sheet1!K:K)</f>
        <v>9</v>
      </c>
      <c r="I367" s="9">
        <f>_xlfn.XLOOKUP(A:A,Sheet1!A:A,Sheet1!M:M)</f>
        <v>40</v>
      </c>
      <c r="J367" s="10">
        <f>_xlfn.XLOOKUP(A:A,Sheet1!A:A,Sheet1!O:O)</f>
        <v>1.5</v>
      </c>
      <c r="K367" t="str">
        <f>_xlfn.XLOOKUP(A:A,Sheet1!A:A,Sheet1!P:P)</f>
        <v>No</v>
      </c>
      <c r="L367" s="12">
        <f>_xlfn.XLOOKUP(A:A,Sheet1!A:A,Sheet1!S:S)</f>
        <v>0.96</v>
      </c>
    </row>
    <row r="368" spans="1:12" x14ac:dyDescent="0.35">
      <c r="A368" s="8" t="s">
        <v>776</v>
      </c>
      <c r="B368" s="2" t="str">
        <f>_xlfn.XLOOKUP(A368,Sheet1!A:A,Sheet1!B:B)</f>
        <v>Brandon Williams</v>
      </c>
      <c r="C368" s="2" t="str">
        <f>_xlfn.XLOOKUP(A:A,Sheet1!A:A,Sheet1!D:D)</f>
        <v>Male</v>
      </c>
      <c r="D368" s="8">
        <f>_xlfn.XLOOKUP(A:A,Sheet1!A:A,Sheet1!F:F)</f>
        <v>41</v>
      </c>
      <c r="E368" s="2" t="str">
        <f>_xlfn.XLOOKUP(A:A,Sheet1!A:A,Sheet1!G:G)</f>
        <v>China</v>
      </c>
      <c r="F368" s="8" t="str">
        <f>_xlfn.XLOOKUP(A:A,Sheet1!A:A,Sheet1!H:H)</f>
        <v>Mandarin</v>
      </c>
      <c r="G368" s="8" t="str">
        <f>_xlfn.XLOOKUP(A:A,Sheet1!A:A,Sheet1!I:I)</f>
        <v>AI</v>
      </c>
      <c r="H368" s="8">
        <f>_xlfn.XLOOKUP(A:A,Sheet1!A:A,Sheet1!K:K)</f>
        <v>9</v>
      </c>
      <c r="I368" s="9">
        <f>_xlfn.XLOOKUP(A:A,Sheet1!A:A,Sheet1!M:M)</f>
        <v>40</v>
      </c>
      <c r="J368" s="10">
        <f>_xlfn.XLOOKUP(A:A,Sheet1!A:A,Sheet1!O:O)</f>
        <v>1.7</v>
      </c>
      <c r="K368" t="str">
        <f>_xlfn.XLOOKUP(A:A,Sheet1!A:A,Sheet1!P:P)</f>
        <v>Yes</v>
      </c>
      <c r="L368" s="12">
        <f>_xlfn.XLOOKUP(A:A,Sheet1!A:A,Sheet1!S:S)</f>
        <v>0.72</v>
      </c>
    </row>
    <row r="369" spans="1:12" x14ac:dyDescent="0.35">
      <c r="A369" s="8" t="s">
        <v>778</v>
      </c>
      <c r="B369" s="2" t="str">
        <f>_xlfn.XLOOKUP(A369,Sheet1!A:A,Sheet1!B:B)</f>
        <v>Manuel Torres</v>
      </c>
      <c r="C369" s="2" t="str">
        <f>_xlfn.XLOOKUP(A:A,Sheet1!A:A,Sheet1!D:D)</f>
        <v>Male</v>
      </c>
      <c r="D369" s="8">
        <f>_xlfn.XLOOKUP(A:A,Sheet1!A:A,Sheet1!F:F)</f>
        <v>31</v>
      </c>
      <c r="E369" s="2" t="str">
        <f>_xlfn.XLOOKUP(A:A,Sheet1!A:A,Sheet1!G:G)</f>
        <v>Japan</v>
      </c>
      <c r="F369" s="8" t="str">
        <f>_xlfn.XLOOKUP(A:A,Sheet1!A:A,Sheet1!H:H)</f>
        <v>Japanese</v>
      </c>
      <c r="G369" s="8" t="str">
        <f>_xlfn.XLOOKUP(A:A,Sheet1!A:A,Sheet1!I:I)</f>
        <v>Data Analysis</v>
      </c>
      <c r="H369" s="8">
        <f>_xlfn.XLOOKUP(A:A,Sheet1!A:A,Sheet1!K:K)</f>
        <v>11</v>
      </c>
      <c r="I369" s="9">
        <f>_xlfn.XLOOKUP(A:A,Sheet1!A:A,Sheet1!M:M)</f>
        <v>40</v>
      </c>
      <c r="J369" s="10">
        <f>_xlfn.XLOOKUP(A:A,Sheet1!A:A,Sheet1!O:O)</f>
        <v>3.3</v>
      </c>
      <c r="K369" t="str">
        <f>_xlfn.XLOOKUP(A:A,Sheet1!A:A,Sheet1!P:P)</f>
        <v>No</v>
      </c>
      <c r="L369" s="12">
        <f>_xlfn.XLOOKUP(A:A,Sheet1!A:A,Sheet1!S:S)</f>
        <v>0.79269417475728277</v>
      </c>
    </row>
    <row r="370" spans="1:12" x14ac:dyDescent="0.35">
      <c r="A370" s="8" t="s">
        <v>780</v>
      </c>
      <c r="B370" s="2" t="str">
        <f>_xlfn.XLOOKUP(A370,Sheet1!A:A,Sheet1!B:B)</f>
        <v>Scott Keller</v>
      </c>
      <c r="C370" s="2" t="str">
        <f>_xlfn.XLOOKUP(A:A,Sheet1!A:A,Sheet1!D:D)</f>
        <v>Male</v>
      </c>
      <c r="D370" s="8">
        <f>_xlfn.XLOOKUP(A:A,Sheet1!A:A,Sheet1!F:F)</f>
        <v>33</v>
      </c>
      <c r="E370" s="2" t="str">
        <f>_xlfn.XLOOKUP(A:A,Sheet1!A:A,Sheet1!G:G)</f>
        <v>South Korea</v>
      </c>
      <c r="F370" s="8" t="str">
        <f>_xlfn.XLOOKUP(A:A,Sheet1!A:A,Sheet1!H:H)</f>
        <v>Korean</v>
      </c>
      <c r="G370" s="8" t="str">
        <f>_xlfn.XLOOKUP(A:A,Sheet1!A:A,Sheet1!I:I)</f>
        <v>Machine Learning</v>
      </c>
      <c r="H370" s="8">
        <f>_xlfn.XLOOKUP(A:A,Sheet1!A:A,Sheet1!K:K)</f>
        <v>9</v>
      </c>
      <c r="I370" s="9">
        <f>_xlfn.XLOOKUP(A:A,Sheet1!A:A,Sheet1!M:M)</f>
        <v>40</v>
      </c>
      <c r="J370" s="10">
        <f>_xlfn.XLOOKUP(A:A,Sheet1!A:A,Sheet1!O:O)</f>
        <v>4.3</v>
      </c>
      <c r="K370" t="str">
        <f>_xlfn.XLOOKUP(A:A,Sheet1!A:A,Sheet1!P:P)</f>
        <v>Yes</v>
      </c>
      <c r="L370" s="12">
        <f>_xlfn.XLOOKUP(A:A,Sheet1!A:A,Sheet1!S:S)</f>
        <v>0.63</v>
      </c>
    </row>
    <row r="371" spans="1:12" x14ac:dyDescent="0.35">
      <c r="A371" s="8" t="s">
        <v>782</v>
      </c>
      <c r="B371" s="2" t="str">
        <f>_xlfn.XLOOKUP(A371,Sheet1!A:A,Sheet1!B:B)</f>
        <v>Deborah Brown</v>
      </c>
      <c r="C371" s="2" t="str">
        <f>_xlfn.XLOOKUP(A:A,Sheet1!A:A,Sheet1!D:D)</f>
        <v>Female</v>
      </c>
      <c r="D371" s="8">
        <f>_xlfn.XLOOKUP(A:A,Sheet1!A:A,Sheet1!F:F)</f>
        <v>31</v>
      </c>
      <c r="E371" s="2" t="str">
        <f>_xlfn.XLOOKUP(A:A,Sheet1!A:A,Sheet1!G:G)</f>
        <v>Brazil</v>
      </c>
      <c r="F371" s="8" t="str">
        <f>_xlfn.XLOOKUP(A:A,Sheet1!A:A,Sheet1!H:H)</f>
        <v>Portuguese</v>
      </c>
      <c r="G371" s="8" t="str">
        <f>_xlfn.XLOOKUP(A:A,Sheet1!A:A,Sheet1!I:I)</f>
        <v>Machine Learning</v>
      </c>
      <c r="H371" s="8">
        <f>_xlfn.XLOOKUP(A:A,Sheet1!A:A,Sheet1!K:K)</f>
        <v>3</v>
      </c>
      <c r="I371" s="9">
        <f>_xlfn.XLOOKUP(A:A,Sheet1!A:A,Sheet1!M:M)</f>
        <v>20</v>
      </c>
      <c r="J371" s="10">
        <f>_xlfn.XLOOKUP(A:A,Sheet1!A:A,Sheet1!O:O)</f>
        <v>2.5125695216907653</v>
      </c>
      <c r="K371" t="str">
        <f>_xlfn.XLOOKUP(A:A,Sheet1!A:A,Sheet1!P:P)</f>
        <v>No</v>
      </c>
      <c r="L371" s="12">
        <f>_xlfn.XLOOKUP(A:A,Sheet1!A:A,Sheet1!S:S)</f>
        <v>0.79269417475728277</v>
      </c>
    </row>
    <row r="372" spans="1:12" x14ac:dyDescent="0.35">
      <c r="A372" s="8" t="s">
        <v>784</v>
      </c>
      <c r="B372" s="2" t="str">
        <f>_xlfn.XLOOKUP(A372,Sheet1!A:A,Sheet1!B:B)</f>
        <v>Jennifer Lara</v>
      </c>
      <c r="C372" s="2" t="str">
        <f>_xlfn.XLOOKUP(A:A,Sheet1!A:A,Sheet1!D:D)</f>
        <v>Female</v>
      </c>
      <c r="D372" s="8">
        <f>_xlfn.XLOOKUP(A:A,Sheet1!A:A,Sheet1!F:F)</f>
        <v>49</v>
      </c>
      <c r="E372" s="2" t="str">
        <f>_xlfn.XLOOKUP(A:A,Sheet1!A:A,Sheet1!G:G)</f>
        <v>Italy</v>
      </c>
      <c r="F372" s="8" t="str">
        <f>_xlfn.XLOOKUP(A:A,Sheet1!A:A,Sheet1!H:H)</f>
        <v>Italian</v>
      </c>
      <c r="G372" s="8" t="str">
        <f>_xlfn.XLOOKUP(A:A,Sheet1!A:A,Sheet1!I:I)</f>
        <v>Data Analysis</v>
      </c>
      <c r="H372" s="8">
        <f>_xlfn.XLOOKUP(A:A,Sheet1!A:A,Sheet1!K:K)</f>
        <v>15</v>
      </c>
      <c r="I372" s="9">
        <f>_xlfn.XLOOKUP(A:A,Sheet1!A:A,Sheet1!M:M)</f>
        <v>75</v>
      </c>
      <c r="J372" s="10">
        <f>_xlfn.XLOOKUP(A:A,Sheet1!A:A,Sheet1!O:O)</f>
        <v>2.6</v>
      </c>
      <c r="K372" t="str">
        <f>_xlfn.XLOOKUP(A:A,Sheet1!A:A,Sheet1!P:P)</f>
        <v>No</v>
      </c>
      <c r="L372" s="12">
        <f>_xlfn.XLOOKUP(A:A,Sheet1!A:A,Sheet1!S:S)</f>
        <v>0.83</v>
      </c>
    </row>
    <row r="373" spans="1:12" x14ac:dyDescent="0.35">
      <c r="A373" s="8" t="s">
        <v>786</v>
      </c>
      <c r="B373" s="2" t="str">
        <f>_xlfn.XLOOKUP(A373,Sheet1!A:A,Sheet1!B:B)</f>
        <v>Jason Scott</v>
      </c>
      <c r="C373" s="2" t="str">
        <f>_xlfn.XLOOKUP(A:A,Sheet1!A:A,Sheet1!D:D)</f>
        <v>Male</v>
      </c>
      <c r="D373" s="8">
        <f>_xlfn.XLOOKUP(A:A,Sheet1!A:A,Sheet1!F:F)</f>
        <v>35</v>
      </c>
      <c r="E373" s="2" t="str">
        <f>_xlfn.XLOOKUP(A:A,Sheet1!A:A,Sheet1!G:G)</f>
        <v>Mexico</v>
      </c>
      <c r="F373" s="8" t="str">
        <f>_xlfn.XLOOKUP(A:A,Sheet1!A:A,Sheet1!H:H)</f>
        <v>Spanish</v>
      </c>
      <c r="G373" s="8" t="str">
        <f>_xlfn.XLOOKUP(A:A,Sheet1!A:A,Sheet1!I:I)</f>
        <v>Graphic Design</v>
      </c>
      <c r="H373" s="8">
        <f>_xlfn.XLOOKUP(A:A,Sheet1!A:A,Sheet1!K:K)</f>
        <v>12</v>
      </c>
      <c r="I373" s="9">
        <f>_xlfn.XLOOKUP(A:A,Sheet1!A:A,Sheet1!M:M)</f>
        <v>20</v>
      </c>
      <c r="J373" s="10">
        <f>_xlfn.XLOOKUP(A:A,Sheet1!A:A,Sheet1!O:O)</f>
        <v>4.0999999999999996</v>
      </c>
      <c r="K373" t="str">
        <f>_xlfn.XLOOKUP(A:A,Sheet1!A:A,Sheet1!P:P)</f>
        <v>No</v>
      </c>
      <c r="L373" s="12">
        <f>_xlfn.XLOOKUP(A:A,Sheet1!A:A,Sheet1!S:S)</f>
        <v>0.94</v>
      </c>
    </row>
    <row r="374" spans="1:12" x14ac:dyDescent="0.35">
      <c r="A374" s="8" t="s">
        <v>788</v>
      </c>
      <c r="B374" s="2" t="str">
        <f>_xlfn.XLOOKUP(A374,Sheet1!A:A,Sheet1!B:B)</f>
        <v>Gregory Garrison</v>
      </c>
      <c r="C374" s="2" t="str">
        <f>_xlfn.XLOOKUP(A:A,Sheet1!A:A,Sheet1!D:D)</f>
        <v>Male</v>
      </c>
      <c r="D374" s="8">
        <f>_xlfn.XLOOKUP(A:A,Sheet1!A:A,Sheet1!F:F)</f>
        <v>45</v>
      </c>
      <c r="E374" s="2" t="str">
        <f>_xlfn.XLOOKUP(A:A,Sheet1!A:A,Sheet1!G:G)</f>
        <v>India</v>
      </c>
      <c r="F374" s="8" t="str">
        <f>_xlfn.XLOOKUP(A:A,Sheet1!A:A,Sheet1!H:H)</f>
        <v>Hindi</v>
      </c>
      <c r="G374" s="8" t="str">
        <f>_xlfn.XLOOKUP(A:A,Sheet1!A:A,Sheet1!I:I)</f>
        <v>Data Analysis</v>
      </c>
      <c r="H374" s="8">
        <f>_xlfn.XLOOKUP(A:A,Sheet1!A:A,Sheet1!K:K)</f>
        <v>19</v>
      </c>
      <c r="I374" s="9">
        <f>_xlfn.XLOOKUP(A:A,Sheet1!A:A,Sheet1!M:M)</f>
        <v>40</v>
      </c>
      <c r="J374" s="10">
        <f>_xlfn.XLOOKUP(A:A,Sheet1!A:A,Sheet1!O:O)</f>
        <v>2.2000000000000002</v>
      </c>
      <c r="K374" t="str">
        <f>_xlfn.XLOOKUP(A:A,Sheet1!A:A,Sheet1!P:P)</f>
        <v>Yes</v>
      </c>
      <c r="L374" s="12">
        <f>_xlfn.XLOOKUP(A:A,Sheet1!A:A,Sheet1!S:S)</f>
        <v>0.78</v>
      </c>
    </row>
    <row r="375" spans="1:12" x14ac:dyDescent="0.35">
      <c r="A375" s="8" t="s">
        <v>790</v>
      </c>
      <c r="B375" s="2" t="str">
        <f>_xlfn.XLOOKUP(A375,Sheet1!A:A,Sheet1!B:B)</f>
        <v>Chelsea Anderson</v>
      </c>
      <c r="C375" s="2" t="str">
        <f>_xlfn.XLOOKUP(A:A,Sheet1!A:A,Sheet1!D:D)</f>
        <v>Female</v>
      </c>
      <c r="D375" s="8">
        <f>_xlfn.XLOOKUP(A:A,Sheet1!A:A,Sheet1!F:F)</f>
        <v>39</v>
      </c>
      <c r="E375" s="2" t="str">
        <f>_xlfn.XLOOKUP(A:A,Sheet1!A:A,Sheet1!G:G)</f>
        <v>Netherlands</v>
      </c>
      <c r="F375" s="8" t="str">
        <f>_xlfn.XLOOKUP(A:A,Sheet1!A:A,Sheet1!H:H)</f>
        <v>Dutch</v>
      </c>
      <c r="G375" s="8" t="str">
        <f>_xlfn.XLOOKUP(A:A,Sheet1!A:A,Sheet1!I:I)</f>
        <v>Data Analysis</v>
      </c>
      <c r="H375" s="8">
        <f>_xlfn.XLOOKUP(A:A,Sheet1!A:A,Sheet1!K:K)</f>
        <v>13</v>
      </c>
      <c r="I375" s="9">
        <f>_xlfn.XLOOKUP(A:A,Sheet1!A:A,Sheet1!M:M)</f>
        <v>30</v>
      </c>
      <c r="J375" s="10">
        <f>_xlfn.XLOOKUP(A:A,Sheet1!A:A,Sheet1!O:O)</f>
        <v>1.1000000000000001</v>
      </c>
      <c r="K375" t="str">
        <f>_xlfn.XLOOKUP(A:A,Sheet1!A:A,Sheet1!P:P)</f>
        <v>Yes</v>
      </c>
      <c r="L375" s="12">
        <f>_xlfn.XLOOKUP(A:A,Sheet1!A:A,Sheet1!S:S)</f>
        <v>0.79269417475728277</v>
      </c>
    </row>
    <row r="376" spans="1:12" x14ac:dyDescent="0.35">
      <c r="A376" s="8" t="s">
        <v>792</v>
      </c>
      <c r="B376" s="2" t="str">
        <f>_xlfn.XLOOKUP(A376,Sheet1!A:A,Sheet1!B:B)</f>
        <v>Gerald Johnson</v>
      </c>
      <c r="C376" s="2" t="str">
        <f>_xlfn.XLOOKUP(A:A,Sheet1!A:A,Sheet1!D:D)</f>
        <v>Male</v>
      </c>
      <c r="D376" s="8">
        <f>_xlfn.XLOOKUP(A:A,Sheet1!A:A,Sheet1!F:F)</f>
        <v>41</v>
      </c>
      <c r="E376" s="2" t="str">
        <f>_xlfn.XLOOKUP(A:A,Sheet1!A:A,Sheet1!G:G)</f>
        <v>Argentina</v>
      </c>
      <c r="F376" s="8" t="str">
        <f>_xlfn.XLOOKUP(A:A,Sheet1!A:A,Sheet1!H:H)</f>
        <v>Spanish</v>
      </c>
      <c r="G376" s="8" t="str">
        <f>_xlfn.XLOOKUP(A:A,Sheet1!A:A,Sheet1!I:I)</f>
        <v>Blockchain Development</v>
      </c>
      <c r="H376" s="8">
        <f>_xlfn.XLOOKUP(A:A,Sheet1!A:A,Sheet1!K:K)</f>
        <v>9</v>
      </c>
      <c r="I376" s="9">
        <f>_xlfn.XLOOKUP(A:A,Sheet1!A:A,Sheet1!M:M)</f>
        <v>50</v>
      </c>
      <c r="J376" s="10">
        <f>_xlfn.XLOOKUP(A:A,Sheet1!A:A,Sheet1!O:O)</f>
        <v>2.1</v>
      </c>
      <c r="K376" t="str">
        <f>_xlfn.XLOOKUP(A:A,Sheet1!A:A,Sheet1!P:P)</f>
        <v>Yes</v>
      </c>
      <c r="L376" s="12">
        <f>_xlfn.XLOOKUP(A:A,Sheet1!A:A,Sheet1!S:S)</f>
        <v>0.82</v>
      </c>
    </row>
    <row r="377" spans="1:12" x14ac:dyDescent="0.35">
      <c r="A377" s="8" t="s">
        <v>794</v>
      </c>
      <c r="B377" s="2" t="str">
        <f>_xlfn.XLOOKUP(A377,Sheet1!A:A,Sheet1!B:B)</f>
        <v>Kevin Ellis</v>
      </c>
      <c r="C377" s="2" t="str">
        <f>_xlfn.XLOOKUP(A:A,Sheet1!A:A,Sheet1!D:D)</f>
        <v>Male</v>
      </c>
      <c r="D377" s="8">
        <f>_xlfn.XLOOKUP(A:A,Sheet1!A:A,Sheet1!F:F)</f>
        <v>24</v>
      </c>
      <c r="E377" s="2" t="str">
        <f>_xlfn.XLOOKUP(A:A,Sheet1!A:A,Sheet1!G:G)</f>
        <v>Germany</v>
      </c>
      <c r="F377" s="8" t="str">
        <f>_xlfn.XLOOKUP(A:A,Sheet1!A:A,Sheet1!H:H)</f>
        <v>German</v>
      </c>
      <c r="G377" s="8" t="str">
        <f>_xlfn.XLOOKUP(A:A,Sheet1!A:A,Sheet1!I:I)</f>
        <v>Cybersecurity</v>
      </c>
      <c r="H377" s="8">
        <f>_xlfn.XLOOKUP(A:A,Sheet1!A:A,Sheet1!K:K)</f>
        <v>3</v>
      </c>
      <c r="I377" s="9">
        <f>_xlfn.XLOOKUP(A:A,Sheet1!A:A,Sheet1!M:M)</f>
        <v>30</v>
      </c>
      <c r="J377" s="10">
        <f>_xlfn.XLOOKUP(A:A,Sheet1!A:A,Sheet1!O:O)</f>
        <v>2.2999999999999998</v>
      </c>
      <c r="K377" t="str">
        <f>_xlfn.XLOOKUP(A:A,Sheet1!A:A,Sheet1!P:P)</f>
        <v>No</v>
      </c>
      <c r="L377" s="12">
        <f>_xlfn.XLOOKUP(A:A,Sheet1!A:A,Sheet1!S:S)</f>
        <v>0.66</v>
      </c>
    </row>
    <row r="378" spans="1:12" x14ac:dyDescent="0.35">
      <c r="A378" s="8" t="s">
        <v>796</v>
      </c>
      <c r="B378" s="2" t="str">
        <f>_xlfn.XLOOKUP(A378,Sheet1!A:A,Sheet1!B:B)</f>
        <v>Mitchell Keller</v>
      </c>
      <c r="C378" s="2" t="str">
        <f>_xlfn.XLOOKUP(A:A,Sheet1!A:A,Sheet1!D:D)</f>
        <v>Male</v>
      </c>
      <c r="D378" s="8">
        <f>_xlfn.XLOOKUP(A:A,Sheet1!A:A,Sheet1!F:F)</f>
        <v>50</v>
      </c>
      <c r="E378" s="2" t="str">
        <f>_xlfn.XLOOKUP(A:A,Sheet1!A:A,Sheet1!G:G)</f>
        <v>Australia</v>
      </c>
      <c r="F378" s="8" t="str">
        <f>_xlfn.XLOOKUP(A:A,Sheet1!A:A,Sheet1!H:H)</f>
        <v>English</v>
      </c>
      <c r="G378" s="8" t="str">
        <f>_xlfn.XLOOKUP(A:A,Sheet1!A:A,Sheet1!I:I)</f>
        <v>Graphic Design</v>
      </c>
      <c r="H378" s="8">
        <f>_xlfn.XLOOKUP(A:A,Sheet1!A:A,Sheet1!K:K)</f>
        <v>26</v>
      </c>
      <c r="I378" s="9">
        <f>_xlfn.XLOOKUP(A:A,Sheet1!A:A,Sheet1!M:M)</f>
        <v>40</v>
      </c>
      <c r="J378" s="10">
        <f>_xlfn.XLOOKUP(A:A,Sheet1!A:A,Sheet1!O:O)</f>
        <v>3.6</v>
      </c>
      <c r="K378" t="str">
        <f>_xlfn.XLOOKUP(A:A,Sheet1!A:A,Sheet1!P:P)</f>
        <v>Yes</v>
      </c>
      <c r="L378" s="12">
        <f>_xlfn.XLOOKUP(A:A,Sheet1!A:A,Sheet1!S:S)</f>
        <v>0.82</v>
      </c>
    </row>
    <row r="379" spans="1:12" x14ac:dyDescent="0.35">
      <c r="A379" s="8" t="s">
        <v>798</v>
      </c>
      <c r="B379" s="2" t="str">
        <f>_xlfn.XLOOKUP(A379,Sheet1!A:A,Sheet1!B:B)</f>
        <v>Mary Brown</v>
      </c>
      <c r="C379" s="2" t="str">
        <f>_xlfn.XLOOKUP(A:A,Sheet1!A:A,Sheet1!D:D)</f>
        <v>Female</v>
      </c>
      <c r="D379" s="8">
        <f>_xlfn.XLOOKUP(A:A,Sheet1!A:A,Sheet1!F:F)</f>
        <v>23</v>
      </c>
      <c r="E379" s="2" t="str">
        <f>_xlfn.XLOOKUP(A:A,Sheet1!A:A,Sheet1!G:G)</f>
        <v>Germany</v>
      </c>
      <c r="F379" s="8" t="str">
        <f>_xlfn.XLOOKUP(A:A,Sheet1!A:A,Sheet1!H:H)</f>
        <v>German</v>
      </c>
      <c r="G379" s="8" t="str">
        <f>_xlfn.XLOOKUP(A:A,Sheet1!A:A,Sheet1!I:I)</f>
        <v>Machine Learning</v>
      </c>
      <c r="H379" s="8">
        <f>_xlfn.XLOOKUP(A:A,Sheet1!A:A,Sheet1!K:K)</f>
        <v>4</v>
      </c>
      <c r="I379" s="9">
        <f>_xlfn.XLOOKUP(A:A,Sheet1!A:A,Sheet1!M:M)</f>
        <v>20</v>
      </c>
      <c r="J379" s="10">
        <f>_xlfn.XLOOKUP(A:A,Sheet1!A:A,Sheet1!O:O)</f>
        <v>4.7</v>
      </c>
      <c r="K379" t="str">
        <f>_xlfn.XLOOKUP(A:A,Sheet1!A:A,Sheet1!P:P)</f>
        <v>Yes</v>
      </c>
      <c r="L379" s="12">
        <f>_xlfn.XLOOKUP(A:A,Sheet1!A:A,Sheet1!S:S)</f>
        <v>0.84</v>
      </c>
    </row>
    <row r="380" spans="1:12" x14ac:dyDescent="0.35">
      <c r="A380" s="8" t="s">
        <v>800</v>
      </c>
      <c r="B380" s="2" t="str">
        <f>_xlfn.XLOOKUP(A380,Sheet1!A:A,Sheet1!B:B)</f>
        <v>Ronald Walls</v>
      </c>
      <c r="C380" s="2" t="str">
        <f>_xlfn.XLOOKUP(A:A,Sheet1!A:A,Sheet1!D:D)</f>
        <v>Male</v>
      </c>
      <c r="D380" s="8">
        <f>_xlfn.XLOOKUP(A:A,Sheet1!A:A,Sheet1!F:F)</f>
        <v>27</v>
      </c>
      <c r="E380" s="2" t="str">
        <f>_xlfn.XLOOKUP(A:A,Sheet1!A:A,Sheet1!G:G)</f>
        <v>Canada</v>
      </c>
      <c r="F380" s="8" t="str">
        <f>_xlfn.XLOOKUP(A:A,Sheet1!A:A,Sheet1!H:H)</f>
        <v>English</v>
      </c>
      <c r="G380" s="8" t="str">
        <f>_xlfn.XLOOKUP(A:A,Sheet1!A:A,Sheet1!I:I)</f>
        <v>Cybersecurity</v>
      </c>
      <c r="H380" s="8">
        <f>_xlfn.XLOOKUP(A:A,Sheet1!A:A,Sheet1!K:K)</f>
        <v>8</v>
      </c>
      <c r="I380" s="9">
        <f>_xlfn.XLOOKUP(A:A,Sheet1!A:A,Sheet1!M:M)</f>
        <v>20</v>
      </c>
      <c r="J380" s="10">
        <f>_xlfn.XLOOKUP(A:A,Sheet1!A:A,Sheet1!O:O)</f>
        <v>4.8</v>
      </c>
      <c r="K380" t="str">
        <f>_xlfn.XLOOKUP(A:A,Sheet1!A:A,Sheet1!P:P)</f>
        <v>No</v>
      </c>
      <c r="L380" s="12">
        <f>_xlfn.XLOOKUP(A:A,Sheet1!A:A,Sheet1!S:S)</f>
        <v>0.81</v>
      </c>
    </row>
    <row r="381" spans="1:12" x14ac:dyDescent="0.35">
      <c r="A381" s="8" t="s">
        <v>802</v>
      </c>
      <c r="B381" s="2" t="str">
        <f>_xlfn.XLOOKUP(A381,Sheet1!A:A,Sheet1!B:B)</f>
        <v>Anthony Avila</v>
      </c>
      <c r="C381" s="2" t="str">
        <f>_xlfn.XLOOKUP(A:A,Sheet1!A:A,Sheet1!D:D)</f>
        <v>Male</v>
      </c>
      <c r="D381" s="8">
        <f>_xlfn.XLOOKUP(A:A,Sheet1!A:A,Sheet1!F:F)</f>
        <v>58</v>
      </c>
      <c r="E381" s="2" t="str">
        <f>_xlfn.XLOOKUP(A:A,Sheet1!A:A,Sheet1!G:G)</f>
        <v>South Africa</v>
      </c>
      <c r="F381" s="8" t="str">
        <f>_xlfn.XLOOKUP(A:A,Sheet1!A:A,Sheet1!H:H)</f>
        <v>Afrikaans</v>
      </c>
      <c r="G381" s="8" t="str">
        <f>_xlfn.XLOOKUP(A:A,Sheet1!A:A,Sheet1!I:I)</f>
        <v>AI</v>
      </c>
      <c r="H381" s="8">
        <f>_xlfn.XLOOKUP(A:A,Sheet1!A:A,Sheet1!K:K)</f>
        <v>10</v>
      </c>
      <c r="I381" s="9">
        <f>_xlfn.XLOOKUP(A:A,Sheet1!A:A,Sheet1!M:M)</f>
        <v>75</v>
      </c>
      <c r="J381" s="10">
        <f>_xlfn.XLOOKUP(A:A,Sheet1!A:A,Sheet1!O:O)</f>
        <v>4.2</v>
      </c>
      <c r="K381" t="str">
        <f>_xlfn.XLOOKUP(A:A,Sheet1!A:A,Sheet1!P:P)</f>
        <v>No</v>
      </c>
      <c r="L381" s="12">
        <f>_xlfn.XLOOKUP(A:A,Sheet1!A:A,Sheet1!S:S)</f>
        <v>0.71</v>
      </c>
    </row>
    <row r="382" spans="1:12" x14ac:dyDescent="0.35">
      <c r="A382" s="8" t="s">
        <v>804</v>
      </c>
      <c r="B382" s="2" t="str">
        <f>_xlfn.XLOOKUP(A382,Sheet1!A:A,Sheet1!B:B)</f>
        <v>Douglas Goodwin</v>
      </c>
      <c r="C382" s="2" t="str">
        <f>_xlfn.XLOOKUP(A:A,Sheet1!A:A,Sheet1!D:D)</f>
        <v>Male</v>
      </c>
      <c r="D382" s="8">
        <f>_xlfn.XLOOKUP(A:A,Sheet1!A:A,Sheet1!F:F)</f>
        <v>37</v>
      </c>
      <c r="E382" s="2" t="str">
        <f>_xlfn.XLOOKUP(A:A,Sheet1!A:A,Sheet1!G:G)</f>
        <v>Italy</v>
      </c>
      <c r="F382" s="8" t="str">
        <f>_xlfn.XLOOKUP(A:A,Sheet1!A:A,Sheet1!H:H)</f>
        <v>Italian</v>
      </c>
      <c r="G382" s="8" t="str">
        <f>_xlfn.XLOOKUP(A:A,Sheet1!A:A,Sheet1!I:I)</f>
        <v>Machine Learning</v>
      </c>
      <c r="H382" s="8">
        <f>_xlfn.XLOOKUP(A:A,Sheet1!A:A,Sheet1!K:K)</f>
        <v>5</v>
      </c>
      <c r="I382" s="9">
        <f>_xlfn.XLOOKUP(A:A,Sheet1!A:A,Sheet1!M:M)</f>
        <v>40</v>
      </c>
      <c r="J382" s="10">
        <f>_xlfn.XLOOKUP(A:A,Sheet1!A:A,Sheet1!O:O)</f>
        <v>4.8</v>
      </c>
      <c r="K382" t="str">
        <f>_xlfn.XLOOKUP(A:A,Sheet1!A:A,Sheet1!P:P)</f>
        <v>Yes</v>
      </c>
      <c r="L382" s="12">
        <f>_xlfn.XLOOKUP(A:A,Sheet1!A:A,Sheet1!S:S)</f>
        <v>0.61</v>
      </c>
    </row>
    <row r="383" spans="1:12" x14ac:dyDescent="0.35">
      <c r="A383" s="8" t="s">
        <v>806</v>
      </c>
      <c r="B383" s="2" t="str">
        <f>_xlfn.XLOOKUP(A383,Sheet1!A:A,Sheet1!B:B)</f>
        <v>James Mills</v>
      </c>
      <c r="C383" s="2" t="str">
        <f>_xlfn.XLOOKUP(A:A,Sheet1!A:A,Sheet1!D:D)</f>
        <v>Male</v>
      </c>
      <c r="D383" s="8">
        <f>_xlfn.XLOOKUP(A:A,Sheet1!A:A,Sheet1!F:F)</f>
        <v>39</v>
      </c>
      <c r="E383" s="2" t="str">
        <f>_xlfn.XLOOKUP(A:A,Sheet1!A:A,Sheet1!G:G)</f>
        <v>Spain</v>
      </c>
      <c r="F383" s="8" t="str">
        <f>_xlfn.XLOOKUP(A:A,Sheet1!A:A,Sheet1!H:H)</f>
        <v>Spanish</v>
      </c>
      <c r="G383" s="8" t="str">
        <f>_xlfn.XLOOKUP(A:A,Sheet1!A:A,Sheet1!I:I)</f>
        <v>Blockchain Development</v>
      </c>
      <c r="H383" s="8">
        <f>_xlfn.XLOOKUP(A:A,Sheet1!A:A,Sheet1!K:K)</f>
        <v>18</v>
      </c>
      <c r="I383" s="9">
        <f>_xlfn.XLOOKUP(A:A,Sheet1!A:A,Sheet1!M:M)</f>
        <v>75</v>
      </c>
      <c r="J383" s="10">
        <f>_xlfn.XLOOKUP(A:A,Sheet1!A:A,Sheet1!O:O)</f>
        <v>4</v>
      </c>
      <c r="K383" t="str">
        <f>_xlfn.XLOOKUP(A:A,Sheet1!A:A,Sheet1!P:P)</f>
        <v>Yes</v>
      </c>
      <c r="L383" s="12">
        <f>_xlfn.XLOOKUP(A:A,Sheet1!A:A,Sheet1!S:S)</f>
        <v>0.66</v>
      </c>
    </row>
    <row r="384" spans="1:12" x14ac:dyDescent="0.35">
      <c r="A384" s="8" t="s">
        <v>808</v>
      </c>
      <c r="B384" s="2" t="str">
        <f>_xlfn.XLOOKUP(A384,Sheet1!A:A,Sheet1!B:B)</f>
        <v>Nicole Marks</v>
      </c>
      <c r="C384" s="2" t="str">
        <f>_xlfn.XLOOKUP(A:A,Sheet1!A:A,Sheet1!D:D)</f>
        <v>Female</v>
      </c>
      <c r="D384" s="8">
        <f>_xlfn.XLOOKUP(A:A,Sheet1!A:A,Sheet1!F:F)</f>
        <v>46</v>
      </c>
      <c r="E384" s="2" t="str">
        <f>_xlfn.XLOOKUP(A:A,Sheet1!A:A,Sheet1!G:G)</f>
        <v>Egypt</v>
      </c>
      <c r="F384" s="8" t="str">
        <f>_xlfn.XLOOKUP(A:A,Sheet1!A:A,Sheet1!H:H)</f>
        <v>Arabic</v>
      </c>
      <c r="G384" s="8" t="str">
        <f>_xlfn.XLOOKUP(A:A,Sheet1!A:A,Sheet1!I:I)</f>
        <v>Data Analysis</v>
      </c>
      <c r="H384" s="8">
        <f>_xlfn.XLOOKUP(A:A,Sheet1!A:A,Sheet1!K:K)</f>
        <v>10</v>
      </c>
      <c r="I384" s="9">
        <f>_xlfn.XLOOKUP(A:A,Sheet1!A:A,Sheet1!M:M)</f>
        <v>20</v>
      </c>
      <c r="J384" s="10">
        <f>_xlfn.XLOOKUP(A:A,Sheet1!A:A,Sheet1!O:O)</f>
        <v>2.5</v>
      </c>
      <c r="K384" t="str">
        <f>_xlfn.XLOOKUP(A:A,Sheet1!A:A,Sheet1!P:P)</f>
        <v>Yes</v>
      </c>
      <c r="L384" s="12">
        <f>_xlfn.XLOOKUP(A:A,Sheet1!A:A,Sheet1!S:S)</f>
        <v>0.97</v>
      </c>
    </row>
    <row r="385" spans="1:12" x14ac:dyDescent="0.35">
      <c r="A385" s="8" t="s">
        <v>810</v>
      </c>
      <c r="B385" s="2" t="str">
        <f>_xlfn.XLOOKUP(A385,Sheet1!A:A,Sheet1!B:B)</f>
        <v>Phyllis Dawson</v>
      </c>
      <c r="C385" s="2" t="str">
        <f>_xlfn.XLOOKUP(A:A,Sheet1!A:A,Sheet1!D:D)</f>
        <v>Female</v>
      </c>
      <c r="D385" s="8">
        <f>_xlfn.XLOOKUP(A:A,Sheet1!A:A,Sheet1!F:F)</f>
        <v>41</v>
      </c>
      <c r="E385" s="2" t="str">
        <f>_xlfn.XLOOKUP(A:A,Sheet1!A:A,Sheet1!G:G)</f>
        <v>United Kingdom</v>
      </c>
      <c r="F385" s="8" t="str">
        <f>_xlfn.XLOOKUP(A:A,Sheet1!A:A,Sheet1!H:H)</f>
        <v>English</v>
      </c>
      <c r="G385" s="8" t="str">
        <f>_xlfn.XLOOKUP(A:A,Sheet1!A:A,Sheet1!I:I)</f>
        <v>UI/UX Design</v>
      </c>
      <c r="H385" s="8">
        <f>_xlfn.XLOOKUP(A:A,Sheet1!A:A,Sheet1!K:K)</f>
        <v>0</v>
      </c>
      <c r="I385" s="9">
        <f>_xlfn.XLOOKUP(A:A,Sheet1!A:A,Sheet1!M:M)</f>
        <v>20</v>
      </c>
      <c r="J385" s="10">
        <f>_xlfn.XLOOKUP(A:A,Sheet1!A:A,Sheet1!O:O)</f>
        <v>4.8</v>
      </c>
      <c r="K385" t="str">
        <f>_xlfn.XLOOKUP(A:A,Sheet1!A:A,Sheet1!P:P)</f>
        <v>No</v>
      </c>
      <c r="L385" s="12">
        <f>_xlfn.XLOOKUP(A:A,Sheet1!A:A,Sheet1!S:S)</f>
        <v>0.74</v>
      </c>
    </row>
    <row r="386" spans="1:12" x14ac:dyDescent="0.35">
      <c r="A386" s="8" t="s">
        <v>812</v>
      </c>
      <c r="B386" s="2" t="str">
        <f>_xlfn.XLOOKUP(A386,Sheet1!A:A,Sheet1!B:B)</f>
        <v>Renee Arnold</v>
      </c>
      <c r="C386" s="2" t="str">
        <f>_xlfn.XLOOKUP(A:A,Sheet1!A:A,Sheet1!D:D)</f>
        <v>Female</v>
      </c>
      <c r="D386" s="8">
        <f>_xlfn.XLOOKUP(A:A,Sheet1!A:A,Sheet1!F:F)</f>
        <v>39</v>
      </c>
      <c r="E386" s="2" t="str">
        <f>_xlfn.XLOOKUP(A:A,Sheet1!A:A,Sheet1!G:G)</f>
        <v>Mexico</v>
      </c>
      <c r="F386" s="8" t="str">
        <f>_xlfn.XLOOKUP(A:A,Sheet1!A:A,Sheet1!H:H)</f>
        <v>Spanish</v>
      </c>
      <c r="G386" s="8" t="str">
        <f>_xlfn.XLOOKUP(A:A,Sheet1!A:A,Sheet1!I:I)</f>
        <v>Blockchain Development</v>
      </c>
      <c r="H386" s="8">
        <f>_xlfn.XLOOKUP(A:A,Sheet1!A:A,Sheet1!K:K)</f>
        <v>21</v>
      </c>
      <c r="I386" s="9">
        <f>_xlfn.XLOOKUP(A:A,Sheet1!A:A,Sheet1!M:M)</f>
        <v>30</v>
      </c>
      <c r="J386" s="10">
        <f>_xlfn.XLOOKUP(A:A,Sheet1!A:A,Sheet1!O:O)</f>
        <v>4.7</v>
      </c>
      <c r="K386" t="str">
        <f>_xlfn.XLOOKUP(A:A,Sheet1!A:A,Sheet1!P:P)</f>
        <v>No</v>
      </c>
      <c r="L386" s="12">
        <f>_xlfn.XLOOKUP(A:A,Sheet1!A:A,Sheet1!S:S)</f>
        <v>0.61</v>
      </c>
    </row>
    <row r="387" spans="1:12" x14ac:dyDescent="0.35">
      <c r="A387" s="8" t="s">
        <v>814</v>
      </c>
      <c r="B387" s="2" t="str">
        <f>_xlfn.XLOOKUP(A387,Sheet1!A:A,Sheet1!B:B)</f>
        <v>Eric Robinson</v>
      </c>
      <c r="C387" s="2" t="str">
        <f>_xlfn.XLOOKUP(A:A,Sheet1!A:A,Sheet1!D:D)</f>
        <v>Male</v>
      </c>
      <c r="D387" s="8">
        <f>_xlfn.XLOOKUP(A:A,Sheet1!A:A,Sheet1!F:F)</f>
        <v>59</v>
      </c>
      <c r="E387" s="2" t="str">
        <f>_xlfn.XLOOKUP(A:A,Sheet1!A:A,Sheet1!G:G)</f>
        <v>Egypt</v>
      </c>
      <c r="F387" s="8" t="str">
        <f>_xlfn.XLOOKUP(A:A,Sheet1!A:A,Sheet1!H:H)</f>
        <v>Arabic</v>
      </c>
      <c r="G387" s="8" t="str">
        <f>_xlfn.XLOOKUP(A:A,Sheet1!A:A,Sheet1!I:I)</f>
        <v>Blockchain Development</v>
      </c>
      <c r="H387" s="8">
        <f>_xlfn.XLOOKUP(A:A,Sheet1!A:A,Sheet1!K:K)</f>
        <v>25</v>
      </c>
      <c r="I387" s="9">
        <f>_xlfn.XLOOKUP(A:A,Sheet1!A:A,Sheet1!M:M)</f>
        <v>20</v>
      </c>
      <c r="J387" s="10">
        <f>_xlfn.XLOOKUP(A:A,Sheet1!A:A,Sheet1!O:O)</f>
        <v>4</v>
      </c>
      <c r="K387" t="str">
        <f>_xlfn.XLOOKUP(A:A,Sheet1!A:A,Sheet1!P:P)</f>
        <v>No</v>
      </c>
      <c r="L387" s="12">
        <f>_xlfn.XLOOKUP(A:A,Sheet1!A:A,Sheet1!S:S)</f>
        <v>0.9</v>
      </c>
    </row>
    <row r="388" spans="1:12" x14ac:dyDescent="0.35">
      <c r="A388" s="8" t="s">
        <v>816</v>
      </c>
      <c r="B388" s="2" t="str">
        <f>_xlfn.XLOOKUP(A388,Sheet1!A:A,Sheet1!B:B)</f>
        <v>Paul Brown</v>
      </c>
      <c r="C388" s="2" t="str">
        <f>_xlfn.XLOOKUP(A:A,Sheet1!A:A,Sheet1!D:D)</f>
        <v>Male</v>
      </c>
      <c r="D388" s="8">
        <f>_xlfn.XLOOKUP(A:A,Sheet1!A:A,Sheet1!F:F)</f>
        <v>21</v>
      </c>
      <c r="E388" s="2" t="str">
        <f>_xlfn.XLOOKUP(A:A,Sheet1!A:A,Sheet1!G:G)</f>
        <v>Netherlands</v>
      </c>
      <c r="F388" s="8" t="str">
        <f>_xlfn.XLOOKUP(A:A,Sheet1!A:A,Sheet1!H:H)</f>
        <v>Dutch</v>
      </c>
      <c r="G388" s="8" t="str">
        <f>_xlfn.XLOOKUP(A:A,Sheet1!A:A,Sheet1!I:I)</f>
        <v>DevOps</v>
      </c>
      <c r="H388" s="8">
        <f>_xlfn.XLOOKUP(A:A,Sheet1!A:A,Sheet1!K:K)</f>
        <v>0</v>
      </c>
      <c r="I388" s="9">
        <f>_xlfn.XLOOKUP(A:A,Sheet1!A:A,Sheet1!M:M)</f>
        <v>40</v>
      </c>
      <c r="J388" s="10">
        <f>_xlfn.XLOOKUP(A:A,Sheet1!A:A,Sheet1!O:O)</f>
        <v>4.0999999999999996</v>
      </c>
      <c r="K388" t="str">
        <f>_xlfn.XLOOKUP(A:A,Sheet1!A:A,Sheet1!P:P)</f>
        <v>Yes</v>
      </c>
      <c r="L388" s="12">
        <f>_xlfn.XLOOKUP(A:A,Sheet1!A:A,Sheet1!S:S)</f>
        <v>0.97</v>
      </c>
    </row>
    <row r="389" spans="1:12" x14ac:dyDescent="0.35">
      <c r="A389" s="8" t="s">
        <v>818</v>
      </c>
      <c r="B389" s="2" t="str">
        <f>_xlfn.XLOOKUP(A389,Sheet1!A:A,Sheet1!B:B)</f>
        <v>Sarah Proctor</v>
      </c>
      <c r="C389" s="2" t="str">
        <f>_xlfn.XLOOKUP(A:A,Sheet1!A:A,Sheet1!D:D)</f>
        <v>Female</v>
      </c>
      <c r="D389" s="8">
        <f>_xlfn.XLOOKUP(A:A,Sheet1!A:A,Sheet1!F:F)</f>
        <v>23</v>
      </c>
      <c r="E389" s="2" t="str">
        <f>_xlfn.XLOOKUP(A:A,Sheet1!A:A,Sheet1!G:G)</f>
        <v>Canada</v>
      </c>
      <c r="F389" s="8" t="str">
        <f>_xlfn.XLOOKUP(A:A,Sheet1!A:A,Sheet1!H:H)</f>
        <v>English</v>
      </c>
      <c r="G389" s="8" t="str">
        <f>_xlfn.XLOOKUP(A:A,Sheet1!A:A,Sheet1!I:I)</f>
        <v>DevOps</v>
      </c>
      <c r="H389" s="8">
        <f>_xlfn.XLOOKUP(A:A,Sheet1!A:A,Sheet1!K:K)</f>
        <v>5</v>
      </c>
      <c r="I389" s="9">
        <f>_xlfn.XLOOKUP(A:A,Sheet1!A:A,Sheet1!M:M)</f>
        <v>100</v>
      </c>
      <c r="J389" s="10">
        <f>_xlfn.XLOOKUP(A:A,Sheet1!A:A,Sheet1!O:O)</f>
        <v>3.2</v>
      </c>
      <c r="K389" t="str">
        <f>_xlfn.XLOOKUP(A:A,Sheet1!A:A,Sheet1!P:P)</f>
        <v>Yes</v>
      </c>
      <c r="L389" s="12">
        <f>_xlfn.XLOOKUP(A:A,Sheet1!A:A,Sheet1!S:S)</f>
        <v>0.79269417475728277</v>
      </c>
    </row>
    <row r="390" spans="1:12" x14ac:dyDescent="0.35">
      <c r="A390" s="8" t="s">
        <v>820</v>
      </c>
      <c r="B390" s="2" t="str">
        <f>_xlfn.XLOOKUP(A390,Sheet1!A:A,Sheet1!B:B)</f>
        <v>Matthew Hicks</v>
      </c>
      <c r="C390" s="2" t="str">
        <f>_xlfn.XLOOKUP(A:A,Sheet1!A:A,Sheet1!D:D)</f>
        <v>Male</v>
      </c>
      <c r="D390" s="8">
        <f>_xlfn.XLOOKUP(A:A,Sheet1!A:A,Sheet1!F:F)</f>
        <v>27</v>
      </c>
      <c r="E390" s="2" t="str">
        <f>_xlfn.XLOOKUP(A:A,Sheet1!A:A,Sheet1!G:G)</f>
        <v>Egypt</v>
      </c>
      <c r="F390" s="8" t="str">
        <f>_xlfn.XLOOKUP(A:A,Sheet1!A:A,Sheet1!H:H)</f>
        <v>Arabic</v>
      </c>
      <c r="G390" s="8" t="str">
        <f>_xlfn.XLOOKUP(A:A,Sheet1!A:A,Sheet1!I:I)</f>
        <v>Web Development</v>
      </c>
      <c r="H390" s="8">
        <f>_xlfn.XLOOKUP(A:A,Sheet1!A:A,Sheet1!K:K)</f>
        <v>1</v>
      </c>
      <c r="I390" s="9">
        <f>_xlfn.XLOOKUP(A:A,Sheet1!A:A,Sheet1!M:M)</f>
        <v>20</v>
      </c>
      <c r="J390" s="10">
        <f>_xlfn.XLOOKUP(A:A,Sheet1!A:A,Sheet1!O:O)</f>
        <v>4.3</v>
      </c>
      <c r="K390" t="str">
        <f>_xlfn.XLOOKUP(A:A,Sheet1!A:A,Sheet1!P:P)</f>
        <v>No</v>
      </c>
      <c r="L390" s="12">
        <f>_xlfn.XLOOKUP(A:A,Sheet1!A:A,Sheet1!S:S)</f>
        <v>0.76</v>
      </c>
    </row>
    <row r="391" spans="1:12" x14ac:dyDescent="0.35">
      <c r="A391" s="8" t="s">
        <v>822</v>
      </c>
      <c r="B391" s="2" t="str">
        <f>_xlfn.XLOOKUP(A391,Sheet1!A:A,Sheet1!B:B)</f>
        <v>Christopher Black</v>
      </c>
      <c r="C391" s="2" t="str">
        <f>_xlfn.XLOOKUP(A:A,Sheet1!A:A,Sheet1!D:D)</f>
        <v>Male</v>
      </c>
      <c r="D391" s="8">
        <f>_xlfn.XLOOKUP(A:A,Sheet1!A:A,Sheet1!F:F)</f>
        <v>27</v>
      </c>
      <c r="E391" s="2" t="str">
        <f>_xlfn.XLOOKUP(A:A,Sheet1!A:A,Sheet1!G:G)</f>
        <v>China</v>
      </c>
      <c r="F391" s="8" t="str">
        <f>_xlfn.XLOOKUP(A:A,Sheet1!A:A,Sheet1!H:H)</f>
        <v>Mandarin</v>
      </c>
      <c r="G391" s="8" t="str">
        <f>_xlfn.XLOOKUP(A:A,Sheet1!A:A,Sheet1!I:I)</f>
        <v>Cybersecurity</v>
      </c>
      <c r="H391" s="8">
        <f>_xlfn.XLOOKUP(A:A,Sheet1!A:A,Sheet1!K:K)</f>
        <v>4</v>
      </c>
      <c r="I391" s="9">
        <f>_xlfn.XLOOKUP(A:A,Sheet1!A:A,Sheet1!M:M)</f>
        <v>40</v>
      </c>
      <c r="J391" s="10">
        <f>_xlfn.XLOOKUP(A:A,Sheet1!A:A,Sheet1!O:O)</f>
        <v>4.4000000000000004</v>
      </c>
      <c r="K391" t="str">
        <f>_xlfn.XLOOKUP(A:A,Sheet1!A:A,Sheet1!P:P)</f>
        <v>No</v>
      </c>
      <c r="L391" s="12">
        <f>_xlfn.XLOOKUP(A:A,Sheet1!A:A,Sheet1!S:S)</f>
        <v>0.92</v>
      </c>
    </row>
    <row r="392" spans="1:12" x14ac:dyDescent="0.35">
      <c r="A392" s="8" t="s">
        <v>824</v>
      </c>
      <c r="B392" s="2" t="str">
        <f>_xlfn.XLOOKUP(A392,Sheet1!A:A,Sheet1!B:B)</f>
        <v>Joanne Reyes</v>
      </c>
      <c r="C392" s="2" t="str">
        <f>_xlfn.XLOOKUP(A:A,Sheet1!A:A,Sheet1!D:D)</f>
        <v>Female</v>
      </c>
      <c r="D392" s="8">
        <f>_xlfn.XLOOKUP(A:A,Sheet1!A:A,Sheet1!F:F)</f>
        <v>48</v>
      </c>
      <c r="E392" s="2" t="str">
        <f>_xlfn.XLOOKUP(A:A,Sheet1!A:A,Sheet1!G:G)</f>
        <v>South Africa</v>
      </c>
      <c r="F392" s="8" t="str">
        <f>_xlfn.XLOOKUP(A:A,Sheet1!A:A,Sheet1!H:H)</f>
        <v>Afrikaans</v>
      </c>
      <c r="G392" s="8" t="str">
        <f>_xlfn.XLOOKUP(A:A,Sheet1!A:A,Sheet1!I:I)</f>
        <v>Data Analysis</v>
      </c>
      <c r="H392" s="8">
        <f>_xlfn.XLOOKUP(A:A,Sheet1!A:A,Sheet1!K:K)</f>
        <v>21</v>
      </c>
      <c r="I392" s="9">
        <f>_xlfn.XLOOKUP(A:A,Sheet1!A:A,Sheet1!M:M)</f>
        <v>40</v>
      </c>
      <c r="J392" s="10">
        <f>_xlfn.XLOOKUP(A:A,Sheet1!A:A,Sheet1!O:O)</f>
        <v>2.2999999999999998</v>
      </c>
      <c r="K392" t="str">
        <f>_xlfn.XLOOKUP(A:A,Sheet1!A:A,Sheet1!P:P)</f>
        <v>No</v>
      </c>
      <c r="L392" s="12">
        <f>_xlfn.XLOOKUP(A:A,Sheet1!A:A,Sheet1!S:S)</f>
        <v>0.79269417475728277</v>
      </c>
    </row>
    <row r="393" spans="1:12" x14ac:dyDescent="0.35">
      <c r="A393" s="8" t="s">
        <v>826</v>
      </c>
      <c r="B393" s="2" t="str">
        <f>_xlfn.XLOOKUP(A393,Sheet1!A:A,Sheet1!B:B)</f>
        <v>Isaac Gray</v>
      </c>
      <c r="C393" s="2" t="str">
        <f>_xlfn.XLOOKUP(A:A,Sheet1!A:A,Sheet1!D:D)</f>
        <v>Male</v>
      </c>
      <c r="D393" s="8">
        <f>_xlfn.XLOOKUP(A:A,Sheet1!A:A,Sheet1!F:F)</f>
        <v>21</v>
      </c>
      <c r="E393" s="2" t="str">
        <f>_xlfn.XLOOKUP(A:A,Sheet1!A:A,Sheet1!G:G)</f>
        <v>South Africa</v>
      </c>
      <c r="F393" s="8" t="str">
        <f>_xlfn.XLOOKUP(A:A,Sheet1!A:A,Sheet1!H:H)</f>
        <v>Afrikaans</v>
      </c>
      <c r="G393" s="8" t="str">
        <f>_xlfn.XLOOKUP(A:A,Sheet1!A:A,Sheet1!I:I)</f>
        <v>AI</v>
      </c>
      <c r="H393" s="8">
        <f>_xlfn.XLOOKUP(A:A,Sheet1!A:A,Sheet1!K:K)</f>
        <v>1</v>
      </c>
      <c r="I393" s="9">
        <f>_xlfn.XLOOKUP(A:A,Sheet1!A:A,Sheet1!M:M)</f>
        <v>20</v>
      </c>
      <c r="J393" s="10">
        <f>_xlfn.XLOOKUP(A:A,Sheet1!A:A,Sheet1!O:O)</f>
        <v>2.4</v>
      </c>
      <c r="K393" t="str">
        <f>_xlfn.XLOOKUP(A:A,Sheet1!A:A,Sheet1!P:P)</f>
        <v>Yes</v>
      </c>
      <c r="L393" s="12">
        <f>_xlfn.XLOOKUP(A:A,Sheet1!A:A,Sheet1!S:S)</f>
        <v>0.66</v>
      </c>
    </row>
    <row r="394" spans="1:12" x14ac:dyDescent="0.35">
      <c r="A394" s="8" t="s">
        <v>828</v>
      </c>
      <c r="B394" s="2" t="str">
        <f>_xlfn.XLOOKUP(A394,Sheet1!A:A,Sheet1!B:B)</f>
        <v>Joshua Roberts</v>
      </c>
      <c r="C394" s="2" t="str">
        <f>_xlfn.XLOOKUP(A:A,Sheet1!A:A,Sheet1!D:D)</f>
        <v>Male</v>
      </c>
      <c r="D394" s="8">
        <f>_xlfn.XLOOKUP(A:A,Sheet1!A:A,Sheet1!F:F)</f>
        <v>37</v>
      </c>
      <c r="E394" s="2" t="str">
        <f>_xlfn.XLOOKUP(A:A,Sheet1!A:A,Sheet1!G:G)</f>
        <v>Italy</v>
      </c>
      <c r="F394" s="8" t="str">
        <f>_xlfn.XLOOKUP(A:A,Sheet1!A:A,Sheet1!H:H)</f>
        <v>Italian</v>
      </c>
      <c r="G394" s="8" t="str">
        <f>_xlfn.XLOOKUP(A:A,Sheet1!A:A,Sheet1!I:I)</f>
        <v>DevOps</v>
      </c>
      <c r="H394" s="8">
        <f>_xlfn.XLOOKUP(A:A,Sheet1!A:A,Sheet1!K:K)</f>
        <v>9</v>
      </c>
      <c r="I394" s="9">
        <f>_xlfn.XLOOKUP(A:A,Sheet1!A:A,Sheet1!M:M)</f>
        <v>50</v>
      </c>
      <c r="J394" s="10">
        <f>_xlfn.XLOOKUP(A:A,Sheet1!A:A,Sheet1!O:O)</f>
        <v>4.5999999999999996</v>
      </c>
      <c r="K394" t="str">
        <f>_xlfn.XLOOKUP(A:A,Sheet1!A:A,Sheet1!P:P)</f>
        <v>No</v>
      </c>
      <c r="L394" s="12">
        <f>_xlfn.XLOOKUP(A:A,Sheet1!A:A,Sheet1!S:S)</f>
        <v>0.83</v>
      </c>
    </row>
    <row r="395" spans="1:12" x14ac:dyDescent="0.35">
      <c r="A395" s="8" t="s">
        <v>830</v>
      </c>
      <c r="B395" s="2" t="str">
        <f>_xlfn.XLOOKUP(A395,Sheet1!A:A,Sheet1!B:B)</f>
        <v>Elizabeth Estrada</v>
      </c>
      <c r="C395" s="2" t="str">
        <f>_xlfn.XLOOKUP(A:A,Sheet1!A:A,Sheet1!D:D)</f>
        <v>Female</v>
      </c>
      <c r="D395" s="8">
        <f>_xlfn.XLOOKUP(A:A,Sheet1!A:A,Sheet1!F:F)</f>
        <v>31</v>
      </c>
      <c r="E395" s="2" t="str">
        <f>_xlfn.XLOOKUP(A:A,Sheet1!A:A,Sheet1!G:G)</f>
        <v>Germany</v>
      </c>
      <c r="F395" s="8" t="str">
        <f>_xlfn.XLOOKUP(A:A,Sheet1!A:A,Sheet1!H:H)</f>
        <v>German</v>
      </c>
      <c r="G395" s="8" t="str">
        <f>_xlfn.XLOOKUP(A:A,Sheet1!A:A,Sheet1!I:I)</f>
        <v>UI/UX Design</v>
      </c>
      <c r="H395" s="8">
        <f>_xlfn.XLOOKUP(A:A,Sheet1!A:A,Sheet1!K:K)</f>
        <v>10</v>
      </c>
      <c r="I395" s="9">
        <f>_xlfn.XLOOKUP(A:A,Sheet1!A:A,Sheet1!M:M)</f>
        <v>50</v>
      </c>
      <c r="J395" s="11">
        <v>0</v>
      </c>
      <c r="K395" t="str">
        <f>_xlfn.XLOOKUP(A:A,Sheet1!A:A,Sheet1!P:P)</f>
        <v>No</v>
      </c>
      <c r="L395" s="12">
        <f>_xlfn.XLOOKUP(A:A,Sheet1!A:A,Sheet1!S:S)</f>
        <v>0.79269417475728277</v>
      </c>
    </row>
    <row r="396" spans="1:12" x14ac:dyDescent="0.35">
      <c r="A396" s="8" t="s">
        <v>832</v>
      </c>
      <c r="B396" s="2" t="str">
        <f>_xlfn.XLOOKUP(A396,Sheet1!A:A,Sheet1!B:B)</f>
        <v>Lori Malone</v>
      </c>
      <c r="C396" s="2" t="str">
        <f>_xlfn.XLOOKUP(A:A,Sheet1!A:A,Sheet1!D:D)</f>
        <v>Female</v>
      </c>
      <c r="D396" s="8">
        <f>_xlfn.XLOOKUP(A:A,Sheet1!A:A,Sheet1!F:F)</f>
        <v>41</v>
      </c>
      <c r="E396" s="2" t="str">
        <f>_xlfn.XLOOKUP(A:A,Sheet1!A:A,Sheet1!G:G)</f>
        <v>Egypt</v>
      </c>
      <c r="F396" s="8" t="str">
        <f>_xlfn.XLOOKUP(A:A,Sheet1!A:A,Sheet1!H:H)</f>
        <v>Arabic</v>
      </c>
      <c r="G396" s="8" t="str">
        <f>_xlfn.XLOOKUP(A:A,Sheet1!A:A,Sheet1!I:I)</f>
        <v>Blockchain Development</v>
      </c>
      <c r="H396" s="8">
        <f>_xlfn.XLOOKUP(A:A,Sheet1!A:A,Sheet1!K:K)</f>
        <v>21</v>
      </c>
      <c r="I396" s="9">
        <f>_xlfn.XLOOKUP(A:A,Sheet1!A:A,Sheet1!M:M)</f>
        <v>40</v>
      </c>
      <c r="J396" s="11">
        <v>0</v>
      </c>
      <c r="K396" t="str">
        <f>_xlfn.XLOOKUP(A:A,Sheet1!A:A,Sheet1!P:P)</f>
        <v>Yes</v>
      </c>
      <c r="L396" s="12">
        <f>_xlfn.XLOOKUP(A:A,Sheet1!A:A,Sheet1!S:S)</f>
        <v>0.79269417475728277</v>
      </c>
    </row>
    <row r="397" spans="1:12" x14ac:dyDescent="0.35">
      <c r="A397" s="8" t="s">
        <v>834</v>
      </c>
      <c r="B397" s="2" t="str">
        <f>_xlfn.XLOOKUP(A397,Sheet1!A:A,Sheet1!B:B)</f>
        <v xml:space="preserve">Anthony Huynh </v>
      </c>
      <c r="C397" s="2" t="str">
        <f>_xlfn.XLOOKUP(A:A,Sheet1!A:A,Sheet1!D:D)</f>
        <v>Male</v>
      </c>
      <c r="D397" s="8">
        <f>_xlfn.XLOOKUP(A:A,Sheet1!A:A,Sheet1!F:F)</f>
        <v>31</v>
      </c>
      <c r="E397" s="2" t="str">
        <f>_xlfn.XLOOKUP(A:A,Sheet1!A:A,Sheet1!G:G)</f>
        <v>Russia</v>
      </c>
      <c r="F397" s="8" t="str">
        <f>_xlfn.XLOOKUP(A:A,Sheet1!A:A,Sheet1!H:H)</f>
        <v>Russian</v>
      </c>
      <c r="G397" s="8" t="str">
        <f>_xlfn.XLOOKUP(A:A,Sheet1!A:A,Sheet1!I:I)</f>
        <v>Cybersecurity</v>
      </c>
      <c r="H397" s="8">
        <f>_xlfn.XLOOKUP(A:A,Sheet1!A:A,Sheet1!K:K)</f>
        <v>0</v>
      </c>
      <c r="I397" s="9">
        <f>_xlfn.XLOOKUP(A:A,Sheet1!A:A,Sheet1!M:M)</f>
        <v>20</v>
      </c>
      <c r="J397" s="10">
        <f>_xlfn.XLOOKUP(A:A,Sheet1!A:A,Sheet1!O:O)</f>
        <v>4.2</v>
      </c>
      <c r="K397" t="str">
        <f>_xlfn.XLOOKUP(A:A,Sheet1!A:A,Sheet1!P:P)</f>
        <v>Yes</v>
      </c>
      <c r="L397" s="12">
        <f>_xlfn.XLOOKUP(A:A,Sheet1!A:A,Sheet1!S:S)</f>
        <v>0.82</v>
      </c>
    </row>
    <row r="398" spans="1:12" x14ac:dyDescent="0.35">
      <c r="A398" s="8" t="s">
        <v>835</v>
      </c>
      <c r="B398" s="2" t="str">
        <f>_xlfn.XLOOKUP(A398,Sheet1!A:A,Sheet1!B:B)</f>
        <v>Mindy York</v>
      </c>
      <c r="C398" s="2" t="str">
        <f>_xlfn.XLOOKUP(A:A,Sheet1!A:A,Sheet1!D:D)</f>
        <v>Female</v>
      </c>
      <c r="D398" s="8">
        <f>_xlfn.XLOOKUP(A:A,Sheet1!A:A,Sheet1!F:F)</f>
        <v>58</v>
      </c>
      <c r="E398" s="2" t="str">
        <f>_xlfn.XLOOKUP(A:A,Sheet1!A:A,Sheet1!G:G)</f>
        <v>Argentina</v>
      </c>
      <c r="F398" s="8" t="str">
        <f>_xlfn.XLOOKUP(A:A,Sheet1!A:A,Sheet1!H:H)</f>
        <v>Spanish</v>
      </c>
      <c r="G398" s="8" t="str">
        <f>_xlfn.XLOOKUP(A:A,Sheet1!A:A,Sheet1!I:I)</f>
        <v>Data Analysis</v>
      </c>
      <c r="H398" s="8">
        <f>_xlfn.XLOOKUP(A:A,Sheet1!A:A,Sheet1!K:K)</f>
        <v>0</v>
      </c>
      <c r="I398" s="9">
        <f>_xlfn.XLOOKUP(A:A,Sheet1!A:A,Sheet1!M:M)</f>
        <v>50</v>
      </c>
      <c r="J398" s="10">
        <f>_xlfn.XLOOKUP(A:A,Sheet1!A:A,Sheet1!O:O)</f>
        <v>2.2999999999999998</v>
      </c>
      <c r="K398" t="str">
        <f>_xlfn.XLOOKUP(A:A,Sheet1!A:A,Sheet1!P:P)</f>
        <v>No</v>
      </c>
      <c r="L398" s="12">
        <f>_xlfn.XLOOKUP(A:A,Sheet1!A:A,Sheet1!S:S)</f>
        <v>0.77</v>
      </c>
    </row>
    <row r="399" spans="1:12" x14ac:dyDescent="0.35">
      <c r="A399" s="8" t="s">
        <v>837</v>
      </c>
      <c r="B399" s="2" t="str">
        <f>_xlfn.XLOOKUP(A399,Sheet1!A:A,Sheet1!B:B)</f>
        <v xml:space="preserve"> Christine Cherry</v>
      </c>
      <c r="C399" s="2" t="str">
        <f>_xlfn.XLOOKUP(A:A,Sheet1!A:A,Sheet1!D:D)</f>
        <v>Female</v>
      </c>
      <c r="D399" s="8">
        <f>_xlfn.XLOOKUP(A:A,Sheet1!A:A,Sheet1!F:F)</f>
        <v>45</v>
      </c>
      <c r="E399" s="2" t="str">
        <f>_xlfn.XLOOKUP(A:A,Sheet1!A:A,Sheet1!G:G)</f>
        <v>Netherlands</v>
      </c>
      <c r="F399" s="8" t="str">
        <f>_xlfn.XLOOKUP(A:A,Sheet1!A:A,Sheet1!H:H)</f>
        <v>Dutch</v>
      </c>
      <c r="G399" s="8" t="str">
        <f>_xlfn.XLOOKUP(A:A,Sheet1!A:A,Sheet1!I:I)</f>
        <v>Data Analysis</v>
      </c>
      <c r="H399" s="8">
        <f>_xlfn.XLOOKUP(A:A,Sheet1!A:A,Sheet1!K:K)</f>
        <v>17</v>
      </c>
      <c r="I399" s="9">
        <f>_xlfn.XLOOKUP(A:A,Sheet1!A:A,Sheet1!M:M)</f>
        <v>50</v>
      </c>
      <c r="J399" s="10">
        <f>_xlfn.XLOOKUP(A:A,Sheet1!A:A,Sheet1!O:O)</f>
        <v>4.7</v>
      </c>
      <c r="K399" t="str">
        <f>_xlfn.XLOOKUP(A:A,Sheet1!A:A,Sheet1!P:P)</f>
        <v>Yes</v>
      </c>
      <c r="L399" s="12">
        <f>_xlfn.XLOOKUP(A:A,Sheet1!A:A,Sheet1!S:S)</f>
        <v>0.73</v>
      </c>
    </row>
    <row r="400" spans="1:12" x14ac:dyDescent="0.35">
      <c r="A400" s="8" t="s">
        <v>838</v>
      </c>
      <c r="B400" s="2" t="str">
        <f>_xlfn.XLOOKUP(A400,Sheet1!A:A,Sheet1!B:B)</f>
        <v>Daniel Foster</v>
      </c>
      <c r="C400" s="2" t="str">
        <f>_xlfn.XLOOKUP(A:A,Sheet1!A:A,Sheet1!D:D)</f>
        <v>Male</v>
      </c>
      <c r="D400" s="8">
        <f>_xlfn.XLOOKUP(A:A,Sheet1!A:A,Sheet1!F:F)</f>
        <v>51</v>
      </c>
      <c r="E400" s="2" t="str">
        <f>_xlfn.XLOOKUP(A:A,Sheet1!A:A,Sheet1!G:G)</f>
        <v>South Korea</v>
      </c>
      <c r="F400" s="8" t="str">
        <f>_xlfn.XLOOKUP(A:A,Sheet1!A:A,Sheet1!H:H)</f>
        <v>Korean</v>
      </c>
      <c r="G400" s="8" t="str">
        <f>_xlfn.XLOOKUP(A:A,Sheet1!A:A,Sheet1!I:I)</f>
        <v>Cybersecurity</v>
      </c>
      <c r="H400" s="8">
        <f>_xlfn.XLOOKUP(A:A,Sheet1!A:A,Sheet1!K:K)</f>
        <v>5</v>
      </c>
      <c r="I400" s="9">
        <f>_xlfn.XLOOKUP(A:A,Sheet1!A:A,Sheet1!M:M)</f>
        <v>40</v>
      </c>
      <c r="J400" s="10">
        <f>_xlfn.XLOOKUP(A:A,Sheet1!A:A,Sheet1!O:O)</f>
        <v>3</v>
      </c>
      <c r="K400" t="str">
        <f>_xlfn.XLOOKUP(A:A,Sheet1!A:A,Sheet1!P:P)</f>
        <v>Yes</v>
      </c>
      <c r="L400" s="12">
        <f>_xlfn.XLOOKUP(A:A,Sheet1!A:A,Sheet1!S:S)</f>
        <v>0.88</v>
      </c>
    </row>
    <row r="401" spans="1:12" x14ac:dyDescent="0.35">
      <c r="A401" s="8" t="s">
        <v>840</v>
      </c>
      <c r="B401" s="2" t="str">
        <f>_xlfn.XLOOKUP(A401,Sheet1!A:A,Sheet1!B:B)</f>
        <v xml:space="preserve"> David Valencia</v>
      </c>
      <c r="C401" s="2" t="str">
        <f>_xlfn.XLOOKUP(A:A,Sheet1!A:A,Sheet1!D:D)</f>
        <v>Male</v>
      </c>
      <c r="D401" s="8">
        <f>_xlfn.XLOOKUP(A:A,Sheet1!A:A,Sheet1!F:F)</f>
        <v>54</v>
      </c>
      <c r="E401" s="2" t="str">
        <f>_xlfn.XLOOKUP(A:A,Sheet1!A:A,Sheet1!G:G)</f>
        <v>United States</v>
      </c>
      <c r="F401" s="8" t="str">
        <f>_xlfn.XLOOKUP(A:A,Sheet1!A:A,Sheet1!H:H)</f>
        <v>English</v>
      </c>
      <c r="G401" s="8" t="str">
        <f>_xlfn.XLOOKUP(A:A,Sheet1!A:A,Sheet1!I:I)</f>
        <v>UI/UX Design</v>
      </c>
      <c r="H401" s="8">
        <f>_xlfn.XLOOKUP(A:A,Sheet1!A:A,Sheet1!K:K)</f>
        <v>3</v>
      </c>
      <c r="I401" s="9">
        <f>_xlfn.XLOOKUP(A:A,Sheet1!A:A,Sheet1!M:M)</f>
        <v>30</v>
      </c>
      <c r="J401" s="10">
        <f>_xlfn.XLOOKUP(A:A,Sheet1!A:A,Sheet1!O:O)</f>
        <v>2.4</v>
      </c>
      <c r="K401" t="str">
        <f>_xlfn.XLOOKUP(A:A,Sheet1!A:A,Sheet1!P:P)</f>
        <v>No</v>
      </c>
      <c r="L401" s="12">
        <f>_xlfn.XLOOKUP(A:A,Sheet1!A:A,Sheet1!S:S)</f>
        <v>0.81</v>
      </c>
    </row>
    <row r="402" spans="1:12" x14ac:dyDescent="0.35">
      <c r="A402" s="8" t="s">
        <v>841</v>
      </c>
      <c r="B402" s="2" t="str">
        <f>_xlfn.XLOOKUP(A402,Sheet1!A:A,Sheet1!B:B)</f>
        <v>Ethan Adams</v>
      </c>
      <c r="C402" s="2" t="str">
        <f>_xlfn.XLOOKUP(A:A,Sheet1!A:A,Sheet1!D:D)</f>
        <v>Male</v>
      </c>
      <c r="D402" s="8">
        <f>_xlfn.XLOOKUP(A:A,Sheet1!A:A,Sheet1!F:F)</f>
        <v>22</v>
      </c>
      <c r="E402" s="2" t="str">
        <f>_xlfn.XLOOKUP(A:A,Sheet1!A:A,Sheet1!G:G)</f>
        <v>Russia</v>
      </c>
      <c r="F402" s="8" t="str">
        <f>_xlfn.XLOOKUP(A:A,Sheet1!A:A,Sheet1!H:H)</f>
        <v>Russian</v>
      </c>
      <c r="G402" s="8" t="str">
        <f>_xlfn.XLOOKUP(A:A,Sheet1!A:A,Sheet1!I:I)</f>
        <v>Data Analysis</v>
      </c>
      <c r="H402" s="8">
        <f>_xlfn.XLOOKUP(A:A,Sheet1!A:A,Sheet1!K:K)</f>
        <v>1</v>
      </c>
      <c r="I402" s="9">
        <f>_xlfn.XLOOKUP(A:A,Sheet1!A:A,Sheet1!M:M)</f>
        <v>20</v>
      </c>
      <c r="J402" s="10">
        <f>_xlfn.XLOOKUP(A:A,Sheet1!A:A,Sheet1!O:O)</f>
        <v>1.7</v>
      </c>
      <c r="K402" t="str">
        <f>_xlfn.XLOOKUP(A:A,Sheet1!A:A,Sheet1!P:P)</f>
        <v>No</v>
      </c>
      <c r="L402" s="12">
        <f>_xlfn.XLOOKUP(A:A,Sheet1!A:A,Sheet1!S:S)</f>
        <v>0.78</v>
      </c>
    </row>
    <row r="403" spans="1:12" x14ac:dyDescent="0.35">
      <c r="A403" s="8" t="s">
        <v>843</v>
      </c>
      <c r="B403" s="2" t="str">
        <f>_xlfn.XLOOKUP(A403,Sheet1!A:A,Sheet1!B:B)</f>
        <v>Brett Moore</v>
      </c>
      <c r="C403" s="2" t="str">
        <f>_xlfn.XLOOKUP(A:A,Sheet1!A:A,Sheet1!D:D)</f>
        <v>Male</v>
      </c>
      <c r="D403" s="8">
        <f>_xlfn.XLOOKUP(A:A,Sheet1!A:A,Sheet1!F:F)</f>
        <v>36</v>
      </c>
      <c r="E403" s="2" t="str">
        <f>_xlfn.XLOOKUP(A:A,Sheet1!A:A,Sheet1!G:G)</f>
        <v>Turkey</v>
      </c>
      <c r="F403" s="8" t="str">
        <f>_xlfn.XLOOKUP(A:A,Sheet1!A:A,Sheet1!H:H)</f>
        <v>Turkish</v>
      </c>
      <c r="G403" s="8" t="str">
        <f>_xlfn.XLOOKUP(A:A,Sheet1!A:A,Sheet1!I:I)</f>
        <v>Cybersecurity</v>
      </c>
      <c r="H403" s="8">
        <f>_xlfn.XLOOKUP(A:A,Sheet1!A:A,Sheet1!K:K)</f>
        <v>2</v>
      </c>
      <c r="I403" s="9">
        <f>_xlfn.XLOOKUP(A:A,Sheet1!A:A,Sheet1!M:M)</f>
        <v>75</v>
      </c>
      <c r="J403" s="11">
        <v>0</v>
      </c>
      <c r="K403" t="str">
        <f>_xlfn.XLOOKUP(A:A,Sheet1!A:A,Sheet1!P:P)</f>
        <v>No</v>
      </c>
      <c r="L403" s="12">
        <f>_xlfn.XLOOKUP(A:A,Sheet1!A:A,Sheet1!S:S)</f>
        <v>0.92</v>
      </c>
    </row>
    <row r="404" spans="1:12" x14ac:dyDescent="0.35">
      <c r="A404" s="8" t="s">
        <v>845</v>
      </c>
      <c r="B404" s="2" t="str">
        <f>_xlfn.XLOOKUP(A404,Sheet1!A:A,Sheet1!B:B)</f>
        <v>Phillip Griffin</v>
      </c>
      <c r="C404" s="2" t="str">
        <f>_xlfn.XLOOKUP(A:A,Sheet1!A:A,Sheet1!D:D)</f>
        <v>Male</v>
      </c>
      <c r="D404" s="8">
        <f>_xlfn.XLOOKUP(A:A,Sheet1!A:A,Sheet1!F:F)</f>
        <v>50</v>
      </c>
      <c r="E404" s="2" t="str">
        <f>_xlfn.XLOOKUP(A:A,Sheet1!A:A,Sheet1!G:G)</f>
        <v>Germany</v>
      </c>
      <c r="F404" s="8" t="str">
        <f>_xlfn.XLOOKUP(A:A,Sheet1!A:A,Sheet1!H:H)</f>
        <v>German</v>
      </c>
      <c r="G404" s="8" t="str">
        <f>_xlfn.XLOOKUP(A:A,Sheet1!A:A,Sheet1!I:I)</f>
        <v>DevOps</v>
      </c>
      <c r="H404" s="8">
        <f>_xlfn.XLOOKUP(A:A,Sheet1!A:A,Sheet1!K:K)</f>
        <v>32</v>
      </c>
      <c r="I404" s="9">
        <f>_xlfn.XLOOKUP(A:A,Sheet1!A:A,Sheet1!M:M)</f>
        <v>30</v>
      </c>
      <c r="J404" s="10">
        <f>_xlfn.XLOOKUP(A:A,Sheet1!A:A,Sheet1!O:O)</f>
        <v>2.5125695216907653</v>
      </c>
      <c r="K404" t="str">
        <f>_xlfn.XLOOKUP(A:A,Sheet1!A:A,Sheet1!P:P)</f>
        <v>No</v>
      </c>
      <c r="L404" s="12">
        <f>_xlfn.XLOOKUP(A:A,Sheet1!A:A,Sheet1!S:S)</f>
        <v>0.64</v>
      </c>
    </row>
    <row r="405" spans="1:12" x14ac:dyDescent="0.35">
      <c r="A405" s="8" t="s">
        <v>847</v>
      </c>
      <c r="B405" s="2" t="str">
        <f>_xlfn.XLOOKUP(A405,Sheet1!A:A,Sheet1!B:B)</f>
        <v>Stacie Wall</v>
      </c>
      <c r="C405" s="2" t="str">
        <f>_xlfn.XLOOKUP(A:A,Sheet1!A:A,Sheet1!D:D)</f>
        <v>Female</v>
      </c>
      <c r="D405" s="8">
        <f>_xlfn.XLOOKUP(A:A,Sheet1!A:A,Sheet1!F:F)</f>
        <v>41</v>
      </c>
      <c r="E405" s="2" t="str">
        <f>_xlfn.XLOOKUP(A:A,Sheet1!A:A,Sheet1!G:G)</f>
        <v>Australia</v>
      </c>
      <c r="F405" s="8" t="str">
        <f>_xlfn.XLOOKUP(A:A,Sheet1!A:A,Sheet1!H:H)</f>
        <v>English</v>
      </c>
      <c r="G405" s="8" t="str">
        <f>_xlfn.XLOOKUP(A:A,Sheet1!A:A,Sheet1!I:I)</f>
        <v>Blockchain Development</v>
      </c>
      <c r="H405" s="8">
        <f>_xlfn.XLOOKUP(A:A,Sheet1!A:A,Sheet1!K:K)</f>
        <v>14</v>
      </c>
      <c r="I405" s="9">
        <f>_xlfn.XLOOKUP(A:A,Sheet1!A:A,Sheet1!M:M)</f>
        <v>30</v>
      </c>
      <c r="J405" s="11">
        <v>0</v>
      </c>
      <c r="K405" t="str">
        <f>_xlfn.XLOOKUP(A:A,Sheet1!A:A,Sheet1!P:P)</f>
        <v>Yes</v>
      </c>
      <c r="L405" s="12">
        <f>_xlfn.XLOOKUP(A:A,Sheet1!A:A,Sheet1!S:S)</f>
        <v>0.78</v>
      </c>
    </row>
    <row r="406" spans="1:12" x14ac:dyDescent="0.35">
      <c r="A406" s="8" t="s">
        <v>849</v>
      </c>
      <c r="B406" s="2" t="str">
        <f>_xlfn.XLOOKUP(A406,Sheet1!A:A,Sheet1!B:B)</f>
        <v>Jacob Austin</v>
      </c>
      <c r="C406" s="2" t="str">
        <f>_xlfn.XLOOKUP(A:A,Sheet1!A:A,Sheet1!D:D)</f>
        <v>Male</v>
      </c>
      <c r="D406" s="8">
        <f>_xlfn.XLOOKUP(A:A,Sheet1!A:A,Sheet1!F:F)</f>
        <v>41</v>
      </c>
      <c r="E406" s="2" t="str">
        <f>_xlfn.XLOOKUP(A:A,Sheet1!A:A,Sheet1!G:G)</f>
        <v>South Africa</v>
      </c>
      <c r="F406" s="8" t="str">
        <f>_xlfn.XLOOKUP(A:A,Sheet1!A:A,Sheet1!H:H)</f>
        <v>Afrikaans</v>
      </c>
      <c r="G406" s="8" t="str">
        <f>_xlfn.XLOOKUP(A:A,Sheet1!A:A,Sheet1!I:I)</f>
        <v>Web Development</v>
      </c>
      <c r="H406" s="8">
        <f>_xlfn.XLOOKUP(A:A,Sheet1!A:A,Sheet1!K:K)</f>
        <v>10</v>
      </c>
      <c r="I406" s="9">
        <f>_xlfn.XLOOKUP(A:A,Sheet1!A:A,Sheet1!M:M)</f>
        <v>20</v>
      </c>
      <c r="J406" s="10">
        <f>_xlfn.XLOOKUP(A:A,Sheet1!A:A,Sheet1!O:O)</f>
        <v>1.8</v>
      </c>
      <c r="K406" t="str">
        <f>_xlfn.XLOOKUP(A:A,Sheet1!A:A,Sheet1!P:P)</f>
        <v>Yes</v>
      </c>
      <c r="L406" s="12">
        <f>_xlfn.XLOOKUP(A:A,Sheet1!A:A,Sheet1!S:S)</f>
        <v>0.85</v>
      </c>
    </row>
    <row r="407" spans="1:12" x14ac:dyDescent="0.35">
      <c r="A407" s="8" t="s">
        <v>851</v>
      </c>
      <c r="B407" s="2" t="str">
        <f>_xlfn.XLOOKUP(A407,Sheet1!A:A,Sheet1!B:B)</f>
        <v>Sabrina Davidson</v>
      </c>
      <c r="C407" s="2" t="str">
        <f>_xlfn.XLOOKUP(A:A,Sheet1!A:A,Sheet1!D:D)</f>
        <v>Female</v>
      </c>
      <c r="D407" s="8">
        <f>_xlfn.XLOOKUP(A:A,Sheet1!A:A,Sheet1!F:F)</f>
        <v>51</v>
      </c>
      <c r="E407" s="2" t="str">
        <f>_xlfn.XLOOKUP(A:A,Sheet1!A:A,Sheet1!G:G)</f>
        <v>Netherlands</v>
      </c>
      <c r="F407" s="8" t="str">
        <f>_xlfn.XLOOKUP(A:A,Sheet1!A:A,Sheet1!H:H)</f>
        <v>Dutch</v>
      </c>
      <c r="G407" s="8" t="str">
        <f>_xlfn.XLOOKUP(A:A,Sheet1!A:A,Sheet1!I:I)</f>
        <v>Cybersecurity</v>
      </c>
      <c r="H407" s="8">
        <f>_xlfn.XLOOKUP(A:A,Sheet1!A:A,Sheet1!K:K)</f>
        <v>27</v>
      </c>
      <c r="I407" s="9">
        <f>_xlfn.XLOOKUP(A:A,Sheet1!A:A,Sheet1!M:M)</f>
        <v>50</v>
      </c>
      <c r="J407" s="11">
        <v>0</v>
      </c>
      <c r="K407" t="str">
        <f>_xlfn.XLOOKUP(A:A,Sheet1!A:A,Sheet1!P:P)</f>
        <v>No</v>
      </c>
      <c r="L407" s="12">
        <f>_xlfn.XLOOKUP(A:A,Sheet1!A:A,Sheet1!S:S)</f>
        <v>0.78</v>
      </c>
    </row>
    <row r="408" spans="1:12" x14ac:dyDescent="0.35">
      <c r="A408" s="8" t="s">
        <v>853</v>
      </c>
      <c r="B408" s="2" t="str">
        <f>_xlfn.XLOOKUP(A408,Sheet1!A:A,Sheet1!B:B)</f>
        <v>Dustin Douglas</v>
      </c>
      <c r="C408" s="2" t="str">
        <f>_xlfn.XLOOKUP(A:A,Sheet1!A:A,Sheet1!D:D)</f>
        <v>Male</v>
      </c>
      <c r="D408" s="8">
        <f>_xlfn.XLOOKUP(A:A,Sheet1!A:A,Sheet1!F:F)</f>
        <v>21</v>
      </c>
      <c r="E408" s="2" t="str">
        <f>_xlfn.XLOOKUP(A:A,Sheet1!A:A,Sheet1!G:G)</f>
        <v>France</v>
      </c>
      <c r="F408" s="8" t="str">
        <f>_xlfn.XLOOKUP(A:A,Sheet1!A:A,Sheet1!H:H)</f>
        <v>French</v>
      </c>
      <c r="G408" s="8" t="str">
        <f>_xlfn.XLOOKUP(A:A,Sheet1!A:A,Sheet1!I:I)</f>
        <v>AI</v>
      </c>
      <c r="H408" s="8">
        <f>_xlfn.XLOOKUP(A:A,Sheet1!A:A,Sheet1!K:K)</f>
        <v>2</v>
      </c>
      <c r="I408" s="9">
        <f>_xlfn.XLOOKUP(A:A,Sheet1!A:A,Sheet1!M:M)</f>
        <v>30</v>
      </c>
      <c r="J408" s="10">
        <f>_xlfn.XLOOKUP(A:A,Sheet1!A:A,Sheet1!O:O)</f>
        <v>3.8</v>
      </c>
      <c r="K408" t="str">
        <f>_xlfn.XLOOKUP(A:A,Sheet1!A:A,Sheet1!P:P)</f>
        <v>Yes</v>
      </c>
      <c r="L408" s="12">
        <f>_xlfn.XLOOKUP(A:A,Sheet1!A:A,Sheet1!S:S)</f>
        <v>0.98</v>
      </c>
    </row>
    <row r="409" spans="1:12" x14ac:dyDescent="0.35">
      <c r="A409" s="8" t="s">
        <v>855</v>
      </c>
      <c r="B409" s="2" t="str">
        <f>_xlfn.XLOOKUP(A409,Sheet1!A:A,Sheet1!B:B)</f>
        <v>Steven Norris</v>
      </c>
      <c r="C409" s="2" t="str">
        <f>_xlfn.XLOOKUP(A:A,Sheet1!A:A,Sheet1!D:D)</f>
        <v>Male</v>
      </c>
      <c r="D409" s="8">
        <f>_xlfn.XLOOKUP(A:A,Sheet1!A:A,Sheet1!F:F)</f>
        <v>51</v>
      </c>
      <c r="E409" s="2" t="str">
        <f>_xlfn.XLOOKUP(A:A,Sheet1!A:A,Sheet1!G:G)</f>
        <v>Japan</v>
      </c>
      <c r="F409" s="8" t="str">
        <f>_xlfn.XLOOKUP(A:A,Sheet1!A:A,Sheet1!H:H)</f>
        <v>Japanese</v>
      </c>
      <c r="G409" s="8" t="str">
        <f>_xlfn.XLOOKUP(A:A,Sheet1!A:A,Sheet1!I:I)</f>
        <v>AI</v>
      </c>
      <c r="H409" s="8">
        <f>_xlfn.XLOOKUP(A:A,Sheet1!A:A,Sheet1!K:K)</f>
        <v>33</v>
      </c>
      <c r="I409" s="9">
        <f>_xlfn.XLOOKUP(A:A,Sheet1!A:A,Sheet1!M:M)</f>
        <v>40</v>
      </c>
      <c r="J409" s="11">
        <v>0</v>
      </c>
      <c r="K409" t="str">
        <f>_xlfn.XLOOKUP(A:A,Sheet1!A:A,Sheet1!P:P)</f>
        <v>Yes</v>
      </c>
      <c r="L409" s="12">
        <f>_xlfn.XLOOKUP(A:A,Sheet1!A:A,Sheet1!S:S)</f>
        <v>0.63</v>
      </c>
    </row>
    <row r="410" spans="1:12" x14ac:dyDescent="0.35">
      <c r="A410" s="8" t="s">
        <v>857</v>
      </c>
      <c r="B410" s="2" t="str">
        <f>_xlfn.XLOOKUP(A410,Sheet1!A:A,Sheet1!B:B)</f>
        <v>Mindy Sullivan</v>
      </c>
      <c r="C410" s="2" t="str">
        <f>_xlfn.XLOOKUP(A:A,Sheet1!A:A,Sheet1!D:D)</f>
        <v>Female</v>
      </c>
      <c r="D410" s="8">
        <f>_xlfn.XLOOKUP(A:A,Sheet1!A:A,Sheet1!F:F)</f>
        <v>37</v>
      </c>
      <c r="E410" s="2" t="str">
        <f>_xlfn.XLOOKUP(A:A,Sheet1!A:A,Sheet1!G:G)</f>
        <v>Indonesia</v>
      </c>
      <c r="F410" s="8" t="str">
        <f>_xlfn.XLOOKUP(A:A,Sheet1!A:A,Sheet1!H:H)</f>
        <v>Indonesian</v>
      </c>
      <c r="G410" s="8" t="str">
        <f>_xlfn.XLOOKUP(A:A,Sheet1!A:A,Sheet1!I:I)</f>
        <v>Graphic Design</v>
      </c>
      <c r="H410" s="8">
        <f>_xlfn.XLOOKUP(A:A,Sheet1!A:A,Sheet1!K:K)</f>
        <v>11</v>
      </c>
      <c r="I410" s="9">
        <f>_xlfn.XLOOKUP(A:A,Sheet1!A:A,Sheet1!M:M)</f>
        <v>40</v>
      </c>
      <c r="J410" s="10">
        <f>_xlfn.XLOOKUP(A:A,Sheet1!A:A,Sheet1!O:O)</f>
        <v>3.6</v>
      </c>
      <c r="K410" t="str">
        <f>_xlfn.XLOOKUP(A:A,Sheet1!A:A,Sheet1!P:P)</f>
        <v>No</v>
      </c>
      <c r="L410" s="12">
        <f>_xlfn.XLOOKUP(A:A,Sheet1!A:A,Sheet1!S:S)</f>
        <v>0.73</v>
      </c>
    </row>
    <row r="411" spans="1:12" x14ac:dyDescent="0.35">
      <c r="A411" s="8" t="s">
        <v>859</v>
      </c>
      <c r="B411" s="2" t="str">
        <f>_xlfn.XLOOKUP(A411,Sheet1!A:A,Sheet1!B:B)</f>
        <v>Elizabeth Stone</v>
      </c>
      <c r="C411" s="2" t="str">
        <f>_xlfn.XLOOKUP(A:A,Sheet1!A:A,Sheet1!D:D)</f>
        <v>Female</v>
      </c>
      <c r="D411" s="8">
        <f>_xlfn.XLOOKUP(A:A,Sheet1!A:A,Sheet1!F:F)</f>
        <v>20</v>
      </c>
      <c r="E411" s="2" t="str">
        <f>_xlfn.XLOOKUP(A:A,Sheet1!A:A,Sheet1!G:G)</f>
        <v>Spain</v>
      </c>
      <c r="F411" s="8" t="str">
        <f>_xlfn.XLOOKUP(A:A,Sheet1!A:A,Sheet1!H:H)</f>
        <v>Spanish</v>
      </c>
      <c r="G411" s="8" t="str">
        <f>_xlfn.XLOOKUP(A:A,Sheet1!A:A,Sheet1!I:I)</f>
        <v>Graphic Design</v>
      </c>
      <c r="H411" s="8">
        <f>_xlfn.XLOOKUP(A:A,Sheet1!A:A,Sheet1!K:K)</f>
        <v>2</v>
      </c>
      <c r="I411" s="9">
        <f>_xlfn.XLOOKUP(A:A,Sheet1!A:A,Sheet1!M:M)</f>
        <v>30</v>
      </c>
      <c r="J411" s="11">
        <v>0</v>
      </c>
      <c r="K411" t="str">
        <f>_xlfn.XLOOKUP(A:A,Sheet1!A:A,Sheet1!P:P)</f>
        <v>No</v>
      </c>
      <c r="L411" s="12">
        <f>_xlfn.XLOOKUP(A:A,Sheet1!A:A,Sheet1!S:S)</f>
        <v>0.94</v>
      </c>
    </row>
    <row r="412" spans="1:12" x14ac:dyDescent="0.35">
      <c r="A412" s="8" t="s">
        <v>861</v>
      </c>
      <c r="B412" s="2" t="str">
        <f>_xlfn.XLOOKUP(A412,Sheet1!A:A,Sheet1!B:B)</f>
        <v>Diane Flores</v>
      </c>
      <c r="C412" s="2" t="str">
        <f>_xlfn.XLOOKUP(A:A,Sheet1!A:A,Sheet1!D:D)</f>
        <v>Female</v>
      </c>
      <c r="D412" s="8">
        <f>_xlfn.XLOOKUP(A:A,Sheet1!A:A,Sheet1!F:F)</f>
        <v>50</v>
      </c>
      <c r="E412" s="2" t="str">
        <f>_xlfn.XLOOKUP(A:A,Sheet1!A:A,Sheet1!G:G)</f>
        <v>Australia</v>
      </c>
      <c r="F412" s="8" t="str">
        <f>_xlfn.XLOOKUP(A:A,Sheet1!A:A,Sheet1!H:H)</f>
        <v>English</v>
      </c>
      <c r="G412" s="8" t="str">
        <f>_xlfn.XLOOKUP(A:A,Sheet1!A:A,Sheet1!I:I)</f>
        <v>Web Development</v>
      </c>
      <c r="H412" s="8">
        <f>_xlfn.XLOOKUP(A:A,Sheet1!A:A,Sheet1!K:K)</f>
        <v>31</v>
      </c>
      <c r="I412" s="9">
        <f>_xlfn.XLOOKUP(A:A,Sheet1!A:A,Sheet1!M:M)</f>
        <v>50</v>
      </c>
      <c r="J412" s="10">
        <f>_xlfn.XLOOKUP(A:A,Sheet1!A:A,Sheet1!O:O)</f>
        <v>4.0999999999999996</v>
      </c>
      <c r="K412" t="str">
        <f>_xlfn.XLOOKUP(A:A,Sheet1!A:A,Sheet1!P:P)</f>
        <v>No</v>
      </c>
      <c r="L412" s="12">
        <f>_xlfn.XLOOKUP(A:A,Sheet1!A:A,Sheet1!S:S)</f>
        <v>0.81</v>
      </c>
    </row>
    <row r="413" spans="1:12" x14ac:dyDescent="0.35">
      <c r="A413" s="8" t="s">
        <v>863</v>
      </c>
      <c r="B413" s="2" t="str">
        <f>_xlfn.XLOOKUP(A413,Sheet1!A:A,Sheet1!B:B)</f>
        <v>Jessica Erickson</v>
      </c>
      <c r="C413" s="2" t="str">
        <f>_xlfn.XLOOKUP(A:A,Sheet1!A:A,Sheet1!D:D)</f>
        <v>Female</v>
      </c>
      <c r="D413" s="8">
        <f>_xlfn.XLOOKUP(A:A,Sheet1!A:A,Sheet1!F:F)</f>
        <v>58</v>
      </c>
      <c r="E413" s="2" t="str">
        <f>_xlfn.XLOOKUP(A:A,Sheet1!A:A,Sheet1!G:G)</f>
        <v>Turkey</v>
      </c>
      <c r="F413" s="8" t="str">
        <f>_xlfn.XLOOKUP(A:A,Sheet1!A:A,Sheet1!H:H)</f>
        <v>Turkish</v>
      </c>
      <c r="G413" s="8" t="str">
        <f>_xlfn.XLOOKUP(A:A,Sheet1!A:A,Sheet1!I:I)</f>
        <v>Graphic Design</v>
      </c>
      <c r="H413" s="8">
        <f>_xlfn.XLOOKUP(A:A,Sheet1!A:A,Sheet1!K:K)</f>
        <v>17</v>
      </c>
      <c r="I413" s="9">
        <f>_xlfn.XLOOKUP(A:A,Sheet1!A:A,Sheet1!M:M)</f>
        <v>50</v>
      </c>
      <c r="J413" s="10">
        <f>_xlfn.XLOOKUP(A:A,Sheet1!A:A,Sheet1!O:O)</f>
        <v>2.6</v>
      </c>
      <c r="K413" t="str">
        <f>_xlfn.XLOOKUP(A:A,Sheet1!A:A,Sheet1!P:P)</f>
        <v>Yes</v>
      </c>
      <c r="L413" s="12">
        <f>_xlfn.XLOOKUP(A:A,Sheet1!A:A,Sheet1!S:S)</f>
        <v>0.61</v>
      </c>
    </row>
    <row r="414" spans="1:12" x14ac:dyDescent="0.35">
      <c r="A414" s="8" t="s">
        <v>865</v>
      </c>
      <c r="B414" s="2" t="str">
        <f>_xlfn.XLOOKUP(A414,Sheet1!A:A,Sheet1!B:B)</f>
        <v>Sara Moses</v>
      </c>
      <c r="C414" s="2" t="str">
        <f>_xlfn.XLOOKUP(A:A,Sheet1!A:A,Sheet1!D:D)</f>
        <v>Female</v>
      </c>
      <c r="D414" s="8">
        <f>_xlfn.XLOOKUP(A:A,Sheet1!A:A,Sheet1!F:F)</f>
        <v>40</v>
      </c>
      <c r="E414" s="2" t="str">
        <f>_xlfn.XLOOKUP(A:A,Sheet1!A:A,Sheet1!G:G)</f>
        <v>Brazil</v>
      </c>
      <c r="F414" s="8" t="str">
        <f>_xlfn.XLOOKUP(A:A,Sheet1!A:A,Sheet1!H:H)</f>
        <v>Portuguese</v>
      </c>
      <c r="G414" s="8" t="str">
        <f>_xlfn.XLOOKUP(A:A,Sheet1!A:A,Sheet1!I:I)</f>
        <v>UI/UX Design</v>
      </c>
      <c r="H414" s="8">
        <f>_xlfn.XLOOKUP(A:A,Sheet1!A:A,Sheet1!K:K)</f>
        <v>2</v>
      </c>
      <c r="I414" s="9">
        <f>_xlfn.XLOOKUP(A:A,Sheet1!A:A,Sheet1!M:M)</f>
        <v>100</v>
      </c>
      <c r="J414" s="11">
        <v>0</v>
      </c>
      <c r="K414" t="str">
        <f>_xlfn.XLOOKUP(A:A,Sheet1!A:A,Sheet1!P:P)</f>
        <v>No</v>
      </c>
      <c r="L414" s="12">
        <f>_xlfn.XLOOKUP(A:A,Sheet1!A:A,Sheet1!S:S)</f>
        <v>0.79269417475728277</v>
      </c>
    </row>
    <row r="415" spans="1:12" x14ac:dyDescent="0.35">
      <c r="A415" s="8" t="s">
        <v>867</v>
      </c>
      <c r="B415" s="2" t="str">
        <f>_xlfn.XLOOKUP(A415,Sheet1!A:A,Sheet1!B:B)</f>
        <v>Allison Henderson</v>
      </c>
      <c r="C415" s="2" t="str">
        <f>_xlfn.XLOOKUP(A:A,Sheet1!A:A,Sheet1!D:D)</f>
        <v>Female</v>
      </c>
      <c r="D415" s="8">
        <f>_xlfn.XLOOKUP(A:A,Sheet1!A:A,Sheet1!F:F)</f>
        <v>26</v>
      </c>
      <c r="E415" s="2" t="str">
        <f>_xlfn.XLOOKUP(A:A,Sheet1!A:A,Sheet1!G:G)</f>
        <v>Egypt</v>
      </c>
      <c r="F415" s="8" t="str">
        <f>_xlfn.XLOOKUP(A:A,Sheet1!A:A,Sheet1!H:H)</f>
        <v>Arabic</v>
      </c>
      <c r="G415" s="8" t="str">
        <f>_xlfn.XLOOKUP(A:A,Sheet1!A:A,Sheet1!I:I)</f>
        <v>Web Development</v>
      </c>
      <c r="H415" s="8">
        <f>_xlfn.XLOOKUP(A:A,Sheet1!A:A,Sheet1!K:K)</f>
        <v>2</v>
      </c>
      <c r="I415" s="9">
        <f>_xlfn.XLOOKUP(A:A,Sheet1!A:A,Sheet1!M:M)</f>
        <v>20</v>
      </c>
      <c r="J415" s="10">
        <f>_xlfn.XLOOKUP(A:A,Sheet1!A:A,Sheet1!O:O)</f>
        <v>1.3</v>
      </c>
      <c r="K415" t="str">
        <f>_xlfn.XLOOKUP(A:A,Sheet1!A:A,Sheet1!P:P)</f>
        <v>No</v>
      </c>
      <c r="L415" s="12">
        <f>_xlfn.XLOOKUP(A:A,Sheet1!A:A,Sheet1!S:S)</f>
        <v>0.83</v>
      </c>
    </row>
    <row r="416" spans="1:12" x14ac:dyDescent="0.35">
      <c r="A416" s="8" t="s">
        <v>869</v>
      </c>
      <c r="B416" s="2" t="str">
        <f>_xlfn.XLOOKUP(A416,Sheet1!A:A,Sheet1!B:B)</f>
        <v>Susan Dixon</v>
      </c>
      <c r="C416" s="2" t="str">
        <f>_xlfn.XLOOKUP(A:A,Sheet1!A:A,Sheet1!D:D)</f>
        <v>Female</v>
      </c>
      <c r="D416" s="8">
        <f>_xlfn.XLOOKUP(A:A,Sheet1!A:A,Sheet1!F:F)</f>
        <v>44</v>
      </c>
      <c r="E416" s="2" t="str">
        <f>_xlfn.XLOOKUP(A:A,Sheet1!A:A,Sheet1!G:G)</f>
        <v>South Korea</v>
      </c>
      <c r="F416" s="8" t="str">
        <f>_xlfn.XLOOKUP(A:A,Sheet1!A:A,Sheet1!H:H)</f>
        <v>Korean</v>
      </c>
      <c r="G416" s="8" t="str">
        <f>_xlfn.XLOOKUP(A:A,Sheet1!A:A,Sheet1!I:I)</f>
        <v>Cybersecurity</v>
      </c>
      <c r="H416" s="8">
        <f>_xlfn.XLOOKUP(A:A,Sheet1!A:A,Sheet1!K:K)</f>
        <v>22</v>
      </c>
      <c r="I416" s="9">
        <f>_xlfn.XLOOKUP(A:A,Sheet1!A:A,Sheet1!M:M)</f>
        <v>30</v>
      </c>
      <c r="J416" s="10">
        <f>_xlfn.XLOOKUP(A:A,Sheet1!A:A,Sheet1!O:O)</f>
        <v>4.0999999999999996</v>
      </c>
      <c r="K416" t="str">
        <f>_xlfn.XLOOKUP(A:A,Sheet1!A:A,Sheet1!P:P)</f>
        <v>Yes</v>
      </c>
      <c r="L416" s="12">
        <f>_xlfn.XLOOKUP(A:A,Sheet1!A:A,Sheet1!S:S)</f>
        <v>0.79269417475728277</v>
      </c>
    </row>
    <row r="417" spans="1:12" x14ac:dyDescent="0.35">
      <c r="A417" s="8" t="s">
        <v>871</v>
      </c>
      <c r="B417" s="2" t="str">
        <f>_xlfn.XLOOKUP(A417,Sheet1!A:A,Sheet1!B:B)</f>
        <v>David Morrison</v>
      </c>
      <c r="C417" s="2" t="str">
        <f>_xlfn.XLOOKUP(A:A,Sheet1!A:A,Sheet1!D:D)</f>
        <v>Male</v>
      </c>
      <c r="D417" s="8">
        <f>_xlfn.XLOOKUP(A:A,Sheet1!A:A,Sheet1!F:F)</f>
        <v>42</v>
      </c>
      <c r="E417" s="2" t="str">
        <f>_xlfn.XLOOKUP(A:A,Sheet1!A:A,Sheet1!G:G)</f>
        <v>Mexico</v>
      </c>
      <c r="F417" s="8" t="str">
        <f>_xlfn.XLOOKUP(A:A,Sheet1!A:A,Sheet1!H:H)</f>
        <v>Spanish</v>
      </c>
      <c r="G417" s="8" t="str">
        <f>_xlfn.XLOOKUP(A:A,Sheet1!A:A,Sheet1!I:I)</f>
        <v>Machine Learning</v>
      </c>
      <c r="H417" s="8">
        <f>_xlfn.XLOOKUP(A:A,Sheet1!A:A,Sheet1!K:K)</f>
        <v>8</v>
      </c>
      <c r="I417" s="9">
        <f>_xlfn.XLOOKUP(A:A,Sheet1!A:A,Sheet1!M:M)</f>
        <v>50</v>
      </c>
      <c r="J417" s="10">
        <f>_xlfn.XLOOKUP(A:A,Sheet1!A:A,Sheet1!O:O)</f>
        <v>2.4</v>
      </c>
      <c r="K417" t="str">
        <f>_xlfn.XLOOKUP(A:A,Sheet1!A:A,Sheet1!P:P)</f>
        <v>No</v>
      </c>
      <c r="L417" s="12">
        <f>_xlfn.XLOOKUP(A:A,Sheet1!A:A,Sheet1!S:S)</f>
        <v>0.68</v>
      </c>
    </row>
    <row r="418" spans="1:12" x14ac:dyDescent="0.35">
      <c r="A418" s="8" t="s">
        <v>873</v>
      </c>
      <c r="B418" s="2" t="str">
        <f>_xlfn.XLOOKUP(A418,Sheet1!A:A,Sheet1!B:B)</f>
        <v>Jason Carter</v>
      </c>
      <c r="C418" s="2" t="str">
        <f>_xlfn.XLOOKUP(A:A,Sheet1!A:A,Sheet1!D:D)</f>
        <v>Male</v>
      </c>
      <c r="D418" s="8">
        <f>_xlfn.XLOOKUP(A:A,Sheet1!A:A,Sheet1!F:F)</f>
        <v>38</v>
      </c>
      <c r="E418" s="2" t="str">
        <f>_xlfn.XLOOKUP(A:A,Sheet1!A:A,Sheet1!G:G)</f>
        <v>Mexico</v>
      </c>
      <c r="F418" s="8" t="str">
        <f>_xlfn.XLOOKUP(A:A,Sheet1!A:A,Sheet1!H:H)</f>
        <v>Spanish</v>
      </c>
      <c r="G418" s="8" t="str">
        <f>_xlfn.XLOOKUP(A:A,Sheet1!A:A,Sheet1!I:I)</f>
        <v>Data Analysis</v>
      </c>
      <c r="H418" s="8">
        <f>_xlfn.XLOOKUP(A:A,Sheet1!A:A,Sheet1!K:K)</f>
        <v>9</v>
      </c>
      <c r="I418" s="9">
        <f>_xlfn.XLOOKUP(A:A,Sheet1!A:A,Sheet1!M:M)</f>
        <v>50</v>
      </c>
      <c r="J418" s="11">
        <v>0</v>
      </c>
      <c r="K418" t="str">
        <f>_xlfn.XLOOKUP(A:A,Sheet1!A:A,Sheet1!P:P)</f>
        <v>No</v>
      </c>
      <c r="L418" s="12">
        <f>_xlfn.XLOOKUP(A:A,Sheet1!A:A,Sheet1!S:S)</f>
        <v>0.74</v>
      </c>
    </row>
    <row r="419" spans="1:12" x14ac:dyDescent="0.35">
      <c r="A419" s="8" t="s">
        <v>874</v>
      </c>
      <c r="B419" s="2" t="str">
        <f>_xlfn.XLOOKUP(A419,Sheet1!A:A,Sheet1!B:B)</f>
        <v>James Jacobs</v>
      </c>
      <c r="C419" s="2" t="str">
        <f>_xlfn.XLOOKUP(A:A,Sheet1!A:A,Sheet1!D:D)</f>
        <v>Male</v>
      </c>
      <c r="D419" s="8">
        <f>_xlfn.XLOOKUP(A:A,Sheet1!A:A,Sheet1!F:F)</f>
        <v>51</v>
      </c>
      <c r="E419" s="2" t="str">
        <f>_xlfn.XLOOKUP(A:A,Sheet1!A:A,Sheet1!G:G)</f>
        <v>Egypt</v>
      </c>
      <c r="F419" s="8" t="str">
        <f>_xlfn.XLOOKUP(A:A,Sheet1!A:A,Sheet1!H:H)</f>
        <v>Arabic</v>
      </c>
      <c r="G419" s="8" t="str">
        <f>_xlfn.XLOOKUP(A:A,Sheet1!A:A,Sheet1!I:I)</f>
        <v>Web Development</v>
      </c>
      <c r="H419" s="8">
        <f>_xlfn.XLOOKUP(A:A,Sheet1!A:A,Sheet1!K:K)</f>
        <v>32</v>
      </c>
      <c r="I419" s="9">
        <f>_xlfn.XLOOKUP(A:A,Sheet1!A:A,Sheet1!M:M)</f>
        <v>100</v>
      </c>
      <c r="J419" s="10">
        <f>_xlfn.XLOOKUP(A:A,Sheet1!A:A,Sheet1!O:O)</f>
        <v>4.4000000000000004</v>
      </c>
      <c r="K419" t="str">
        <f>_xlfn.XLOOKUP(A:A,Sheet1!A:A,Sheet1!P:P)</f>
        <v>No</v>
      </c>
      <c r="L419" s="12">
        <f>_xlfn.XLOOKUP(A:A,Sheet1!A:A,Sheet1!S:S)</f>
        <v>0.91</v>
      </c>
    </row>
    <row r="420" spans="1:12" x14ac:dyDescent="0.35">
      <c r="A420" s="8" t="s">
        <v>876</v>
      </c>
      <c r="B420" s="2" t="str">
        <f>_xlfn.XLOOKUP(A420,Sheet1!A:A,Sheet1!B:B)</f>
        <v>Kathleen Quinn</v>
      </c>
      <c r="C420" s="2" t="str">
        <f>_xlfn.XLOOKUP(A:A,Sheet1!A:A,Sheet1!D:D)</f>
        <v>Female</v>
      </c>
      <c r="D420" s="8">
        <f>_xlfn.XLOOKUP(A:A,Sheet1!A:A,Sheet1!F:F)</f>
        <v>36</v>
      </c>
      <c r="E420" s="2" t="str">
        <f>_xlfn.XLOOKUP(A:A,Sheet1!A:A,Sheet1!G:G)</f>
        <v>France</v>
      </c>
      <c r="F420" s="8" t="str">
        <f>_xlfn.XLOOKUP(A:A,Sheet1!A:A,Sheet1!H:H)</f>
        <v>French</v>
      </c>
      <c r="G420" s="8" t="str">
        <f>_xlfn.XLOOKUP(A:A,Sheet1!A:A,Sheet1!I:I)</f>
        <v>AI</v>
      </c>
      <c r="H420" s="8">
        <f>_xlfn.XLOOKUP(A:A,Sheet1!A:A,Sheet1!K:K)</f>
        <v>8</v>
      </c>
      <c r="I420" s="9">
        <f>_xlfn.XLOOKUP(A:A,Sheet1!A:A,Sheet1!M:M)</f>
        <v>100</v>
      </c>
      <c r="J420" s="10">
        <f>_xlfn.XLOOKUP(A:A,Sheet1!A:A,Sheet1!O:O)</f>
        <v>2.2000000000000002</v>
      </c>
      <c r="K420" t="str">
        <f>_xlfn.XLOOKUP(A:A,Sheet1!A:A,Sheet1!P:P)</f>
        <v>Yes</v>
      </c>
      <c r="L420" s="12">
        <f>_xlfn.XLOOKUP(A:A,Sheet1!A:A,Sheet1!S:S)</f>
        <v>0.97</v>
      </c>
    </row>
    <row r="421" spans="1:12" x14ac:dyDescent="0.35">
      <c r="A421" s="8" t="s">
        <v>878</v>
      </c>
      <c r="B421" s="2" t="str">
        <f>_xlfn.XLOOKUP(A421,Sheet1!A:A,Sheet1!B:B)</f>
        <v xml:space="preserve">Natalie Frank </v>
      </c>
      <c r="C421" s="2" t="str">
        <f>_xlfn.XLOOKUP(A:A,Sheet1!A:A,Sheet1!D:D)</f>
        <v>Female</v>
      </c>
      <c r="D421" s="8">
        <f>_xlfn.XLOOKUP(A:A,Sheet1!A:A,Sheet1!F:F)</f>
        <v>37</v>
      </c>
      <c r="E421" s="2" t="str">
        <f>_xlfn.XLOOKUP(A:A,Sheet1!A:A,Sheet1!G:G)</f>
        <v>Australia</v>
      </c>
      <c r="F421" s="8" t="str">
        <f>_xlfn.XLOOKUP(A:A,Sheet1!A:A,Sheet1!H:H)</f>
        <v>English</v>
      </c>
      <c r="G421" s="8" t="str">
        <f>_xlfn.XLOOKUP(A:A,Sheet1!A:A,Sheet1!I:I)</f>
        <v>Mobile Apps</v>
      </c>
      <c r="H421" s="8">
        <f>_xlfn.XLOOKUP(A:A,Sheet1!A:A,Sheet1!K:K)</f>
        <v>10</v>
      </c>
      <c r="I421" s="9">
        <f>_xlfn.XLOOKUP(A:A,Sheet1!A:A,Sheet1!M:M)</f>
        <v>30</v>
      </c>
      <c r="J421" s="11">
        <v>0</v>
      </c>
      <c r="K421" t="str">
        <f>_xlfn.XLOOKUP(A:A,Sheet1!A:A,Sheet1!P:P)</f>
        <v>No</v>
      </c>
      <c r="L421" s="12">
        <f>_xlfn.XLOOKUP(A:A,Sheet1!A:A,Sheet1!S:S)</f>
        <v>0.96</v>
      </c>
    </row>
    <row r="422" spans="1:12" x14ac:dyDescent="0.35">
      <c r="A422" s="8" t="s">
        <v>879</v>
      </c>
      <c r="B422" s="2" t="str">
        <f>_xlfn.XLOOKUP(A422,Sheet1!A:A,Sheet1!B:B)</f>
        <v>Michael Reed</v>
      </c>
      <c r="C422" s="2" t="str">
        <f>_xlfn.XLOOKUP(A:A,Sheet1!A:A,Sheet1!D:D)</f>
        <v>Male</v>
      </c>
      <c r="D422" s="8">
        <f>_xlfn.XLOOKUP(A:A,Sheet1!A:A,Sheet1!F:F)</f>
        <v>31</v>
      </c>
      <c r="E422" s="2" t="str">
        <f>_xlfn.XLOOKUP(A:A,Sheet1!A:A,Sheet1!G:G)</f>
        <v>South Africa</v>
      </c>
      <c r="F422" s="8" t="str">
        <f>_xlfn.XLOOKUP(A:A,Sheet1!A:A,Sheet1!H:H)</f>
        <v>Afrikaans</v>
      </c>
      <c r="G422" s="8" t="str">
        <f>_xlfn.XLOOKUP(A:A,Sheet1!A:A,Sheet1!I:I)</f>
        <v>DevOps</v>
      </c>
      <c r="H422" s="8">
        <f>_xlfn.XLOOKUP(A:A,Sheet1!A:A,Sheet1!K:K)</f>
        <v>0</v>
      </c>
      <c r="I422" s="9">
        <f>_xlfn.XLOOKUP(A:A,Sheet1!A:A,Sheet1!M:M)</f>
        <v>50</v>
      </c>
      <c r="J422" s="10">
        <f>_xlfn.XLOOKUP(A:A,Sheet1!A:A,Sheet1!O:O)</f>
        <v>1.1000000000000001</v>
      </c>
      <c r="K422" t="str">
        <f>_xlfn.XLOOKUP(A:A,Sheet1!A:A,Sheet1!P:P)</f>
        <v>Yes</v>
      </c>
      <c r="L422" s="12">
        <f>_xlfn.XLOOKUP(A:A,Sheet1!A:A,Sheet1!S:S)</f>
        <v>0.73</v>
      </c>
    </row>
    <row r="423" spans="1:12" x14ac:dyDescent="0.35">
      <c r="A423" s="8" t="s">
        <v>881</v>
      </c>
      <c r="B423" s="2" t="str">
        <f>_xlfn.XLOOKUP(A423,Sheet1!A:A,Sheet1!B:B)</f>
        <v>Sheila Smith</v>
      </c>
      <c r="C423" s="2" t="str">
        <f>_xlfn.XLOOKUP(A:A,Sheet1!A:A,Sheet1!D:D)</f>
        <v>Female</v>
      </c>
      <c r="D423" s="8">
        <f>_xlfn.XLOOKUP(A:A,Sheet1!A:A,Sheet1!F:F)</f>
        <v>47</v>
      </c>
      <c r="E423" s="2" t="str">
        <f>_xlfn.XLOOKUP(A:A,Sheet1!A:A,Sheet1!G:G)</f>
        <v>India</v>
      </c>
      <c r="F423" s="8" t="str">
        <f>_xlfn.XLOOKUP(A:A,Sheet1!A:A,Sheet1!H:H)</f>
        <v>Hindi</v>
      </c>
      <c r="G423" s="8" t="str">
        <f>_xlfn.XLOOKUP(A:A,Sheet1!A:A,Sheet1!I:I)</f>
        <v>Cybersecurity</v>
      </c>
      <c r="H423" s="8">
        <f>_xlfn.XLOOKUP(A:A,Sheet1!A:A,Sheet1!K:K)</f>
        <v>22</v>
      </c>
      <c r="I423" s="9">
        <f>_xlfn.XLOOKUP(A:A,Sheet1!A:A,Sheet1!M:M)</f>
        <v>40</v>
      </c>
      <c r="J423" s="10">
        <f>_xlfn.XLOOKUP(A:A,Sheet1!A:A,Sheet1!O:O)</f>
        <v>1.4</v>
      </c>
      <c r="K423" t="str">
        <f>_xlfn.XLOOKUP(A:A,Sheet1!A:A,Sheet1!P:P)</f>
        <v>Yes</v>
      </c>
      <c r="L423" s="12">
        <f>_xlfn.XLOOKUP(A:A,Sheet1!A:A,Sheet1!S:S)</f>
        <v>0.72</v>
      </c>
    </row>
    <row r="424" spans="1:12" x14ac:dyDescent="0.35">
      <c r="A424" s="8" t="s">
        <v>883</v>
      </c>
      <c r="B424" s="2" t="str">
        <f>_xlfn.XLOOKUP(A424,Sheet1!A:A,Sheet1!B:B)</f>
        <v>Morgan Ford</v>
      </c>
      <c r="C424" s="2" t="str">
        <f>_xlfn.XLOOKUP(A:A,Sheet1!A:A,Sheet1!D:D)</f>
        <v>Female</v>
      </c>
      <c r="D424" s="8">
        <f>_xlfn.XLOOKUP(A:A,Sheet1!A:A,Sheet1!F:F)</f>
        <v>60</v>
      </c>
      <c r="E424" s="2" t="str">
        <f>_xlfn.XLOOKUP(A:A,Sheet1!A:A,Sheet1!G:G)</f>
        <v>Mexico</v>
      </c>
      <c r="F424" s="8" t="str">
        <f>_xlfn.XLOOKUP(A:A,Sheet1!A:A,Sheet1!H:H)</f>
        <v>Spanish</v>
      </c>
      <c r="G424" s="8" t="str">
        <f>_xlfn.XLOOKUP(A:A,Sheet1!A:A,Sheet1!I:I)</f>
        <v>UI/UX Design</v>
      </c>
      <c r="H424" s="8">
        <f>_xlfn.XLOOKUP(A:A,Sheet1!A:A,Sheet1!K:K)</f>
        <v>34</v>
      </c>
      <c r="I424" s="9">
        <f>_xlfn.XLOOKUP(A:A,Sheet1!A:A,Sheet1!M:M)</f>
        <v>100</v>
      </c>
      <c r="J424" s="11">
        <v>0</v>
      </c>
      <c r="K424" t="str">
        <f>_xlfn.XLOOKUP(A:A,Sheet1!A:A,Sheet1!P:P)</f>
        <v>Yes</v>
      </c>
      <c r="L424" s="12">
        <f>_xlfn.XLOOKUP(A:A,Sheet1!A:A,Sheet1!S:S)</f>
        <v>0.74</v>
      </c>
    </row>
    <row r="425" spans="1:12" x14ac:dyDescent="0.35">
      <c r="A425" s="8" t="s">
        <v>885</v>
      </c>
      <c r="B425" s="2" t="str">
        <f>_xlfn.XLOOKUP(A425,Sheet1!A:A,Sheet1!B:B)</f>
        <v>Linda Schultz</v>
      </c>
      <c r="C425" s="2" t="str">
        <f>_xlfn.XLOOKUP(A:A,Sheet1!A:A,Sheet1!D:D)</f>
        <v>Female</v>
      </c>
      <c r="D425" s="8">
        <f>_xlfn.XLOOKUP(A:A,Sheet1!A:A,Sheet1!F:F)</f>
        <v>48</v>
      </c>
      <c r="E425" s="2" t="str">
        <f>_xlfn.XLOOKUP(A:A,Sheet1!A:A,Sheet1!G:G)</f>
        <v>Argentina</v>
      </c>
      <c r="F425" s="8" t="str">
        <f>_xlfn.XLOOKUP(A:A,Sheet1!A:A,Sheet1!H:H)</f>
        <v>Spanish</v>
      </c>
      <c r="G425" s="8" t="str">
        <f>_xlfn.XLOOKUP(A:A,Sheet1!A:A,Sheet1!I:I)</f>
        <v>Mobile Apps</v>
      </c>
      <c r="H425" s="8">
        <f>_xlfn.XLOOKUP(A:A,Sheet1!A:A,Sheet1!K:K)</f>
        <v>5</v>
      </c>
      <c r="I425" s="9">
        <f>_xlfn.XLOOKUP(A:A,Sheet1!A:A,Sheet1!M:M)</f>
        <v>30</v>
      </c>
      <c r="J425" s="10">
        <f>_xlfn.XLOOKUP(A:A,Sheet1!A:A,Sheet1!O:O)</f>
        <v>1.5</v>
      </c>
      <c r="K425" t="str">
        <f>_xlfn.XLOOKUP(A:A,Sheet1!A:A,Sheet1!P:P)</f>
        <v>No</v>
      </c>
      <c r="L425" s="12">
        <f>_xlfn.XLOOKUP(A:A,Sheet1!A:A,Sheet1!S:S)</f>
        <v>0.79269417475728277</v>
      </c>
    </row>
    <row r="426" spans="1:12" x14ac:dyDescent="0.35">
      <c r="A426" s="8" t="s">
        <v>887</v>
      </c>
      <c r="B426" s="2" t="str">
        <f>_xlfn.XLOOKUP(A426,Sheet1!A:A,Sheet1!B:B)</f>
        <v>Regina Daniel</v>
      </c>
      <c r="C426" s="2" t="str">
        <f>_xlfn.XLOOKUP(A:A,Sheet1!A:A,Sheet1!D:D)</f>
        <v>Female</v>
      </c>
      <c r="D426" s="8">
        <f>_xlfn.XLOOKUP(A:A,Sheet1!A:A,Sheet1!F:F)</f>
        <v>24</v>
      </c>
      <c r="E426" s="2" t="str">
        <f>_xlfn.XLOOKUP(A:A,Sheet1!A:A,Sheet1!G:G)</f>
        <v>India</v>
      </c>
      <c r="F426" s="8" t="str">
        <f>_xlfn.XLOOKUP(A:A,Sheet1!A:A,Sheet1!H:H)</f>
        <v>Hindi</v>
      </c>
      <c r="G426" s="8" t="str">
        <f>_xlfn.XLOOKUP(A:A,Sheet1!A:A,Sheet1!I:I)</f>
        <v>AI</v>
      </c>
      <c r="H426" s="8">
        <f>_xlfn.XLOOKUP(A:A,Sheet1!A:A,Sheet1!K:K)</f>
        <v>3</v>
      </c>
      <c r="I426" s="9">
        <f>_xlfn.XLOOKUP(A:A,Sheet1!A:A,Sheet1!M:M)</f>
        <v>20</v>
      </c>
      <c r="J426" s="11">
        <v>0</v>
      </c>
      <c r="K426" t="str">
        <f>_xlfn.XLOOKUP(A:A,Sheet1!A:A,Sheet1!P:P)</f>
        <v>Yes</v>
      </c>
      <c r="L426" s="12">
        <f>_xlfn.XLOOKUP(A:A,Sheet1!A:A,Sheet1!S:S)</f>
        <v>0.79269417475728277</v>
      </c>
    </row>
    <row r="427" spans="1:12" x14ac:dyDescent="0.35">
      <c r="A427" s="8" t="s">
        <v>889</v>
      </c>
      <c r="B427" s="2" t="str">
        <f>_xlfn.XLOOKUP(A427,Sheet1!A:A,Sheet1!B:B)</f>
        <v>Allison Perkins</v>
      </c>
      <c r="C427" s="2" t="str">
        <f>_xlfn.XLOOKUP(A:A,Sheet1!A:A,Sheet1!D:D)</f>
        <v>Female</v>
      </c>
      <c r="D427" s="8">
        <f>_xlfn.XLOOKUP(A:A,Sheet1!A:A,Sheet1!F:F)</f>
        <v>35</v>
      </c>
      <c r="E427" s="2" t="str">
        <f>_xlfn.XLOOKUP(A:A,Sheet1!A:A,Sheet1!G:G)</f>
        <v>Netherlands</v>
      </c>
      <c r="F427" s="8" t="str">
        <f>_xlfn.XLOOKUP(A:A,Sheet1!A:A,Sheet1!H:H)</f>
        <v>Dutch</v>
      </c>
      <c r="G427" s="8" t="str">
        <f>_xlfn.XLOOKUP(A:A,Sheet1!A:A,Sheet1!I:I)</f>
        <v>Machine Learning</v>
      </c>
      <c r="H427" s="8">
        <f>_xlfn.XLOOKUP(A:A,Sheet1!A:A,Sheet1!K:K)</f>
        <v>10</v>
      </c>
      <c r="I427" s="9">
        <f>_xlfn.XLOOKUP(A:A,Sheet1!A:A,Sheet1!M:M)</f>
        <v>75</v>
      </c>
      <c r="J427" s="11">
        <v>0</v>
      </c>
      <c r="K427" t="str">
        <f>_xlfn.XLOOKUP(A:A,Sheet1!A:A,Sheet1!P:P)</f>
        <v>No</v>
      </c>
      <c r="L427" s="12">
        <f>_xlfn.XLOOKUP(A:A,Sheet1!A:A,Sheet1!S:S)</f>
        <v>0.74</v>
      </c>
    </row>
    <row r="428" spans="1:12" x14ac:dyDescent="0.35">
      <c r="A428" s="8" t="s">
        <v>891</v>
      </c>
      <c r="B428" s="2" t="str">
        <f>_xlfn.XLOOKUP(A428,Sheet1!A:A,Sheet1!B:B)</f>
        <v>Bradley Weaver</v>
      </c>
      <c r="C428" s="2" t="str">
        <f>_xlfn.XLOOKUP(A:A,Sheet1!A:A,Sheet1!D:D)</f>
        <v>Male</v>
      </c>
      <c r="D428" s="8">
        <f>_xlfn.XLOOKUP(A:A,Sheet1!A:A,Sheet1!F:F)</f>
        <v>35</v>
      </c>
      <c r="E428" s="2" t="str">
        <f>_xlfn.XLOOKUP(A:A,Sheet1!A:A,Sheet1!G:G)</f>
        <v>United States</v>
      </c>
      <c r="F428" s="8" t="str">
        <f>_xlfn.XLOOKUP(A:A,Sheet1!A:A,Sheet1!H:H)</f>
        <v>English</v>
      </c>
      <c r="G428" s="8" t="str">
        <f>_xlfn.XLOOKUP(A:A,Sheet1!A:A,Sheet1!I:I)</f>
        <v>DevOps</v>
      </c>
      <c r="H428" s="8">
        <f>_xlfn.XLOOKUP(A:A,Sheet1!A:A,Sheet1!K:K)</f>
        <v>9</v>
      </c>
      <c r="I428" s="9">
        <f>_xlfn.XLOOKUP(A:A,Sheet1!A:A,Sheet1!M:M)</f>
        <v>100</v>
      </c>
      <c r="J428" s="10">
        <f>_xlfn.XLOOKUP(A:A,Sheet1!A:A,Sheet1!O:O)</f>
        <v>3.5</v>
      </c>
      <c r="K428" t="str">
        <f>_xlfn.XLOOKUP(A:A,Sheet1!A:A,Sheet1!P:P)</f>
        <v>Yes</v>
      </c>
      <c r="L428" s="12">
        <f>_xlfn.XLOOKUP(A:A,Sheet1!A:A,Sheet1!S:S)</f>
        <v>0.71</v>
      </c>
    </row>
    <row r="429" spans="1:12" x14ac:dyDescent="0.35">
      <c r="A429" s="8" t="s">
        <v>893</v>
      </c>
      <c r="B429" s="2" t="str">
        <f>_xlfn.XLOOKUP(A429,Sheet1!A:A,Sheet1!B:B)</f>
        <v>Sarah Hall</v>
      </c>
      <c r="C429" s="2" t="str">
        <f>_xlfn.XLOOKUP(A:A,Sheet1!A:A,Sheet1!D:D)</f>
        <v>Female</v>
      </c>
      <c r="D429" s="8">
        <f>_xlfn.XLOOKUP(A:A,Sheet1!A:A,Sheet1!F:F)</f>
        <v>29</v>
      </c>
      <c r="E429" s="2" t="str">
        <f>_xlfn.XLOOKUP(A:A,Sheet1!A:A,Sheet1!G:G)</f>
        <v>Netherlands</v>
      </c>
      <c r="F429" s="8" t="str">
        <f>_xlfn.XLOOKUP(A:A,Sheet1!A:A,Sheet1!H:H)</f>
        <v>Dutch</v>
      </c>
      <c r="G429" s="8" t="str">
        <f>_xlfn.XLOOKUP(A:A,Sheet1!A:A,Sheet1!I:I)</f>
        <v>UI/UX Design</v>
      </c>
      <c r="H429" s="8">
        <f>_xlfn.XLOOKUP(A:A,Sheet1!A:A,Sheet1!K:K)</f>
        <v>6</v>
      </c>
      <c r="I429" s="9">
        <f>_xlfn.XLOOKUP(A:A,Sheet1!A:A,Sheet1!M:M)</f>
        <v>40</v>
      </c>
      <c r="J429" s="10">
        <f>_xlfn.XLOOKUP(A:A,Sheet1!A:A,Sheet1!O:O)</f>
        <v>4.8</v>
      </c>
      <c r="K429" t="str">
        <f>_xlfn.XLOOKUP(A:A,Sheet1!A:A,Sheet1!P:P)</f>
        <v>No</v>
      </c>
      <c r="L429" s="12">
        <f>_xlfn.XLOOKUP(A:A,Sheet1!A:A,Sheet1!S:S)</f>
        <v>0.83</v>
      </c>
    </row>
    <row r="430" spans="1:12" x14ac:dyDescent="0.35">
      <c r="A430" s="8" t="s">
        <v>895</v>
      </c>
      <c r="B430" s="2" t="str">
        <f>_xlfn.XLOOKUP(A430,Sheet1!A:A,Sheet1!B:B)</f>
        <v>Diana Walton</v>
      </c>
      <c r="C430" s="2" t="str">
        <f>_xlfn.XLOOKUP(A:A,Sheet1!A:A,Sheet1!D:D)</f>
        <v>Female</v>
      </c>
      <c r="D430" s="8">
        <f>_xlfn.XLOOKUP(A:A,Sheet1!A:A,Sheet1!F:F)</f>
        <v>36</v>
      </c>
      <c r="E430" s="2" t="str">
        <f>_xlfn.XLOOKUP(A:A,Sheet1!A:A,Sheet1!G:G)</f>
        <v>Italy</v>
      </c>
      <c r="F430" s="8" t="str">
        <f>_xlfn.XLOOKUP(A:A,Sheet1!A:A,Sheet1!H:H)</f>
        <v>Italian</v>
      </c>
      <c r="G430" s="8" t="str">
        <f>_xlfn.XLOOKUP(A:A,Sheet1!A:A,Sheet1!I:I)</f>
        <v>Machine Learning</v>
      </c>
      <c r="H430" s="8">
        <f>_xlfn.XLOOKUP(A:A,Sheet1!A:A,Sheet1!K:K)</f>
        <v>1</v>
      </c>
      <c r="I430" s="9">
        <f>_xlfn.XLOOKUP(A:A,Sheet1!A:A,Sheet1!M:M)</f>
        <v>75</v>
      </c>
      <c r="J430" s="10">
        <f>_xlfn.XLOOKUP(A:A,Sheet1!A:A,Sheet1!O:O)</f>
        <v>2.5125695216907653</v>
      </c>
      <c r="K430" t="str">
        <f>_xlfn.XLOOKUP(A:A,Sheet1!A:A,Sheet1!P:P)</f>
        <v>No</v>
      </c>
      <c r="L430" s="12">
        <f>_xlfn.XLOOKUP(A:A,Sheet1!A:A,Sheet1!S:S)</f>
        <v>0.63</v>
      </c>
    </row>
    <row r="431" spans="1:12" x14ac:dyDescent="0.35">
      <c r="A431" s="8" t="s">
        <v>897</v>
      </c>
      <c r="B431" s="2" t="str">
        <f>_xlfn.XLOOKUP(A431,Sheet1!A:A,Sheet1!B:B)</f>
        <v>Donna Davis</v>
      </c>
      <c r="C431" s="2" t="str">
        <f>_xlfn.XLOOKUP(A:A,Sheet1!A:A,Sheet1!D:D)</f>
        <v>Female</v>
      </c>
      <c r="D431" s="8">
        <f>_xlfn.XLOOKUP(A:A,Sheet1!A:A,Sheet1!F:F)</f>
        <v>44</v>
      </c>
      <c r="E431" s="2" t="str">
        <f>_xlfn.XLOOKUP(A:A,Sheet1!A:A,Sheet1!G:G)</f>
        <v>Canada</v>
      </c>
      <c r="F431" s="8" t="str">
        <f>_xlfn.XLOOKUP(A:A,Sheet1!A:A,Sheet1!H:H)</f>
        <v>English</v>
      </c>
      <c r="G431" s="8" t="str">
        <f>_xlfn.XLOOKUP(A:A,Sheet1!A:A,Sheet1!I:I)</f>
        <v>AI</v>
      </c>
      <c r="H431" s="8">
        <f>_xlfn.XLOOKUP(A:A,Sheet1!A:A,Sheet1!K:K)</f>
        <v>0</v>
      </c>
      <c r="I431" s="9">
        <f>_xlfn.XLOOKUP(A:A,Sheet1!A:A,Sheet1!M:M)</f>
        <v>40</v>
      </c>
      <c r="J431" s="10">
        <f>_xlfn.XLOOKUP(A:A,Sheet1!A:A,Sheet1!O:O)</f>
        <v>4.8</v>
      </c>
      <c r="K431" t="str">
        <f>_xlfn.XLOOKUP(A:A,Sheet1!A:A,Sheet1!P:P)</f>
        <v>No</v>
      </c>
      <c r="L431" s="12">
        <f>_xlfn.XLOOKUP(A:A,Sheet1!A:A,Sheet1!S:S)</f>
        <v>0.84</v>
      </c>
    </row>
    <row r="432" spans="1:12" x14ac:dyDescent="0.35">
      <c r="A432" s="8" t="s">
        <v>899</v>
      </c>
      <c r="B432" s="2" t="str">
        <f>_xlfn.XLOOKUP(A432,Sheet1!A:A,Sheet1!B:B)</f>
        <v>Christopher Mcclain</v>
      </c>
      <c r="C432" s="2" t="str">
        <f>_xlfn.XLOOKUP(A:A,Sheet1!A:A,Sheet1!D:D)</f>
        <v>Male</v>
      </c>
      <c r="D432" s="8">
        <f>_xlfn.XLOOKUP(A:A,Sheet1!A:A,Sheet1!F:F)</f>
        <v>44</v>
      </c>
      <c r="E432" s="2" t="str">
        <f>_xlfn.XLOOKUP(A:A,Sheet1!A:A,Sheet1!G:G)</f>
        <v>South Africa</v>
      </c>
      <c r="F432" s="8" t="str">
        <f>_xlfn.XLOOKUP(A:A,Sheet1!A:A,Sheet1!H:H)</f>
        <v>Afrikaans</v>
      </c>
      <c r="G432" s="8" t="str">
        <f>_xlfn.XLOOKUP(A:A,Sheet1!A:A,Sheet1!I:I)</f>
        <v>Web Development</v>
      </c>
      <c r="H432" s="8">
        <f>_xlfn.XLOOKUP(A:A,Sheet1!A:A,Sheet1!K:K)</f>
        <v>9</v>
      </c>
      <c r="I432" s="9">
        <f>_xlfn.XLOOKUP(A:A,Sheet1!A:A,Sheet1!M:M)</f>
        <v>40</v>
      </c>
      <c r="J432" s="10">
        <f>_xlfn.XLOOKUP(A:A,Sheet1!A:A,Sheet1!O:O)</f>
        <v>1.4</v>
      </c>
      <c r="K432" t="str">
        <f>_xlfn.XLOOKUP(A:A,Sheet1!A:A,Sheet1!P:P)</f>
        <v>No</v>
      </c>
      <c r="L432" s="12">
        <f>_xlfn.XLOOKUP(A:A,Sheet1!A:A,Sheet1!S:S)</f>
        <v>0.93</v>
      </c>
    </row>
    <row r="433" spans="1:12" x14ac:dyDescent="0.35">
      <c r="A433" s="8" t="s">
        <v>901</v>
      </c>
      <c r="B433" s="2" t="str">
        <f>_xlfn.XLOOKUP(A433,Sheet1!A:A,Sheet1!B:B)</f>
        <v xml:space="preserve"> Paul Williamson</v>
      </c>
      <c r="C433" s="2" t="str">
        <f>_xlfn.XLOOKUP(A:A,Sheet1!A:A,Sheet1!D:D)</f>
        <v>Male</v>
      </c>
      <c r="D433" s="8">
        <f>_xlfn.XLOOKUP(A:A,Sheet1!A:A,Sheet1!F:F)</f>
        <v>40</v>
      </c>
      <c r="E433" s="2" t="str">
        <f>_xlfn.XLOOKUP(A:A,Sheet1!A:A,Sheet1!G:G)</f>
        <v>India</v>
      </c>
      <c r="F433" s="8" t="str">
        <f>_xlfn.XLOOKUP(A:A,Sheet1!A:A,Sheet1!H:H)</f>
        <v>Hindi</v>
      </c>
      <c r="G433" s="8" t="str">
        <f>_xlfn.XLOOKUP(A:A,Sheet1!A:A,Sheet1!I:I)</f>
        <v>AI</v>
      </c>
      <c r="H433" s="8">
        <f>_xlfn.XLOOKUP(A:A,Sheet1!A:A,Sheet1!K:K)</f>
        <v>13</v>
      </c>
      <c r="I433" s="9">
        <f>_xlfn.XLOOKUP(A:A,Sheet1!A:A,Sheet1!M:M)</f>
        <v>100</v>
      </c>
      <c r="J433" s="10">
        <f>_xlfn.XLOOKUP(A:A,Sheet1!A:A,Sheet1!O:O)</f>
        <v>1.1000000000000001</v>
      </c>
      <c r="K433" t="str">
        <f>_xlfn.XLOOKUP(A:A,Sheet1!A:A,Sheet1!P:P)</f>
        <v>Yes</v>
      </c>
      <c r="L433" s="12">
        <f>_xlfn.XLOOKUP(A:A,Sheet1!A:A,Sheet1!S:S)</f>
        <v>0.79269417475728277</v>
      </c>
    </row>
    <row r="434" spans="1:12" x14ac:dyDescent="0.35">
      <c r="A434" s="8" t="s">
        <v>902</v>
      </c>
      <c r="B434" s="2" t="str">
        <f>_xlfn.XLOOKUP(A434,Sheet1!A:A,Sheet1!B:B)</f>
        <v>Barbara Brown</v>
      </c>
      <c r="C434" s="2" t="str">
        <f>_xlfn.XLOOKUP(A:A,Sheet1!A:A,Sheet1!D:D)</f>
        <v>Female</v>
      </c>
      <c r="D434" s="8">
        <f>_xlfn.XLOOKUP(A:A,Sheet1!A:A,Sheet1!F:F)</f>
        <v>53</v>
      </c>
      <c r="E434" s="2" t="str">
        <f>_xlfn.XLOOKUP(A:A,Sheet1!A:A,Sheet1!G:G)</f>
        <v>Netherlands</v>
      </c>
      <c r="F434" s="8" t="str">
        <f>_xlfn.XLOOKUP(A:A,Sheet1!A:A,Sheet1!H:H)</f>
        <v>Dutch</v>
      </c>
      <c r="G434" s="8" t="str">
        <f>_xlfn.XLOOKUP(A:A,Sheet1!A:A,Sheet1!I:I)</f>
        <v>Machine Learning</v>
      </c>
      <c r="H434" s="8">
        <f>_xlfn.XLOOKUP(A:A,Sheet1!A:A,Sheet1!K:K)</f>
        <v>13</v>
      </c>
      <c r="I434" s="9">
        <f>_xlfn.XLOOKUP(A:A,Sheet1!A:A,Sheet1!M:M)</f>
        <v>50</v>
      </c>
      <c r="J434" s="10">
        <f>_xlfn.XLOOKUP(A:A,Sheet1!A:A,Sheet1!O:O)</f>
        <v>3.3</v>
      </c>
      <c r="K434" t="str">
        <f>_xlfn.XLOOKUP(A:A,Sheet1!A:A,Sheet1!P:P)</f>
        <v>Yes</v>
      </c>
      <c r="L434" s="12">
        <f>_xlfn.XLOOKUP(A:A,Sheet1!A:A,Sheet1!S:S)</f>
        <v>0.93</v>
      </c>
    </row>
    <row r="435" spans="1:12" x14ac:dyDescent="0.35">
      <c r="A435" s="8" t="s">
        <v>904</v>
      </c>
      <c r="B435" s="2" t="str">
        <f>_xlfn.XLOOKUP(A435,Sheet1!A:A,Sheet1!B:B)</f>
        <v>Kimberly Allen</v>
      </c>
      <c r="C435" s="2" t="str">
        <f>_xlfn.XLOOKUP(A:A,Sheet1!A:A,Sheet1!D:D)</f>
        <v>Female</v>
      </c>
      <c r="D435" s="8">
        <f>_xlfn.XLOOKUP(A:A,Sheet1!A:A,Sheet1!F:F)</f>
        <v>35</v>
      </c>
      <c r="E435" s="2" t="str">
        <f>_xlfn.XLOOKUP(A:A,Sheet1!A:A,Sheet1!G:G)</f>
        <v>Germany</v>
      </c>
      <c r="F435" s="8" t="str">
        <f>_xlfn.XLOOKUP(A:A,Sheet1!A:A,Sheet1!H:H)</f>
        <v>German</v>
      </c>
      <c r="G435" s="8" t="str">
        <f>_xlfn.XLOOKUP(A:A,Sheet1!A:A,Sheet1!I:I)</f>
        <v>Blockchain Development</v>
      </c>
      <c r="H435" s="8">
        <f>_xlfn.XLOOKUP(A:A,Sheet1!A:A,Sheet1!K:K)</f>
        <v>0</v>
      </c>
      <c r="I435" s="9">
        <f>_xlfn.XLOOKUP(A:A,Sheet1!A:A,Sheet1!M:M)</f>
        <v>30</v>
      </c>
      <c r="J435" s="10">
        <f>_xlfn.XLOOKUP(A:A,Sheet1!A:A,Sheet1!O:O)</f>
        <v>4.5999999999999996</v>
      </c>
      <c r="K435" t="str">
        <f>_xlfn.XLOOKUP(A:A,Sheet1!A:A,Sheet1!P:P)</f>
        <v>No</v>
      </c>
      <c r="L435" s="12">
        <f>_xlfn.XLOOKUP(A:A,Sheet1!A:A,Sheet1!S:S)</f>
        <v>0.97</v>
      </c>
    </row>
    <row r="436" spans="1:12" x14ac:dyDescent="0.35">
      <c r="A436" s="8" t="s">
        <v>906</v>
      </c>
      <c r="B436" s="2" t="str">
        <f>_xlfn.XLOOKUP(A436,Sheet1!A:A,Sheet1!B:B)</f>
        <v>Elizabeth Edwards</v>
      </c>
      <c r="C436" s="2" t="str">
        <f>_xlfn.XLOOKUP(A:A,Sheet1!A:A,Sheet1!D:D)</f>
        <v>Female</v>
      </c>
      <c r="D436" s="8">
        <f>_xlfn.XLOOKUP(A:A,Sheet1!A:A,Sheet1!F:F)</f>
        <v>27</v>
      </c>
      <c r="E436" s="2" t="str">
        <f>_xlfn.XLOOKUP(A:A,Sheet1!A:A,Sheet1!G:G)</f>
        <v>Argentina</v>
      </c>
      <c r="F436" s="8" t="str">
        <f>_xlfn.XLOOKUP(A:A,Sheet1!A:A,Sheet1!H:H)</f>
        <v>Spanish</v>
      </c>
      <c r="G436" s="8" t="str">
        <f>_xlfn.XLOOKUP(A:A,Sheet1!A:A,Sheet1!I:I)</f>
        <v>Machine Learning</v>
      </c>
      <c r="H436" s="8">
        <f>_xlfn.XLOOKUP(A:A,Sheet1!A:A,Sheet1!K:K)</f>
        <v>7</v>
      </c>
      <c r="I436" s="9">
        <f>_xlfn.XLOOKUP(A:A,Sheet1!A:A,Sheet1!M:M)</f>
        <v>75</v>
      </c>
      <c r="J436" s="10">
        <f>_xlfn.XLOOKUP(A:A,Sheet1!A:A,Sheet1!O:O)</f>
        <v>2.8</v>
      </c>
      <c r="K436" t="str">
        <f>_xlfn.XLOOKUP(A:A,Sheet1!A:A,Sheet1!P:P)</f>
        <v>Yes</v>
      </c>
      <c r="L436" s="12">
        <f>_xlfn.XLOOKUP(A:A,Sheet1!A:A,Sheet1!S:S)</f>
        <v>0.92</v>
      </c>
    </row>
    <row r="437" spans="1:12" x14ac:dyDescent="0.35">
      <c r="A437" s="8" t="s">
        <v>908</v>
      </c>
      <c r="B437" s="2" t="str">
        <f>_xlfn.XLOOKUP(A437,Sheet1!A:A,Sheet1!B:B)</f>
        <v>Anthony Downs</v>
      </c>
      <c r="C437" s="2" t="str">
        <f>_xlfn.XLOOKUP(A:A,Sheet1!A:A,Sheet1!D:D)</f>
        <v>Male</v>
      </c>
      <c r="D437" s="8">
        <f>_xlfn.XLOOKUP(A:A,Sheet1!A:A,Sheet1!F:F)</f>
        <v>34</v>
      </c>
      <c r="E437" s="2" t="str">
        <f>_xlfn.XLOOKUP(A:A,Sheet1!A:A,Sheet1!G:G)</f>
        <v>Australia</v>
      </c>
      <c r="F437" s="8" t="str">
        <f>_xlfn.XLOOKUP(A:A,Sheet1!A:A,Sheet1!H:H)</f>
        <v>English</v>
      </c>
      <c r="G437" s="8" t="str">
        <f>_xlfn.XLOOKUP(A:A,Sheet1!A:A,Sheet1!I:I)</f>
        <v>DevOps</v>
      </c>
      <c r="H437" s="8">
        <f>_xlfn.XLOOKUP(A:A,Sheet1!A:A,Sheet1!K:K)</f>
        <v>6</v>
      </c>
      <c r="I437" s="9">
        <f>_xlfn.XLOOKUP(A:A,Sheet1!A:A,Sheet1!M:M)</f>
        <v>50</v>
      </c>
      <c r="J437" s="10">
        <f>_xlfn.XLOOKUP(A:A,Sheet1!A:A,Sheet1!O:O)</f>
        <v>5</v>
      </c>
      <c r="K437" t="str">
        <f>_xlfn.XLOOKUP(A:A,Sheet1!A:A,Sheet1!P:P)</f>
        <v>Yes</v>
      </c>
      <c r="L437" s="12">
        <f>_xlfn.XLOOKUP(A:A,Sheet1!A:A,Sheet1!S:S)</f>
        <v>0.92</v>
      </c>
    </row>
    <row r="438" spans="1:12" x14ac:dyDescent="0.35">
      <c r="A438" s="8" t="s">
        <v>910</v>
      </c>
      <c r="B438" s="2" t="str">
        <f>_xlfn.XLOOKUP(A438,Sheet1!A:A,Sheet1!B:B)</f>
        <v>Jack Ortega</v>
      </c>
      <c r="C438" s="2" t="str">
        <f>_xlfn.XLOOKUP(A:A,Sheet1!A:A,Sheet1!D:D)</f>
        <v>Male</v>
      </c>
      <c r="D438" s="8">
        <f>_xlfn.XLOOKUP(A:A,Sheet1!A:A,Sheet1!F:F)</f>
        <v>24</v>
      </c>
      <c r="E438" s="2" t="str">
        <f>_xlfn.XLOOKUP(A:A,Sheet1!A:A,Sheet1!G:G)</f>
        <v>India</v>
      </c>
      <c r="F438" s="8" t="str">
        <f>_xlfn.XLOOKUP(A:A,Sheet1!A:A,Sheet1!H:H)</f>
        <v>Hindi</v>
      </c>
      <c r="G438" s="8" t="str">
        <f>_xlfn.XLOOKUP(A:A,Sheet1!A:A,Sheet1!I:I)</f>
        <v>Cybersecurity</v>
      </c>
      <c r="H438" s="8">
        <f>_xlfn.XLOOKUP(A:A,Sheet1!A:A,Sheet1!K:K)</f>
        <v>2</v>
      </c>
      <c r="I438" s="9">
        <f>_xlfn.XLOOKUP(A:A,Sheet1!A:A,Sheet1!M:M)</f>
        <v>75</v>
      </c>
      <c r="J438" s="10">
        <f>_xlfn.XLOOKUP(A:A,Sheet1!A:A,Sheet1!O:O)</f>
        <v>4.7</v>
      </c>
      <c r="K438" t="str">
        <f>_xlfn.XLOOKUP(A:A,Sheet1!A:A,Sheet1!P:P)</f>
        <v>No</v>
      </c>
      <c r="L438" s="12">
        <f>_xlfn.XLOOKUP(A:A,Sheet1!A:A,Sheet1!S:S)</f>
        <v>0.68</v>
      </c>
    </row>
    <row r="439" spans="1:12" x14ac:dyDescent="0.35">
      <c r="A439" s="8" t="s">
        <v>912</v>
      </c>
      <c r="B439" s="2" t="str">
        <f>_xlfn.XLOOKUP(A439,Sheet1!A:A,Sheet1!B:B)</f>
        <v>Marvin Moore</v>
      </c>
      <c r="C439" s="2" t="str">
        <f>_xlfn.XLOOKUP(A:A,Sheet1!A:A,Sheet1!D:D)</f>
        <v>Male</v>
      </c>
      <c r="D439" s="8">
        <f>_xlfn.XLOOKUP(A:A,Sheet1!A:A,Sheet1!F:F)</f>
        <v>57</v>
      </c>
      <c r="E439" s="2" t="str">
        <f>_xlfn.XLOOKUP(A:A,Sheet1!A:A,Sheet1!G:G)</f>
        <v>United States</v>
      </c>
      <c r="F439" s="8" t="str">
        <f>_xlfn.XLOOKUP(A:A,Sheet1!A:A,Sheet1!H:H)</f>
        <v>English</v>
      </c>
      <c r="G439" s="8" t="str">
        <f>_xlfn.XLOOKUP(A:A,Sheet1!A:A,Sheet1!I:I)</f>
        <v>UI/UX Design</v>
      </c>
      <c r="H439" s="8">
        <f>_xlfn.XLOOKUP(A:A,Sheet1!A:A,Sheet1!K:K)</f>
        <v>13</v>
      </c>
      <c r="I439" s="9">
        <f>_xlfn.XLOOKUP(A:A,Sheet1!A:A,Sheet1!M:M)</f>
        <v>100</v>
      </c>
      <c r="J439" s="10">
        <f>_xlfn.XLOOKUP(A:A,Sheet1!A:A,Sheet1!O:O)</f>
        <v>3.5</v>
      </c>
      <c r="K439" t="str">
        <f>_xlfn.XLOOKUP(A:A,Sheet1!A:A,Sheet1!P:P)</f>
        <v>No</v>
      </c>
      <c r="L439" s="12">
        <f>_xlfn.XLOOKUP(A:A,Sheet1!A:A,Sheet1!S:S)</f>
        <v>0.95</v>
      </c>
    </row>
    <row r="440" spans="1:12" x14ac:dyDescent="0.35">
      <c r="A440" s="8" t="s">
        <v>914</v>
      </c>
      <c r="B440" s="2" t="str">
        <f>_xlfn.XLOOKUP(A440,Sheet1!A:A,Sheet1!B:B)</f>
        <v>Tony French</v>
      </c>
      <c r="C440" s="2" t="str">
        <f>_xlfn.XLOOKUP(A:A,Sheet1!A:A,Sheet1!D:D)</f>
        <v>Male</v>
      </c>
      <c r="D440" s="8">
        <f>_xlfn.XLOOKUP(A:A,Sheet1!A:A,Sheet1!F:F)</f>
        <v>28</v>
      </c>
      <c r="E440" s="2" t="str">
        <f>_xlfn.XLOOKUP(A:A,Sheet1!A:A,Sheet1!G:G)</f>
        <v>South Korea</v>
      </c>
      <c r="F440" s="8" t="str">
        <f>_xlfn.XLOOKUP(A:A,Sheet1!A:A,Sheet1!H:H)</f>
        <v>Korean</v>
      </c>
      <c r="G440" s="8" t="str">
        <f>_xlfn.XLOOKUP(A:A,Sheet1!A:A,Sheet1!I:I)</f>
        <v>UI/UX Design</v>
      </c>
      <c r="H440" s="8">
        <f>_xlfn.XLOOKUP(A:A,Sheet1!A:A,Sheet1!K:K)</f>
        <v>7</v>
      </c>
      <c r="I440" s="9">
        <f>_xlfn.XLOOKUP(A:A,Sheet1!A:A,Sheet1!M:M)</f>
        <v>100</v>
      </c>
      <c r="J440" s="10">
        <f>_xlfn.XLOOKUP(A:A,Sheet1!A:A,Sheet1!O:O)</f>
        <v>4.3</v>
      </c>
      <c r="K440" t="str">
        <f>_xlfn.XLOOKUP(A:A,Sheet1!A:A,Sheet1!P:P)</f>
        <v>No</v>
      </c>
      <c r="L440" s="12">
        <f>_xlfn.XLOOKUP(A:A,Sheet1!A:A,Sheet1!S:S)</f>
        <v>0.76</v>
      </c>
    </row>
    <row r="441" spans="1:12" x14ac:dyDescent="0.35">
      <c r="A441" s="8" t="s">
        <v>916</v>
      </c>
      <c r="B441" s="2" t="str">
        <f>_xlfn.XLOOKUP(A441,Sheet1!A:A,Sheet1!B:B)</f>
        <v>Stacy Hudson</v>
      </c>
      <c r="C441" s="2" t="str">
        <f>_xlfn.XLOOKUP(A:A,Sheet1!A:A,Sheet1!D:D)</f>
        <v>Female</v>
      </c>
      <c r="D441" s="8">
        <f>_xlfn.XLOOKUP(A:A,Sheet1!A:A,Sheet1!F:F)</f>
        <v>26</v>
      </c>
      <c r="E441" s="2" t="str">
        <f>_xlfn.XLOOKUP(A:A,Sheet1!A:A,Sheet1!G:G)</f>
        <v>Italy</v>
      </c>
      <c r="F441" s="8" t="str">
        <f>_xlfn.XLOOKUP(A:A,Sheet1!A:A,Sheet1!H:H)</f>
        <v>Italian</v>
      </c>
      <c r="G441" s="8" t="str">
        <f>_xlfn.XLOOKUP(A:A,Sheet1!A:A,Sheet1!I:I)</f>
        <v>DevOps</v>
      </c>
      <c r="H441" s="8">
        <f>_xlfn.XLOOKUP(A:A,Sheet1!A:A,Sheet1!K:K)</f>
        <v>7</v>
      </c>
      <c r="I441" s="9">
        <f>_xlfn.XLOOKUP(A:A,Sheet1!A:A,Sheet1!M:M)</f>
        <v>100</v>
      </c>
      <c r="J441" s="10">
        <f>_xlfn.XLOOKUP(A:A,Sheet1!A:A,Sheet1!O:O)</f>
        <v>3.3</v>
      </c>
      <c r="K441" t="str">
        <f>_xlfn.XLOOKUP(A:A,Sheet1!A:A,Sheet1!P:P)</f>
        <v>Yes</v>
      </c>
      <c r="L441" s="12">
        <f>_xlfn.XLOOKUP(A:A,Sheet1!A:A,Sheet1!S:S)</f>
        <v>0.66</v>
      </c>
    </row>
    <row r="442" spans="1:12" x14ac:dyDescent="0.35">
      <c r="A442" s="8" t="s">
        <v>918</v>
      </c>
      <c r="B442" s="2" t="str">
        <f>_xlfn.XLOOKUP(A442,Sheet1!A:A,Sheet1!B:B)</f>
        <v>Scott Washington</v>
      </c>
      <c r="C442" s="2" t="str">
        <f>_xlfn.XLOOKUP(A:A,Sheet1!A:A,Sheet1!D:D)</f>
        <v>Male</v>
      </c>
      <c r="D442" s="8">
        <f>_xlfn.XLOOKUP(A:A,Sheet1!A:A,Sheet1!F:F)</f>
        <v>34</v>
      </c>
      <c r="E442" s="2" t="str">
        <f>_xlfn.XLOOKUP(A:A,Sheet1!A:A,Sheet1!G:G)</f>
        <v>Argentina</v>
      </c>
      <c r="F442" s="8" t="str">
        <f>_xlfn.XLOOKUP(A:A,Sheet1!A:A,Sheet1!H:H)</f>
        <v>Spanish</v>
      </c>
      <c r="G442" s="8" t="str">
        <f>_xlfn.XLOOKUP(A:A,Sheet1!A:A,Sheet1!I:I)</f>
        <v>Mobile Apps</v>
      </c>
      <c r="H442" s="8">
        <f>_xlfn.XLOOKUP(A:A,Sheet1!A:A,Sheet1!K:K)</f>
        <v>15</v>
      </c>
      <c r="I442" s="9">
        <f>_xlfn.XLOOKUP(A:A,Sheet1!A:A,Sheet1!M:M)</f>
        <v>75</v>
      </c>
      <c r="J442" s="10">
        <f>_xlfn.XLOOKUP(A:A,Sheet1!A:A,Sheet1!O:O)</f>
        <v>2.5125695216907653</v>
      </c>
      <c r="K442" t="str">
        <f>_xlfn.XLOOKUP(A:A,Sheet1!A:A,Sheet1!P:P)</f>
        <v>No</v>
      </c>
      <c r="L442" s="12">
        <f>_xlfn.XLOOKUP(A:A,Sheet1!A:A,Sheet1!S:S)</f>
        <v>0.73</v>
      </c>
    </row>
    <row r="443" spans="1:12" x14ac:dyDescent="0.35">
      <c r="A443" s="8" t="s">
        <v>920</v>
      </c>
      <c r="B443" s="2" t="str">
        <f>_xlfn.XLOOKUP(A443,Sheet1!A:A,Sheet1!B:B)</f>
        <v>Timothy Wright</v>
      </c>
      <c r="C443" s="2" t="str">
        <f>_xlfn.XLOOKUP(A:A,Sheet1!A:A,Sheet1!D:D)</f>
        <v>Male</v>
      </c>
      <c r="D443" s="8">
        <f>_xlfn.XLOOKUP(A:A,Sheet1!A:A,Sheet1!F:F)</f>
        <v>43</v>
      </c>
      <c r="E443" s="2" t="str">
        <f>_xlfn.XLOOKUP(A:A,Sheet1!A:A,Sheet1!G:G)</f>
        <v>Japan</v>
      </c>
      <c r="F443" s="8" t="str">
        <f>_xlfn.XLOOKUP(A:A,Sheet1!A:A,Sheet1!H:H)</f>
        <v>Japanese</v>
      </c>
      <c r="G443" s="8" t="str">
        <f>_xlfn.XLOOKUP(A:A,Sheet1!A:A,Sheet1!I:I)</f>
        <v>AI</v>
      </c>
      <c r="H443" s="8">
        <f>_xlfn.XLOOKUP(A:A,Sheet1!A:A,Sheet1!K:K)</f>
        <v>9</v>
      </c>
      <c r="I443" s="9">
        <f>_xlfn.XLOOKUP(A:A,Sheet1!A:A,Sheet1!M:M)</f>
        <v>20</v>
      </c>
      <c r="J443" s="10">
        <f>_xlfn.XLOOKUP(A:A,Sheet1!A:A,Sheet1!O:O)</f>
        <v>2.8</v>
      </c>
      <c r="K443" t="str">
        <f>_xlfn.XLOOKUP(A:A,Sheet1!A:A,Sheet1!P:P)</f>
        <v>No</v>
      </c>
      <c r="L443" s="12">
        <f>_xlfn.XLOOKUP(A:A,Sheet1!A:A,Sheet1!S:S)</f>
        <v>0.99</v>
      </c>
    </row>
    <row r="444" spans="1:12" x14ac:dyDescent="0.35">
      <c r="A444" s="8" t="s">
        <v>922</v>
      </c>
      <c r="B444" s="2" t="str">
        <f>_xlfn.XLOOKUP(A444,Sheet1!A:A,Sheet1!B:B)</f>
        <v>Joseph Gonzalez</v>
      </c>
      <c r="C444" s="2" t="str">
        <f>_xlfn.XLOOKUP(A:A,Sheet1!A:A,Sheet1!D:D)</f>
        <v>Male</v>
      </c>
      <c r="D444" s="8">
        <f>_xlfn.XLOOKUP(A:A,Sheet1!A:A,Sheet1!F:F)</f>
        <v>31</v>
      </c>
      <c r="E444" s="2" t="str">
        <f>_xlfn.XLOOKUP(A:A,Sheet1!A:A,Sheet1!G:G)</f>
        <v>China</v>
      </c>
      <c r="F444" s="8" t="str">
        <f>_xlfn.XLOOKUP(A:A,Sheet1!A:A,Sheet1!H:H)</f>
        <v>Mandarin</v>
      </c>
      <c r="G444" s="8" t="str">
        <f>_xlfn.XLOOKUP(A:A,Sheet1!A:A,Sheet1!I:I)</f>
        <v>Graphic Design</v>
      </c>
      <c r="H444" s="8">
        <f>_xlfn.XLOOKUP(A:A,Sheet1!A:A,Sheet1!K:K)</f>
        <v>5</v>
      </c>
      <c r="I444" s="9">
        <f>_xlfn.XLOOKUP(A:A,Sheet1!A:A,Sheet1!M:M)</f>
        <v>40</v>
      </c>
      <c r="J444" s="10">
        <f>_xlfn.XLOOKUP(A:A,Sheet1!A:A,Sheet1!O:O)</f>
        <v>2.7</v>
      </c>
      <c r="K444" t="str">
        <f>_xlfn.XLOOKUP(A:A,Sheet1!A:A,Sheet1!P:P)</f>
        <v>Yes</v>
      </c>
      <c r="L444" s="12">
        <f>_xlfn.XLOOKUP(A:A,Sheet1!A:A,Sheet1!S:S)</f>
        <v>0.94</v>
      </c>
    </row>
    <row r="445" spans="1:12" x14ac:dyDescent="0.35">
      <c r="A445" s="8" t="s">
        <v>924</v>
      </c>
      <c r="B445" s="2" t="str">
        <f>_xlfn.XLOOKUP(A445,Sheet1!A:A,Sheet1!B:B)</f>
        <v>Andrea Perez</v>
      </c>
      <c r="C445" s="2" t="str">
        <f>_xlfn.XLOOKUP(A:A,Sheet1!A:A,Sheet1!D:D)</f>
        <v>Female</v>
      </c>
      <c r="D445" s="8">
        <f>_xlfn.XLOOKUP(A:A,Sheet1!A:A,Sheet1!F:F)</f>
        <v>34</v>
      </c>
      <c r="E445" s="2" t="str">
        <f>_xlfn.XLOOKUP(A:A,Sheet1!A:A,Sheet1!G:G)</f>
        <v>China</v>
      </c>
      <c r="F445" s="8" t="str">
        <f>_xlfn.XLOOKUP(A:A,Sheet1!A:A,Sheet1!H:H)</f>
        <v>Mandarin</v>
      </c>
      <c r="G445" s="8" t="str">
        <f>_xlfn.XLOOKUP(A:A,Sheet1!A:A,Sheet1!I:I)</f>
        <v>Blockchain Development</v>
      </c>
      <c r="H445" s="8">
        <f>_xlfn.XLOOKUP(A:A,Sheet1!A:A,Sheet1!K:K)</f>
        <v>9</v>
      </c>
      <c r="I445" s="9">
        <f>_xlfn.XLOOKUP(A:A,Sheet1!A:A,Sheet1!M:M)</f>
        <v>50</v>
      </c>
      <c r="J445" s="11">
        <v>0</v>
      </c>
      <c r="K445" t="str">
        <f>_xlfn.XLOOKUP(A:A,Sheet1!A:A,Sheet1!P:P)</f>
        <v>No</v>
      </c>
      <c r="L445" s="12">
        <f>_xlfn.XLOOKUP(A:A,Sheet1!A:A,Sheet1!S:S)</f>
        <v>0.84</v>
      </c>
    </row>
    <row r="446" spans="1:12" x14ac:dyDescent="0.35">
      <c r="A446" s="8" t="s">
        <v>926</v>
      </c>
      <c r="B446" s="2" t="str">
        <f>_xlfn.XLOOKUP(A446,Sheet1!A:A,Sheet1!B:B)</f>
        <v>Angel Collins</v>
      </c>
      <c r="C446" s="2" t="str">
        <f>_xlfn.XLOOKUP(A:A,Sheet1!A:A,Sheet1!D:D)</f>
        <v>Female</v>
      </c>
      <c r="D446" s="8">
        <f>_xlfn.XLOOKUP(A:A,Sheet1!A:A,Sheet1!F:F)</f>
        <v>32</v>
      </c>
      <c r="E446" s="2" t="str">
        <f>_xlfn.XLOOKUP(A:A,Sheet1!A:A,Sheet1!G:G)</f>
        <v>Russia</v>
      </c>
      <c r="F446" s="8" t="str">
        <f>_xlfn.XLOOKUP(A:A,Sheet1!A:A,Sheet1!H:H)</f>
        <v>Russian</v>
      </c>
      <c r="G446" s="8" t="str">
        <f>_xlfn.XLOOKUP(A:A,Sheet1!A:A,Sheet1!I:I)</f>
        <v>Cybersecurity</v>
      </c>
      <c r="H446" s="8">
        <f>_xlfn.XLOOKUP(A:A,Sheet1!A:A,Sheet1!K:K)</f>
        <v>10</v>
      </c>
      <c r="I446" s="9">
        <f>_xlfn.XLOOKUP(A:A,Sheet1!A:A,Sheet1!M:M)</f>
        <v>20</v>
      </c>
      <c r="J446" s="10">
        <f>_xlfn.XLOOKUP(A:A,Sheet1!A:A,Sheet1!O:O)</f>
        <v>2.5125695216907653</v>
      </c>
      <c r="K446" t="str">
        <f>_xlfn.XLOOKUP(A:A,Sheet1!A:A,Sheet1!P:P)</f>
        <v>Yes</v>
      </c>
      <c r="L446" s="12">
        <f>_xlfn.XLOOKUP(A:A,Sheet1!A:A,Sheet1!S:S)</f>
        <v>0.92</v>
      </c>
    </row>
    <row r="447" spans="1:12" x14ac:dyDescent="0.35">
      <c r="A447" s="8" t="s">
        <v>928</v>
      </c>
      <c r="B447" s="2" t="str">
        <f>_xlfn.XLOOKUP(A447,Sheet1!A:A,Sheet1!B:B)</f>
        <v>Daniel Terry</v>
      </c>
      <c r="C447" s="2" t="str">
        <f>_xlfn.XLOOKUP(A:A,Sheet1!A:A,Sheet1!D:D)</f>
        <v>Male</v>
      </c>
      <c r="D447" s="8">
        <f>_xlfn.XLOOKUP(A:A,Sheet1!A:A,Sheet1!F:F)</f>
        <v>24</v>
      </c>
      <c r="E447" s="2" t="str">
        <f>_xlfn.XLOOKUP(A:A,Sheet1!A:A,Sheet1!G:G)</f>
        <v>Egypt</v>
      </c>
      <c r="F447" s="8" t="str">
        <f>_xlfn.XLOOKUP(A:A,Sheet1!A:A,Sheet1!H:H)</f>
        <v>Arabic</v>
      </c>
      <c r="G447" s="8" t="str">
        <f>_xlfn.XLOOKUP(A:A,Sheet1!A:A,Sheet1!I:I)</f>
        <v>DevOps</v>
      </c>
      <c r="H447" s="8">
        <f>_xlfn.XLOOKUP(A:A,Sheet1!A:A,Sheet1!K:K)</f>
        <v>6</v>
      </c>
      <c r="I447" s="9">
        <f>_xlfn.XLOOKUP(A:A,Sheet1!A:A,Sheet1!M:M)</f>
        <v>75</v>
      </c>
      <c r="J447" s="10">
        <f>_xlfn.XLOOKUP(A:A,Sheet1!A:A,Sheet1!O:O)</f>
        <v>4.3</v>
      </c>
      <c r="K447" t="str">
        <f>_xlfn.XLOOKUP(A:A,Sheet1!A:A,Sheet1!P:P)</f>
        <v>Yes</v>
      </c>
      <c r="L447" s="12">
        <f>_xlfn.XLOOKUP(A:A,Sheet1!A:A,Sheet1!S:S)</f>
        <v>0.79269417475728277</v>
      </c>
    </row>
    <row r="448" spans="1:12" x14ac:dyDescent="0.35">
      <c r="A448" s="8" t="s">
        <v>930</v>
      </c>
      <c r="B448" s="2" t="str">
        <f>_xlfn.XLOOKUP(A448,Sheet1!A:A,Sheet1!B:B)</f>
        <v>Steven Whitaker</v>
      </c>
      <c r="C448" s="2" t="str">
        <f>_xlfn.XLOOKUP(A:A,Sheet1!A:A,Sheet1!D:D)</f>
        <v>Male</v>
      </c>
      <c r="D448" s="8">
        <f>_xlfn.XLOOKUP(A:A,Sheet1!A:A,Sheet1!F:F)</f>
        <v>35</v>
      </c>
      <c r="E448" s="2" t="str">
        <f>_xlfn.XLOOKUP(A:A,Sheet1!A:A,Sheet1!G:G)</f>
        <v>United Kingdom</v>
      </c>
      <c r="F448" s="8" t="str">
        <f>_xlfn.XLOOKUP(A:A,Sheet1!A:A,Sheet1!H:H)</f>
        <v>English</v>
      </c>
      <c r="G448" s="8" t="str">
        <f>_xlfn.XLOOKUP(A:A,Sheet1!A:A,Sheet1!I:I)</f>
        <v>AI</v>
      </c>
      <c r="H448" s="8">
        <f>_xlfn.XLOOKUP(A:A,Sheet1!A:A,Sheet1!K:K)</f>
        <v>8</v>
      </c>
      <c r="I448" s="9">
        <f>_xlfn.XLOOKUP(A:A,Sheet1!A:A,Sheet1!M:M)</f>
        <v>50</v>
      </c>
      <c r="J448" s="10">
        <f>_xlfn.XLOOKUP(A:A,Sheet1!A:A,Sheet1!O:O)</f>
        <v>2.5125695216907653</v>
      </c>
      <c r="K448" t="str">
        <f>_xlfn.XLOOKUP(A:A,Sheet1!A:A,Sheet1!P:P)</f>
        <v>No</v>
      </c>
      <c r="L448" s="12">
        <f>_xlfn.XLOOKUP(A:A,Sheet1!A:A,Sheet1!S:S)</f>
        <v>0.9</v>
      </c>
    </row>
    <row r="449" spans="1:12" x14ac:dyDescent="0.35">
      <c r="A449" s="8" t="s">
        <v>932</v>
      </c>
      <c r="B449" s="2" t="str">
        <f>_xlfn.XLOOKUP(A449,Sheet1!A:A,Sheet1!B:B)</f>
        <v>Denise Neal</v>
      </c>
      <c r="C449" s="2" t="str">
        <f>_xlfn.XLOOKUP(A:A,Sheet1!A:A,Sheet1!D:D)</f>
        <v>Female</v>
      </c>
      <c r="D449" s="8">
        <f>_xlfn.XLOOKUP(A:A,Sheet1!A:A,Sheet1!F:F)</f>
        <v>22</v>
      </c>
      <c r="E449" s="2" t="str">
        <f>_xlfn.XLOOKUP(A:A,Sheet1!A:A,Sheet1!G:G)</f>
        <v>Australia</v>
      </c>
      <c r="F449" s="8" t="str">
        <f>_xlfn.XLOOKUP(A:A,Sheet1!A:A,Sheet1!H:H)</f>
        <v>English</v>
      </c>
      <c r="G449" s="8" t="str">
        <f>_xlfn.XLOOKUP(A:A,Sheet1!A:A,Sheet1!I:I)</f>
        <v>Mobile Apps</v>
      </c>
      <c r="H449" s="8">
        <f>_xlfn.XLOOKUP(A:A,Sheet1!A:A,Sheet1!K:K)</f>
        <v>4</v>
      </c>
      <c r="I449" s="9">
        <f>_xlfn.XLOOKUP(A:A,Sheet1!A:A,Sheet1!M:M)</f>
        <v>20</v>
      </c>
      <c r="J449" s="10">
        <f>_xlfn.XLOOKUP(A:A,Sheet1!A:A,Sheet1!O:O)</f>
        <v>2.5125695216907653</v>
      </c>
      <c r="K449" t="str">
        <f>_xlfn.XLOOKUP(A:A,Sheet1!A:A,Sheet1!P:P)</f>
        <v>No</v>
      </c>
      <c r="L449" s="12">
        <f>_xlfn.XLOOKUP(A:A,Sheet1!A:A,Sheet1!S:S)</f>
        <v>0.73</v>
      </c>
    </row>
    <row r="450" spans="1:12" x14ac:dyDescent="0.35">
      <c r="A450" s="8" t="s">
        <v>934</v>
      </c>
      <c r="B450" s="2" t="str">
        <f>_xlfn.XLOOKUP(A450,Sheet1!A:A,Sheet1!B:B)</f>
        <v>Amanda Jacobs</v>
      </c>
      <c r="C450" s="2" t="str">
        <f>_xlfn.XLOOKUP(A:A,Sheet1!A:A,Sheet1!D:D)</f>
        <v>Female</v>
      </c>
      <c r="D450" s="8">
        <f>_xlfn.XLOOKUP(A:A,Sheet1!A:A,Sheet1!F:F)</f>
        <v>55</v>
      </c>
      <c r="E450" s="2" t="str">
        <f>_xlfn.XLOOKUP(A:A,Sheet1!A:A,Sheet1!G:G)</f>
        <v>Egypt</v>
      </c>
      <c r="F450" s="8" t="str">
        <f>_xlfn.XLOOKUP(A:A,Sheet1!A:A,Sheet1!H:H)</f>
        <v>Arabic</v>
      </c>
      <c r="G450" s="8" t="str">
        <f>_xlfn.XLOOKUP(A:A,Sheet1!A:A,Sheet1!I:I)</f>
        <v>AI</v>
      </c>
      <c r="H450" s="8">
        <f>_xlfn.XLOOKUP(A:A,Sheet1!A:A,Sheet1!K:K)</f>
        <v>3</v>
      </c>
      <c r="I450" s="9">
        <f>_xlfn.XLOOKUP(A:A,Sheet1!A:A,Sheet1!M:M)</f>
        <v>100</v>
      </c>
      <c r="J450" s="10">
        <f>_xlfn.XLOOKUP(A:A,Sheet1!A:A,Sheet1!O:O)</f>
        <v>2.5125695216907653</v>
      </c>
      <c r="K450" t="str">
        <f>_xlfn.XLOOKUP(A:A,Sheet1!A:A,Sheet1!P:P)</f>
        <v>Yes</v>
      </c>
      <c r="L450" s="12">
        <f>_xlfn.XLOOKUP(A:A,Sheet1!A:A,Sheet1!S:S)</f>
        <v>0.73</v>
      </c>
    </row>
    <row r="451" spans="1:12" x14ac:dyDescent="0.35">
      <c r="A451" s="8" t="s">
        <v>936</v>
      </c>
      <c r="B451" s="2" t="str">
        <f>_xlfn.XLOOKUP(A451,Sheet1!A:A,Sheet1!B:B)</f>
        <v>Karen Mercer</v>
      </c>
      <c r="C451" s="2" t="str">
        <f>_xlfn.XLOOKUP(A:A,Sheet1!A:A,Sheet1!D:D)</f>
        <v>Female</v>
      </c>
      <c r="D451" s="8">
        <f>_xlfn.XLOOKUP(A:A,Sheet1!A:A,Sheet1!F:F)</f>
        <v>54</v>
      </c>
      <c r="E451" s="2" t="str">
        <f>_xlfn.XLOOKUP(A:A,Sheet1!A:A,Sheet1!G:G)</f>
        <v>Argentina</v>
      </c>
      <c r="F451" s="8" t="str">
        <f>_xlfn.XLOOKUP(A:A,Sheet1!A:A,Sheet1!H:H)</f>
        <v>Spanish</v>
      </c>
      <c r="G451" s="8" t="str">
        <f>_xlfn.XLOOKUP(A:A,Sheet1!A:A,Sheet1!I:I)</f>
        <v>Machine Learning</v>
      </c>
      <c r="H451" s="8">
        <f>_xlfn.XLOOKUP(A:A,Sheet1!A:A,Sheet1!K:K)</f>
        <v>9</v>
      </c>
      <c r="I451" s="9">
        <f>_xlfn.XLOOKUP(A:A,Sheet1!A:A,Sheet1!M:M)</f>
        <v>30</v>
      </c>
      <c r="J451" s="10">
        <f>_xlfn.XLOOKUP(A:A,Sheet1!A:A,Sheet1!O:O)</f>
        <v>2.9</v>
      </c>
      <c r="K451" t="str">
        <f>_xlfn.XLOOKUP(A:A,Sheet1!A:A,Sheet1!P:P)</f>
        <v>Yes</v>
      </c>
      <c r="L451" s="12">
        <f>_xlfn.XLOOKUP(A:A,Sheet1!A:A,Sheet1!S:S)</f>
        <v>0.78</v>
      </c>
    </row>
    <row r="452" spans="1:12" x14ac:dyDescent="0.35">
      <c r="A452" s="8" t="s">
        <v>938</v>
      </c>
      <c r="B452" s="2" t="str">
        <f>_xlfn.XLOOKUP(A452,Sheet1!A:A,Sheet1!B:B)</f>
        <v>Lindsay Hudson</v>
      </c>
      <c r="C452" s="2" t="str">
        <f>_xlfn.XLOOKUP(A:A,Sheet1!A:A,Sheet1!D:D)</f>
        <v>Female</v>
      </c>
      <c r="D452" s="8">
        <f>_xlfn.XLOOKUP(A:A,Sheet1!A:A,Sheet1!F:F)</f>
        <v>36</v>
      </c>
      <c r="E452" s="2" t="str">
        <f>_xlfn.XLOOKUP(A:A,Sheet1!A:A,Sheet1!G:G)</f>
        <v>Netherlands</v>
      </c>
      <c r="F452" s="8" t="str">
        <f>_xlfn.XLOOKUP(A:A,Sheet1!A:A,Sheet1!H:H)</f>
        <v>Dutch</v>
      </c>
      <c r="G452" s="8" t="str">
        <f>_xlfn.XLOOKUP(A:A,Sheet1!A:A,Sheet1!I:I)</f>
        <v>Cybersecurity</v>
      </c>
      <c r="H452" s="8">
        <f>_xlfn.XLOOKUP(A:A,Sheet1!A:A,Sheet1!K:K)</f>
        <v>11</v>
      </c>
      <c r="I452" s="9">
        <f>_xlfn.XLOOKUP(A:A,Sheet1!A:A,Sheet1!M:M)</f>
        <v>30</v>
      </c>
      <c r="J452" s="11">
        <v>0</v>
      </c>
      <c r="K452" t="str">
        <f>_xlfn.XLOOKUP(A:A,Sheet1!A:A,Sheet1!P:P)</f>
        <v>Yes</v>
      </c>
      <c r="L452" s="12">
        <f>_xlfn.XLOOKUP(A:A,Sheet1!A:A,Sheet1!S:S)</f>
        <v>0.63</v>
      </c>
    </row>
    <row r="453" spans="1:12" x14ac:dyDescent="0.35">
      <c r="A453" s="8" t="s">
        <v>940</v>
      </c>
      <c r="B453" s="2" t="str">
        <f>_xlfn.XLOOKUP(A453,Sheet1!A:A,Sheet1!B:B)</f>
        <v>Stephanie Armstrong</v>
      </c>
      <c r="C453" s="2" t="str">
        <f>_xlfn.XLOOKUP(A:A,Sheet1!A:A,Sheet1!D:D)</f>
        <v>Female</v>
      </c>
      <c r="D453" s="8">
        <f>_xlfn.XLOOKUP(A:A,Sheet1!A:A,Sheet1!F:F)</f>
        <v>36</v>
      </c>
      <c r="E453" s="2" t="str">
        <f>_xlfn.XLOOKUP(A:A,Sheet1!A:A,Sheet1!G:G)</f>
        <v>Netherlands</v>
      </c>
      <c r="F453" s="8" t="str">
        <f>_xlfn.XLOOKUP(A:A,Sheet1!A:A,Sheet1!H:H)</f>
        <v>Dutch</v>
      </c>
      <c r="G453" s="8" t="str">
        <f>_xlfn.XLOOKUP(A:A,Sheet1!A:A,Sheet1!I:I)</f>
        <v>AI</v>
      </c>
      <c r="H453" s="8">
        <f>_xlfn.XLOOKUP(A:A,Sheet1!A:A,Sheet1!K:K)</f>
        <v>17</v>
      </c>
      <c r="I453" s="9">
        <f>_xlfn.XLOOKUP(A:A,Sheet1!A:A,Sheet1!M:M)</f>
        <v>50</v>
      </c>
      <c r="J453" s="10">
        <f>_xlfn.XLOOKUP(A:A,Sheet1!A:A,Sheet1!O:O)</f>
        <v>1.3</v>
      </c>
      <c r="K453" t="str">
        <f>_xlfn.XLOOKUP(A:A,Sheet1!A:A,Sheet1!P:P)</f>
        <v>No</v>
      </c>
      <c r="L453" s="12">
        <f>_xlfn.XLOOKUP(A:A,Sheet1!A:A,Sheet1!S:S)</f>
        <v>0.64</v>
      </c>
    </row>
    <row r="454" spans="1:12" x14ac:dyDescent="0.35">
      <c r="A454" s="8" t="s">
        <v>942</v>
      </c>
      <c r="B454" s="2" t="str">
        <f>_xlfn.XLOOKUP(A454,Sheet1!A:A,Sheet1!B:B)</f>
        <v xml:space="preserve"> Jessica Campbell</v>
      </c>
      <c r="C454" s="2" t="str">
        <f>_xlfn.XLOOKUP(A:A,Sheet1!A:A,Sheet1!D:D)</f>
        <v>Female</v>
      </c>
      <c r="D454" s="8">
        <f>_xlfn.XLOOKUP(A:A,Sheet1!A:A,Sheet1!F:F)</f>
        <v>25</v>
      </c>
      <c r="E454" s="2" t="str">
        <f>_xlfn.XLOOKUP(A:A,Sheet1!A:A,Sheet1!G:G)</f>
        <v>Argentina</v>
      </c>
      <c r="F454" s="8" t="str">
        <f>_xlfn.XLOOKUP(A:A,Sheet1!A:A,Sheet1!H:H)</f>
        <v>Spanish</v>
      </c>
      <c r="G454" s="8" t="str">
        <f>_xlfn.XLOOKUP(A:A,Sheet1!A:A,Sheet1!I:I)</f>
        <v>Web Development</v>
      </c>
      <c r="H454" s="8">
        <f>_xlfn.XLOOKUP(A:A,Sheet1!A:A,Sheet1!K:K)</f>
        <v>1</v>
      </c>
      <c r="I454" s="9">
        <f>_xlfn.XLOOKUP(A:A,Sheet1!A:A,Sheet1!M:M)</f>
        <v>75</v>
      </c>
      <c r="J454" s="11">
        <v>0</v>
      </c>
      <c r="K454" t="str">
        <f>_xlfn.XLOOKUP(A:A,Sheet1!A:A,Sheet1!P:P)</f>
        <v>Yes</v>
      </c>
      <c r="L454" s="12">
        <f>_xlfn.XLOOKUP(A:A,Sheet1!A:A,Sheet1!S:S)</f>
        <v>0.79269417475728277</v>
      </c>
    </row>
    <row r="455" spans="1:12" x14ac:dyDescent="0.35">
      <c r="A455" s="8" t="s">
        <v>943</v>
      </c>
      <c r="B455" s="2" t="str">
        <f>_xlfn.XLOOKUP(A455,Sheet1!A:A,Sheet1!B:B)</f>
        <v>Curtis Maxwell</v>
      </c>
      <c r="C455" s="2" t="str">
        <f>_xlfn.XLOOKUP(A:A,Sheet1!A:A,Sheet1!D:D)</f>
        <v>Male</v>
      </c>
      <c r="D455" s="8">
        <f>_xlfn.XLOOKUP(A:A,Sheet1!A:A,Sheet1!F:F)</f>
        <v>46</v>
      </c>
      <c r="E455" s="2" t="str">
        <f>_xlfn.XLOOKUP(A:A,Sheet1!A:A,Sheet1!G:G)</f>
        <v>Indonesia</v>
      </c>
      <c r="F455" s="8" t="str">
        <f>_xlfn.XLOOKUP(A:A,Sheet1!A:A,Sheet1!H:H)</f>
        <v>Indonesian</v>
      </c>
      <c r="G455" s="8" t="str">
        <f>_xlfn.XLOOKUP(A:A,Sheet1!A:A,Sheet1!I:I)</f>
        <v>AI</v>
      </c>
      <c r="H455" s="8">
        <f>_xlfn.XLOOKUP(A:A,Sheet1!A:A,Sheet1!K:K)</f>
        <v>16</v>
      </c>
      <c r="I455" s="9">
        <f>_xlfn.XLOOKUP(A:A,Sheet1!A:A,Sheet1!M:M)</f>
        <v>20</v>
      </c>
      <c r="J455" s="10">
        <f>_xlfn.XLOOKUP(A:A,Sheet1!A:A,Sheet1!O:O)</f>
        <v>4.8</v>
      </c>
      <c r="K455" t="str">
        <f>_xlfn.XLOOKUP(A:A,Sheet1!A:A,Sheet1!P:P)</f>
        <v>Yes</v>
      </c>
      <c r="L455" s="12">
        <f>_xlfn.XLOOKUP(A:A,Sheet1!A:A,Sheet1!S:S)</f>
        <v>0.86</v>
      </c>
    </row>
    <row r="456" spans="1:12" x14ac:dyDescent="0.35">
      <c r="A456" s="8" t="s">
        <v>945</v>
      </c>
      <c r="B456" s="2" t="str">
        <f>_xlfn.XLOOKUP(A456,Sheet1!A:A,Sheet1!B:B)</f>
        <v xml:space="preserve">Adam Kelly </v>
      </c>
      <c r="C456" s="2" t="str">
        <f>_xlfn.XLOOKUP(A:A,Sheet1!A:A,Sheet1!D:D)</f>
        <v>Male</v>
      </c>
      <c r="D456" s="8">
        <f>_xlfn.XLOOKUP(A:A,Sheet1!A:A,Sheet1!F:F)</f>
        <v>41</v>
      </c>
      <c r="E456" s="2" t="str">
        <f>_xlfn.XLOOKUP(A:A,Sheet1!A:A,Sheet1!G:G)</f>
        <v>Argentina</v>
      </c>
      <c r="F456" s="8" t="str">
        <f>_xlfn.XLOOKUP(A:A,Sheet1!A:A,Sheet1!H:H)</f>
        <v>Spanish</v>
      </c>
      <c r="G456" s="8" t="str">
        <f>_xlfn.XLOOKUP(A:A,Sheet1!A:A,Sheet1!I:I)</f>
        <v>Machine Learning</v>
      </c>
      <c r="H456" s="8">
        <f>_xlfn.XLOOKUP(A:A,Sheet1!A:A,Sheet1!K:K)</f>
        <v>11</v>
      </c>
      <c r="I456" s="9">
        <f>_xlfn.XLOOKUP(A:A,Sheet1!A:A,Sheet1!M:M)</f>
        <v>40</v>
      </c>
      <c r="J456" s="10">
        <f>_xlfn.XLOOKUP(A:A,Sheet1!A:A,Sheet1!O:O)</f>
        <v>2.4</v>
      </c>
      <c r="K456" t="str">
        <f>_xlfn.XLOOKUP(A:A,Sheet1!A:A,Sheet1!P:P)</f>
        <v>No</v>
      </c>
      <c r="L456" s="12">
        <f>_xlfn.XLOOKUP(A:A,Sheet1!A:A,Sheet1!S:S)</f>
        <v>0.79269417475728277</v>
      </c>
    </row>
    <row r="457" spans="1:12" x14ac:dyDescent="0.35">
      <c r="A457" s="8" t="s">
        <v>946</v>
      </c>
      <c r="B457" s="2" t="str">
        <f>_xlfn.XLOOKUP(A457,Sheet1!A:A,Sheet1!B:B)</f>
        <v>Julie Becker</v>
      </c>
      <c r="C457" s="2" t="str">
        <f>_xlfn.XLOOKUP(A:A,Sheet1!A:A,Sheet1!D:D)</f>
        <v>Female</v>
      </c>
      <c r="D457" s="8">
        <f>_xlfn.XLOOKUP(A:A,Sheet1!A:A,Sheet1!F:F)</f>
        <v>21</v>
      </c>
      <c r="E457" s="2" t="str">
        <f>_xlfn.XLOOKUP(A:A,Sheet1!A:A,Sheet1!G:G)</f>
        <v>Russia</v>
      </c>
      <c r="F457" s="8" t="str">
        <f>_xlfn.XLOOKUP(A:A,Sheet1!A:A,Sheet1!H:H)</f>
        <v>Russian</v>
      </c>
      <c r="G457" s="8" t="str">
        <f>_xlfn.XLOOKUP(A:A,Sheet1!A:A,Sheet1!I:I)</f>
        <v>Mobile Apps</v>
      </c>
      <c r="H457" s="8">
        <f>_xlfn.XLOOKUP(A:A,Sheet1!A:A,Sheet1!K:K)</f>
        <v>3</v>
      </c>
      <c r="I457" s="9">
        <f>_xlfn.XLOOKUP(A:A,Sheet1!A:A,Sheet1!M:M)</f>
        <v>100</v>
      </c>
      <c r="J457" s="10">
        <f>_xlfn.XLOOKUP(A:A,Sheet1!A:A,Sheet1!O:O)</f>
        <v>4.7</v>
      </c>
      <c r="K457" t="str">
        <f>_xlfn.XLOOKUP(A:A,Sheet1!A:A,Sheet1!P:P)</f>
        <v>No</v>
      </c>
      <c r="L457" s="12">
        <f>_xlfn.XLOOKUP(A:A,Sheet1!A:A,Sheet1!S:S)</f>
        <v>0.96</v>
      </c>
    </row>
    <row r="458" spans="1:12" x14ac:dyDescent="0.35">
      <c r="A458" s="8" t="s">
        <v>948</v>
      </c>
      <c r="B458" s="2" t="str">
        <f>_xlfn.XLOOKUP(A458,Sheet1!A:A,Sheet1!B:B)</f>
        <v>James Moore</v>
      </c>
      <c r="C458" s="2" t="str">
        <f>_xlfn.XLOOKUP(A:A,Sheet1!A:A,Sheet1!D:D)</f>
        <v>Male</v>
      </c>
      <c r="D458" s="8">
        <f>_xlfn.XLOOKUP(A:A,Sheet1!A:A,Sheet1!F:F)</f>
        <v>29</v>
      </c>
      <c r="E458" s="2" t="str">
        <f>_xlfn.XLOOKUP(A:A,Sheet1!A:A,Sheet1!G:G)</f>
        <v>United States</v>
      </c>
      <c r="F458" s="8" t="str">
        <f>_xlfn.XLOOKUP(A:A,Sheet1!A:A,Sheet1!H:H)</f>
        <v>English</v>
      </c>
      <c r="G458" s="8" t="str">
        <f>_xlfn.XLOOKUP(A:A,Sheet1!A:A,Sheet1!I:I)</f>
        <v>Graphic Design</v>
      </c>
      <c r="H458" s="8">
        <f>_xlfn.XLOOKUP(A:A,Sheet1!A:A,Sheet1!K:K)</f>
        <v>9</v>
      </c>
      <c r="I458" s="9">
        <f>_xlfn.XLOOKUP(A:A,Sheet1!A:A,Sheet1!M:M)</f>
        <v>75</v>
      </c>
      <c r="J458" s="10">
        <f>_xlfn.XLOOKUP(A:A,Sheet1!A:A,Sheet1!O:O)</f>
        <v>2</v>
      </c>
      <c r="K458" t="str">
        <f>_xlfn.XLOOKUP(A:A,Sheet1!A:A,Sheet1!P:P)</f>
        <v>No</v>
      </c>
      <c r="L458" s="12">
        <f>_xlfn.XLOOKUP(A:A,Sheet1!A:A,Sheet1!S:S)</f>
        <v>0.79269417475728277</v>
      </c>
    </row>
    <row r="459" spans="1:12" x14ac:dyDescent="0.35">
      <c r="A459" s="8" t="s">
        <v>950</v>
      </c>
      <c r="B459" s="2" t="str">
        <f>_xlfn.XLOOKUP(A459,Sheet1!A:A,Sheet1!B:B)</f>
        <v>Danielle Barrera</v>
      </c>
      <c r="C459" s="2" t="str">
        <f>_xlfn.XLOOKUP(A:A,Sheet1!A:A,Sheet1!D:D)</f>
        <v>Female</v>
      </c>
      <c r="D459" s="8">
        <f>_xlfn.XLOOKUP(A:A,Sheet1!A:A,Sheet1!F:F)</f>
        <v>44</v>
      </c>
      <c r="E459" s="2" t="str">
        <f>_xlfn.XLOOKUP(A:A,Sheet1!A:A,Sheet1!G:G)</f>
        <v>United States</v>
      </c>
      <c r="F459" s="8" t="str">
        <f>_xlfn.XLOOKUP(A:A,Sheet1!A:A,Sheet1!H:H)</f>
        <v>English</v>
      </c>
      <c r="G459" s="8" t="str">
        <f>_xlfn.XLOOKUP(A:A,Sheet1!A:A,Sheet1!I:I)</f>
        <v>Mobile Apps</v>
      </c>
      <c r="H459" s="8">
        <f>_xlfn.XLOOKUP(A:A,Sheet1!A:A,Sheet1!K:K)</f>
        <v>3</v>
      </c>
      <c r="I459" s="9">
        <f>_xlfn.XLOOKUP(A:A,Sheet1!A:A,Sheet1!M:M)</f>
        <v>50</v>
      </c>
      <c r="J459" s="10">
        <f>_xlfn.XLOOKUP(A:A,Sheet1!A:A,Sheet1!O:O)</f>
        <v>2.2000000000000002</v>
      </c>
      <c r="K459" t="str">
        <f>_xlfn.XLOOKUP(A:A,Sheet1!A:A,Sheet1!P:P)</f>
        <v>No</v>
      </c>
      <c r="L459" s="12">
        <f>_xlfn.XLOOKUP(A:A,Sheet1!A:A,Sheet1!S:S)</f>
        <v>0.77</v>
      </c>
    </row>
    <row r="460" spans="1:12" x14ac:dyDescent="0.35">
      <c r="A460" s="8" t="s">
        <v>952</v>
      </c>
      <c r="B460" s="2" t="str">
        <f>_xlfn.XLOOKUP(A460,Sheet1!A:A,Sheet1!B:B)</f>
        <v>David Sanchez</v>
      </c>
      <c r="C460" s="2" t="str">
        <f>_xlfn.XLOOKUP(A:A,Sheet1!A:A,Sheet1!D:D)</f>
        <v>Male</v>
      </c>
      <c r="D460" s="8">
        <f>_xlfn.XLOOKUP(A:A,Sheet1!A:A,Sheet1!F:F)</f>
        <v>40</v>
      </c>
      <c r="E460" s="2" t="str">
        <f>_xlfn.XLOOKUP(A:A,Sheet1!A:A,Sheet1!G:G)</f>
        <v>Canada</v>
      </c>
      <c r="F460" s="8" t="str">
        <f>_xlfn.XLOOKUP(A:A,Sheet1!A:A,Sheet1!H:H)</f>
        <v>English</v>
      </c>
      <c r="G460" s="8" t="str">
        <f>_xlfn.XLOOKUP(A:A,Sheet1!A:A,Sheet1!I:I)</f>
        <v>Machine Learning</v>
      </c>
      <c r="H460" s="8">
        <f>_xlfn.XLOOKUP(A:A,Sheet1!A:A,Sheet1!K:K)</f>
        <v>1</v>
      </c>
      <c r="I460" s="9">
        <f>_xlfn.XLOOKUP(A:A,Sheet1!A:A,Sheet1!M:M)</f>
        <v>100</v>
      </c>
      <c r="J460" s="10">
        <f>_xlfn.XLOOKUP(A:A,Sheet1!A:A,Sheet1!O:O)</f>
        <v>2.1</v>
      </c>
      <c r="K460" t="str">
        <f>_xlfn.XLOOKUP(A:A,Sheet1!A:A,Sheet1!P:P)</f>
        <v>Yes</v>
      </c>
      <c r="L460" s="12">
        <f>_xlfn.XLOOKUP(A:A,Sheet1!A:A,Sheet1!S:S)</f>
        <v>0.79269417475728277</v>
      </c>
    </row>
    <row r="461" spans="1:12" x14ac:dyDescent="0.35">
      <c r="A461" s="8" t="s">
        <v>954</v>
      </c>
      <c r="B461" s="2" t="str">
        <f>_xlfn.XLOOKUP(A461,Sheet1!A:A,Sheet1!B:B)</f>
        <v>Tiffany Bowman</v>
      </c>
      <c r="C461" s="2" t="str">
        <f>_xlfn.XLOOKUP(A:A,Sheet1!A:A,Sheet1!D:D)</f>
        <v>Female</v>
      </c>
      <c r="D461" s="8">
        <f>_xlfn.XLOOKUP(A:A,Sheet1!A:A,Sheet1!F:F)</f>
        <v>27</v>
      </c>
      <c r="E461" s="2" t="str">
        <f>_xlfn.XLOOKUP(A:A,Sheet1!A:A,Sheet1!G:G)</f>
        <v>Egypt</v>
      </c>
      <c r="F461" s="8" t="str">
        <f>_xlfn.XLOOKUP(A:A,Sheet1!A:A,Sheet1!H:H)</f>
        <v>Arabic</v>
      </c>
      <c r="G461" s="8" t="str">
        <f>_xlfn.XLOOKUP(A:A,Sheet1!A:A,Sheet1!I:I)</f>
        <v>Data Analysis</v>
      </c>
      <c r="H461" s="8">
        <f>_xlfn.XLOOKUP(A:A,Sheet1!A:A,Sheet1!K:K)</f>
        <v>1</v>
      </c>
      <c r="I461" s="9">
        <f>_xlfn.XLOOKUP(A:A,Sheet1!A:A,Sheet1!M:M)</f>
        <v>30</v>
      </c>
      <c r="J461" s="10">
        <f>_xlfn.XLOOKUP(A:A,Sheet1!A:A,Sheet1!O:O)</f>
        <v>1.7</v>
      </c>
      <c r="K461" t="str">
        <f>_xlfn.XLOOKUP(A:A,Sheet1!A:A,Sheet1!P:P)</f>
        <v>No</v>
      </c>
      <c r="L461" s="12">
        <f>_xlfn.XLOOKUP(A:A,Sheet1!A:A,Sheet1!S:S)</f>
        <v>0.65</v>
      </c>
    </row>
    <row r="462" spans="1:12" x14ac:dyDescent="0.35">
      <c r="A462" s="8" t="s">
        <v>956</v>
      </c>
      <c r="B462" s="2" t="str">
        <f>_xlfn.XLOOKUP(A462,Sheet1!A:A,Sheet1!B:B)</f>
        <v>Jesus Quinn</v>
      </c>
      <c r="C462" s="2" t="str">
        <f>_xlfn.XLOOKUP(A:A,Sheet1!A:A,Sheet1!D:D)</f>
        <v>Male</v>
      </c>
      <c r="D462" s="8">
        <f>_xlfn.XLOOKUP(A:A,Sheet1!A:A,Sheet1!F:F)</f>
        <v>53</v>
      </c>
      <c r="E462" s="2" t="str">
        <f>_xlfn.XLOOKUP(A:A,Sheet1!A:A,Sheet1!G:G)</f>
        <v>France</v>
      </c>
      <c r="F462" s="8" t="str">
        <f>_xlfn.XLOOKUP(A:A,Sheet1!A:A,Sheet1!H:H)</f>
        <v>French</v>
      </c>
      <c r="G462" s="8" t="str">
        <f>_xlfn.XLOOKUP(A:A,Sheet1!A:A,Sheet1!I:I)</f>
        <v>Mobile Apps</v>
      </c>
      <c r="H462" s="8">
        <f>_xlfn.XLOOKUP(A:A,Sheet1!A:A,Sheet1!K:K)</f>
        <v>35</v>
      </c>
      <c r="I462" s="9">
        <f>_xlfn.XLOOKUP(A:A,Sheet1!A:A,Sheet1!M:M)</f>
        <v>40</v>
      </c>
      <c r="J462" s="10">
        <f>_xlfn.XLOOKUP(A:A,Sheet1!A:A,Sheet1!O:O)</f>
        <v>5</v>
      </c>
      <c r="K462" t="str">
        <f>_xlfn.XLOOKUP(A:A,Sheet1!A:A,Sheet1!P:P)</f>
        <v>Yes</v>
      </c>
      <c r="L462" s="12">
        <f>_xlfn.XLOOKUP(A:A,Sheet1!A:A,Sheet1!S:S)</f>
        <v>0.62</v>
      </c>
    </row>
    <row r="463" spans="1:12" x14ac:dyDescent="0.35">
      <c r="A463" s="8" t="s">
        <v>958</v>
      </c>
      <c r="B463" s="2" t="str">
        <f>_xlfn.XLOOKUP(A463,Sheet1!A:A,Sheet1!B:B)</f>
        <v xml:space="preserve"> Danny Morris </v>
      </c>
      <c r="C463" s="2" t="str">
        <f>_xlfn.XLOOKUP(A:A,Sheet1!A:A,Sheet1!D:D)</f>
        <v>Male</v>
      </c>
      <c r="D463" s="8">
        <f>_xlfn.XLOOKUP(A:A,Sheet1!A:A,Sheet1!F:F)</f>
        <v>20</v>
      </c>
      <c r="E463" s="2" t="str">
        <f>_xlfn.XLOOKUP(A:A,Sheet1!A:A,Sheet1!G:G)</f>
        <v>Turkey</v>
      </c>
      <c r="F463" s="8" t="str">
        <f>_xlfn.XLOOKUP(A:A,Sheet1!A:A,Sheet1!H:H)</f>
        <v>Turkish</v>
      </c>
      <c r="G463" s="8" t="str">
        <f>_xlfn.XLOOKUP(A:A,Sheet1!A:A,Sheet1!I:I)</f>
        <v>Data Analysis</v>
      </c>
      <c r="H463" s="8">
        <f>_xlfn.XLOOKUP(A:A,Sheet1!A:A,Sheet1!K:K)</f>
        <v>1</v>
      </c>
      <c r="I463" s="9">
        <f>_xlfn.XLOOKUP(A:A,Sheet1!A:A,Sheet1!M:M)</f>
        <v>50</v>
      </c>
      <c r="J463" s="10">
        <f>_xlfn.XLOOKUP(A:A,Sheet1!A:A,Sheet1!O:O)</f>
        <v>2.9</v>
      </c>
      <c r="K463" t="str">
        <f>_xlfn.XLOOKUP(A:A,Sheet1!A:A,Sheet1!P:P)</f>
        <v>No</v>
      </c>
      <c r="L463" s="12">
        <f>_xlfn.XLOOKUP(A:A,Sheet1!A:A,Sheet1!S:S)</f>
        <v>0.81</v>
      </c>
    </row>
    <row r="464" spans="1:12" x14ac:dyDescent="0.35">
      <c r="A464" s="8" t="s">
        <v>959</v>
      </c>
      <c r="B464" s="2" t="str">
        <f>_xlfn.XLOOKUP(A464,Sheet1!A:A,Sheet1!B:B)</f>
        <v>Nicole York</v>
      </c>
      <c r="C464" s="2" t="str">
        <f>_xlfn.XLOOKUP(A:A,Sheet1!A:A,Sheet1!D:D)</f>
        <v>Female</v>
      </c>
      <c r="D464" s="8">
        <f>_xlfn.XLOOKUP(A:A,Sheet1!A:A,Sheet1!F:F)</f>
        <v>41</v>
      </c>
      <c r="E464" s="2" t="str">
        <f>_xlfn.XLOOKUP(A:A,Sheet1!A:A,Sheet1!G:G)</f>
        <v>Japan</v>
      </c>
      <c r="F464" s="8" t="str">
        <f>_xlfn.XLOOKUP(A:A,Sheet1!A:A,Sheet1!H:H)</f>
        <v>Japanese</v>
      </c>
      <c r="G464" s="8" t="str">
        <f>_xlfn.XLOOKUP(A:A,Sheet1!A:A,Sheet1!I:I)</f>
        <v>DevOps</v>
      </c>
      <c r="H464" s="8">
        <f>_xlfn.XLOOKUP(A:A,Sheet1!A:A,Sheet1!K:K)</f>
        <v>12</v>
      </c>
      <c r="I464" s="9">
        <f>_xlfn.XLOOKUP(A:A,Sheet1!A:A,Sheet1!M:M)</f>
        <v>50</v>
      </c>
      <c r="J464" s="10">
        <f>_xlfn.XLOOKUP(A:A,Sheet1!A:A,Sheet1!O:O)</f>
        <v>4.0999999999999996</v>
      </c>
      <c r="K464" t="str">
        <f>_xlfn.XLOOKUP(A:A,Sheet1!A:A,Sheet1!P:P)</f>
        <v>Yes</v>
      </c>
      <c r="L464" s="12">
        <f>_xlfn.XLOOKUP(A:A,Sheet1!A:A,Sheet1!S:S)</f>
        <v>0.62</v>
      </c>
    </row>
    <row r="465" spans="1:12" x14ac:dyDescent="0.35">
      <c r="A465" s="8" t="s">
        <v>961</v>
      </c>
      <c r="B465" s="2" t="str">
        <f>_xlfn.XLOOKUP(A465,Sheet1!A:A,Sheet1!B:B)</f>
        <v>John Mathis</v>
      </c>
      <c r="C465" s="2" t="str">
        <f>_xlfn.XLOOKUP(A:A,Sheet1!A:A,Sheet1!D:D)</f>
        <v>Male</v>
      </c>
      <c r="D465" s="8">
        <f>_xlfn.XLOOKUP(A:A,Sheet1!A:A,Sheet1!F:F)</f>
        <v>26</v>
      </c>
      <c r="E465" s="2" t="str">
        <f>_xlfn.XLOOKUP(A:A,Sheet1!A:A,Sheet1!G:G)</f>
        <v>Mexico</v>
      </c>
      <c r="F465" s="8" t="str">
        <f>_xlfn.XLOOKUP(A:A,Sheet1!A:A,Sheet1!H:H)</f>
        <v>Spanish</v>
      </c>
      <c r="G465" s="8" t="str">
        <f>_xlfn.XLOOKUP(A:A,Sheet1!A:A,Sheet1!I:I)</f>
        <v>Web Development</v>
      </c>
      <c r="H465" s="8">
        <f>_xlfn.XLOOKUP(A:A,Sheet1!A:A,Sheet1!K:K)</f>
        <v>8</v>
      </c>
      <c r="I465" s="9">
        <f>_xlfn.XLOOKUP(A:A,Sheet1!A:A,Sheet1!M:M)</f>
        <v>40</v>
      </c>
      <c r="J465" s="10">
        <f>_xlfn.XLOOKUP(A:A,Sheet1!A:A,Sheet1!O:O)</f>
        <v>4.9000000000000004</v>
      </c>
      <c r="K465" t="str">
        <f>_xlfn.XLOOKUP(A:A,Sheet1!A:A,Sheet1!P:P)</f>
        <v>No</v>
      </c>
      <c r="L465" s="12">
        <f>_xlfn.XLOOKUP(A:A,Sheet1!A:A,Sheet1!S:S)</f>
        <v>0.87</v>
      </c>
    </row>
    <row r="466" spans="1:12" x14ac:dyDescent="0.35">
      <c r="A466" s="8" t="s">
        <v>963</v>
      </c>
      <c r="B466" s="2" t="str">
        <f>_xlfn.XLOOKUP(A466,Sheet1!A:A,Sheet1!B:B)</f>
        <v>Julie Barnett</v>
      </c>
      <c r="C466" s="2" t="str">
        <f>_xlfn.XLOOKUP(A:A,Sheet1!A:A,Sheet1!D:D)</f>
        <v>Female</v>
      </c>
      <c r="D466" s="8">
        <f>_xlfn.XLOOKUP(A:A,Sheet1!A:A,Sheet1!F:F)</f>
        <v>49</v>
      </c>
      <c r="E466" s="2" t="str">
        <f>_xlfn.XLOOKUP(A:A,Sheet1!A:A,Sheet1!G:G)</f>
        <v>Brazil</v>
      </c>
      <c r="F466" s="8" t="str">
        <f>_xlfn.XLOOKUP(A:A,Sheet1!A:A,Sheet1!H:H)</f>
        <v>Portuguese</v>
      </c>
      <c r="G466" s="8" t="str">
        <f>_xlfn.XLOOKUP(A:A,Sheet1!A:A,Sheet1!I:I)</f>
        <v>Machine Learning</v>
      </c>
      <c r="H466" s="8">
        <f>_xlfn.XLOOKUP(A:A,Sheet1!A:A,Sheet1!K:K)</f>
        <v>13</v>
      </c>
      <c r="I466" s="9">
        <f>_xlfn.XLOOKUP(A:A,Sheet1!A:A,Sheet1!M:M)</f>
        <v>100</v>
      </c>
      <c r="J466" s="10">
        <f>_xlfn.XLOOKUP(A:A,Sheet1!A:A,Sheet1!O:O)</f>
        <v>2.5</v>
      </c>
      <c r="K466" t="str">
        <f>_xlfn.XLOOKUP(A:A,Sheet1!A:A,Sheet1!P:P)</f>
        <v>No</v>
      </c>
      <c r="L466" s="12">
        <f>_xlfn.XLOOKUP(A:A,Sheet1!A:A,Sheet1!S:S)</f>
        <v>0.79269417475728277</v>
      </c>
    </row>
    <row r="467" spans="1:12" x14ac:dyDescent="0.35">
      <c r="A467" s="8" t="s">
        <v>965</v>
      </c>
      <c r="B467" s="2" t="str">
        <f>_xlfn.XLOOKUP(A467,Sheet1!A:A,Sheet1!B:B)</f>
        <v>Jasmine Harris</v>
      </c>
      <c r="C467" s="2" t="str">
        <f>_xlfn.XLOOKUP(A:A,Sheet1!A:A,Sheet1!D:D)</f>
        <v>Female</v>
      </c>
      <c r="D467" s="8">
        <f>_xlfn.XLOOKUP(A:A,Sheet1!A:A,Sheet1!F:F)</f>
        <v>20</v>
      </c>
      <c r="E467" s="2" t="str">
        <f>_xlfn.XLOOKUP(A:A,Sheet1!A:A,Sheet1!G:G)</f>
        <v>Egypt</v>
      </c>
      <c r="F467" s="8" t="str">
        <f>_xlfn.XLOOKUP(A:A,Sheet1!A:A,Sheet1!H:H)</f>
        <v>Arabic</v>
      </c>
      <c r="G467" s="8" t="str">
        <f>_xlfn.XLOOKUP(A:A,Sheet1!A:A,Sheet1!I:I)</f>
        <v>Data Analysis</v>
      </c>
      <c r="H467" s="8">
        <f>_xlfn.XLOOKUP(A:A,Sheet1!A:A,Sheet1!K:K)</f>
        <v>0</v>
      </c>
      <c r="I467" s="9">
        <f>_xlfn.XLOOKUP(A:A,Sheet1!A:A,Sheet1!M:M)</f>
        <v>30</v>
      </c>
      <c r="J467" s="11">
        <v>0</v>
      </c>
      <c r="K467" t="str">
        <f>_xlfn.XLOOKUP(A:A,Sheet1!A:A,Sheet1!P:P)</f>
        <v>Yes</v>
      </c>
      <c r="L467" s="12">
        <f>_xlfn.XLOOKUP(A:A,Sheet1!A:A,Sheet1!S:S)</f>
        <v>0.76</v>
      </c>
    </row>
    <row r="468" spans="1:12" x14ac:dyDescent="0.35">
      <c r="A468" s="8" t="s">
        <v>967</v>
      </c>
      <c r="B468" s="2" t="str">
        <f>_xlfn.XLOOKUP(A468,Sheet1!A:A,Sheet1!B:B)</f>
        <v>Mary Henry</v>
      </c>
      <c r="C468" s="2" t="str">
        <f>_xlfn.XLOOKUP(A:A,Sheet1!A:A,Sheet1!D:D)</f>
        <v>Female</v>
      </c>
      <c r="D468" s="8">
        <f>_xlfn.XLOOKUP(A:A,Sheet1!A:A,Sheet1!F:F)</f>
        <v>39</v>
      </c>
      <c r="E468" s="2" t="str">
        <f>_xlfn.XLOOKUP(A:A,Sheet1!A:A,Sheet1!G:G)</f>
        <v>China</v>
      </c>
      <c r="F468" s="8" t="str">
        <f>_xlfn.XLOOKUP(A:A,Sheet1!A:A,Sheet1!H:H)</f>
        <v>Mandarin</v>
      </c>
      <c r="G468" s="8" t="str">
        <f>_xlfn.XLOOKUP(A:A,Sheet1!A:A,Sheet1!I:I)</f>
        <v>Blockchain Development</v>
      </c>
      <c r="H468" s="8">
        <f>_xlfn.XLOOKUP(A:A,Sheet1!A:A,Sheet1!K:K)</f>
        <v>11</v>
      </c>
      <c r="I468" s="9">
        <f>_xlfn.XLOOKUP(A:A,Sheet1!A:A,Sheet1!M:M)</f>
        <v>100</v>
      </c>
      <c r="J468" s="10">
        <f>_xlfn.XLOOKUP(A:A,Sheet1!A:A,Sheet1!O:O)</f>
        <v>2.8</v>
      </c>
      <c r="K468" t="str">
        <f>_xlfn.XLOOKUP(A:A,Sheet1!A:A,Sheet1!P:P)</f>
        <v>No</v>
      </c>
      <c r="L468" s="12">
        <f>_xlfn.XLOOKUP(A:A,Sheet1!A:A,Sheet1!S:S)</f>
        <v>0.7</v>
      </c>
    </row>
    <row r="469" spans="1:12" x14ac:dyDescent="0.35">
      <c r="A469" s="8" t="s">
        <v>969</v>
      </c>
      <c r="B469" s="2" t="str">
        <f>_xlfn.XLOOKUP(A469,Sheet1!A:A,Sheet1!B:B)</f>
        <v>Judith Riggs</v>
      </c>
      <c r="C469" s="2" t="str">
        <f>_xlfn.XLOOKUP(A:A,Sheet1!A:A,Sheet1!D:D)</f>
        <v>Female</v>
      </c>
      <c r="D469" s="8">
        <f>_xlfn.XLOOKUP(A:A,Sheet1!A:A,Sheet1!F:F)</f>
        <v>41</v>
      </c>
      <c r="E469" s="2" t="str">
        <f>_xlfn.XLOOKUP(A:A,Sheet1!A:A,Sheet1!G:G)</f>
        <v>China</v>
      </c>
      <c r="F469" s="8" t="str">
        <f>_xlfn.XLOOKUP(A:A,Sheet1!A:A,Sheet1!H:H)</f>
        <v>Mandarin</v>
      </c>
      <c r="G469" s="8" t="str">
        <f>_xlfn.XLOOKUP(A:A,Sheet1!A:A,Sheet1!I:I)</f>
        <v>Machine Learning</v>
      </c>
      <c r="H469" s="8">
        <f>_xlfn.XLOOKUP(A:A,Sheet1!A:A,Sheet1!K:K)</f>
        <v>19</v>
      </c>
      <c r="I469" s="9">
        <f>_xlfn.XLOOKUP(A:A,Sheet1!A:A,Sheet1!M:M)</f>
        <v>100</v>
      </c>
      <c r="J469" s="10">
        <f>_xlfn.XLOOKUP(A:A,Sheet1!A:A,Sheet1!O:O)</f>
        <v>3.8</v>
      </c>
      <c r="K469" t="str">
        <f>_xlfn.XLOOKUP(A:A,Sheet1!A:A,Sheet1!P:P)</f>
        <v>Yes</v>
      </c>
      <c r="L469" s="12">
        <f>_xlfn.XLOOKUP(A:A,Sheet1!A:A,Sheet1!S:S)</f>
        <v>0.71</v>
      </c>
    </row>
    <row r="470" spans="1:12" x14ac:dyDescent="0.35">
      <c r="A470" s="8" t="s">
        <v>971</v>
      </c>
      <c r="B470" s="2" t="str">
        <f>_xlfn.XLOOKUP(A470,Sheet1!A:A,Sheet1!B:B)</f>
        <v>Justin Ruiz</v>
      </c>
      <c r="C470" s="2" t="str">
        <f>_xlfn.XLOOKUP(A:A,Sheet1!A:A,Sheet1!D:D)</f>
        <v>Male</v>
      </c>
      <c r="D470" s="8">
        <f>_xlfn.XLOOKUP(A:A,Sheet1!A:A,Sheet1!F:F)</f>
        <v>59</v>
      </c>
      <c r="E470" s="2" t="str">
        <f>_xlfn.XLOOKUP(A:A,Sheet1!A:A,Sheet1!G:G)</f>
        <v>Canada</v>
      </c>
      <c r="F470" s="8" t="str">
        <f>_xlfn.XLOOKUP(A:A,Sheet1!A:A,Sheet1!H:H)</f>
        <v>English</v>
      </c>
      <c r="G470" s="8" t="str">
        <f>_xlfn.XLOOKUP(A:A,Sheet1!A:A,Sheet1!I:I)</f>
        <v>Mobile Apps</v>
      </c>
      <c r="H470" s="8">
        <f>_xlfn.XLOOKUP(A:A,Sheet1!A:A,Sheet1!K:K)</f>
        <v>30</v>
      </c>
      <c r="I470" s="9">
        <f>_xlfn.XLOOKUP(A:A,Sheet1!A:A,Sheet1!M:M)</f>
        <v>30</v>
      </c>
      <c r="J470" s="10">
        <f>_xlfn.XLOOKUP(A:A,Sheet1!A:A,Sheet1!O:O)</f>
        <v>4.3</v>
      </c>
      <c r="K470" t="str">
        <f>_xlfn.XLOOKUP(A:A,Sheet1!A:A,Sheet1!P:P)</f>
        <v>Yes</v>
      </c>
      <c r="L470" s="12">
        <f>_xlfn.XLOOKUP(A:A,Sheet1!A:A,Sheet1!S:S)</f>
        <v>0.83</v>
      </c>
    </row>
    <row r="471" spans="1:12" x14ac:dyDescent="0.35">
      <c r="A471" s="8" t="s">
        <v>973</v>
      </c>
      <c r="B471" s="2" t="str">
        <f>_xlfn.XLOOKUP(A471,Sheet1!A:A,Sheet1!B:B)</f>
        <v>Jennifer Sullivan</v>
      </c>
      <c r="C471" s="2" t="str">
        <f>_xlfn.XLOOKUP(A:A,Sheet1!A:A,Sheet1!D:D)</f>
        <v>Female</v>
      </c>
      <c r="D471" s="8">
        <f>_xlfn.XLOOKUP(A:A,Sheet1!A:A,Sheet1!F:F)</f>
        <v>45</v>
      </c>
      <c r="E471" s="2" t="str">
        <f>_xlfn.XLOOKUP(A:A,Sheet1!A:A,Sheet1!G:G)</f>
        <v>Australia</v>
      </c>
      <c r="F471" s="8" t="str">
        <f>_xlfn.XLOOKUP(A:A,Sheet1!A:A,Sheet1!H:H)</f>
        <v>English</v>
      </c>
      <c r="G471" s="8" t="str">
        <f>_xlfn.XLOOKUP(A:A,Sheet1!A:A,Sheet1!I:I)</f>
        <v>Blockchain Development</v>
      </c>
      <c r="H471" s="8">
        <f>_xlfn.XLOOKUP(A:A,Sheet1!A:A,Sheet1!K:K)</f>
        <v>8</v>
      </c>
      <c r="I471" s="9">
        <f>_xlfn.XLOOKUP(A:A,Sheet1!A:A,Sheet1!M:M)</f>
        <v>40</v>
      </c>
      <c r="J471" s="11">
        <v>0</v>
      </c>
      <c r="K471" t="str">
        <f>_xlfn.XLOOKUP(A:A,Sheet1!A:A,Sheet1!P:P)</f>
        <v>No</v>
      </c>
      <c r="L471" s="12">
        <f>_xlfn.XLOOKUP(A:A,Sheet1!A:A,Sheet1!S:S)</f>
        <v>0.78</v>
      </c>
    </row>
    <row r="472" spans="1:12" x14ac:dyDescent="0.35">
      <c r="A472" s="8" t="s">
        <v>975</v>
      </c>
      <c r="B472" s="2" t="str">
        <f>_xlfn.XLOOKUP(A472,Sheet1!A:A,Sheet1!B:B)</f>
        <v>Jesse Moran</v>
      </c>
      <c r="C472" s="2" t="str">
        <f>_xlfn.XLOOKUP(A:A,Sheet1!A:A,Sheet1!D:D)</f>
        <v>Male</v>
      </c>
      <c r="D472" s="8">
        <f>_xlfn.XLOOKUP(A:A,Sheet1!A:A,Sheet1!F:F)</f>
        <v>22</v>
      </c>
      <c r="E472" s="2" t="str">
        <f>_xlfn.XLOOKUP(A:A,Sheet1!A:A,Sheet1!G:G)</f>
        <v>Indonesia</v>
      </c>
      <c r="F472" s="8" t="str">
        <f>_xlfn.XLOOKUP(A:A,Sheet1!A:A,Sheet1!H:H)</f>
        <v>Indonesian</v>
      </c>
      <c r="G472" s="8" t="str">
        <f>_xlfn.XLOOKUP(A:A,Sheet1!A:A,Sheet1!I:I)</f>
        <v>Cybersecurity</v>
      </c>
      <c r="H472" s="8">
        <f>_xlfn.XLOOKUP(A:A,Sheet1!A:A,Sheet1!K:K)</f>
        <v>0</v>
      </c>
      <c r="I472" s="9">
        <f>_xlfn.XLOOKUP(A:A,Sheet1!A:A,Sheet1!M:M)</f>
        <v>40</v>
      </c>
      <c r="J472" s="10">
        <f>_xlfn.XLOOKUP(A:A,Sheet1!A:A,Sheet1!O:O)</f>
        <v>1.3</v>
      </c>
      <c r="K472" t="str">
        <f>_xlfn.XLOOKUP(A:A,Sheet1!A:A,Sheet1!P:P)</f>
        <v>Yes</v>
      </c>
      <c r="L472" s="12">
        <f>_xlfn.XLOOKUP(A:A,Sheet1!A:A,Sheet1!S:S)</f>
        <v>0.78</v>
      </c>
    </row>
    <row r="473" spans="1:12" x14ac:dyDescent="0.35">
      <c r="A473" s="8" t="s">
        <v>977</v>
      </c>
      <c r="B473" s="2" t="str">
        <f>_xlfn.XLOOKUP(A473,Sheet1!A:A,Sheet1!B:B)</f>
        <v>Monica Smith</v>
      </c>
      <c r="C473" s="2" t="str">
        <f>_xlfn.XLOOKUP(A:A,Sheet1!A:A,Sheet1!D:D)</f>
        <v>Female</v>
      </c>
      <c r="D473" s="8">
        <f>_xlfn.XLOOKUP(A:A,Sheet1!A:A,Sheet1!F:F)</f>
        <v>48</v>
      </c>
      <c r="E473" s="2" t="str">
        <f>_xlfn.XLOOKUP(A:A,Sheet1!A:A,Sheet1!G:G)</f>
        <v>India</v>
      </c>
      <c r="F473" s="8" t="str">
        <f>_xlfn.XLOOKUP(A:A,Sheet1!A:A,Sheet1!H:H)</f>
        <v>Hindi</v>
      </c>
      <c r="G473" s="8" t="str">
        <f>_xlfn.XLOOKUP(A:A,Sheet1!A:A,Sheet1!I:I)</f>
        <v>Mobile Apps</v>
      </c>
      <c r="H473" s="8">
        <f>_xlfn.XLOOKUP(A:A,Sheet1!A:A,Sheet1!K:K)</f>
        <v>7</v>
      </c>
      <c r="I473" s="9">
        <f>_xlfn.XLOOKUP(A:A,Sheet1!A:A,Sheet1!M:M)</f>
        <v>50</v>
      </c>
      <c r="J473" s="10">
        <f>_xlfn.XLOOKUP(A:A,Sheet1!A:A,Sheet1!O:O)</f>
        <v>4.7</v>
      </c>
      <c r="K473" t="str">
        <f>_xlfn.XLOOKUP(A:A,Sheet1!A:A,Sheet1!P:P)</f>
        <v>Yes</v>
      </c>
      <c r="L473" s="12">
        <f>_xlfn.XLOOKUP(A:A,Sheet1!A:A,Sheet1!S:S)</f>
        <v>0.6</v>
      </c>
    </row>
    <row r="474" spans="1:12" x14ac:dyDescent="0.35">
      <c r="A474" s="8" t="s">
        <v>979</v>
      </c>
      <c r="B474" s="2" t="str">
        <f>_xlfn.XLOOKUP(A474,Sheet1!A:A,Sheet1!B:B)</f>
        <v>Ian May</v>
      </c>
      <c r="C474" s="2" t="str">
        <f>_xlfn.XLOOKUP(A:A,Sheet1!A:A,Sheet1!D:D)</f>
        <v>Male</v>
      </c>
      <c r="D474" s="8">
        <f>_xlfn.XLOOKUP(A:A,Sheet1!A:A,Sheet1!F:F)</f>
        <v>36</v>
      </c>
      <c r="E474" s="2" t="str">
        <f>_xlfn.XLOOKUP(A:A,Sheet1!A:A,Sheet1!G:G)</f>
        <v>France</v>
      </c>
      <c r="F474" s="8" t="str">
        <f>_xlfn.XLOOKUP(A:A,Sheet1!A:A,Sheet1!H:H)</f>
        <v>French</v>
      </c>
      <c r="G474" s="8" t="str">
        <f>_xlfn.XLOOKUP(A:A,Sheet1!A:A,Sheet1!I:I)</f>
        <v>Blockchain Development</v>
      </c>
      <c r="H474" s="8">
        <f>_xlfn.XLOOKUP(A:A,Sheet1!A:A,Sheet1!K:K)</f>
        <v>11</v>
      </c>
      <c r="I474" s="9">
        <f>_xlfn.XLOOKUP(A:A,Sheet1!A:A,Sheet1!M:M)</f>
        <v>40</v>
      </c>
      <c r="J474" s="10">
        <f>_xlfn.XLOOKUP(A:A,Sheet1!A:A,Sheet1!O:O)</f>
        <v>1.3</v>
      </c>
      <c r="K474" t="str">
        <f>_xlfn.XLOOKUP(A:A,Sheet1!A:A,Sheet1!P:P)</f>
        <v>Yes</v>
      </c>
      <c r="L474" s="12">
        <f>_xlfn.XLOOKUP(A:A,Sheet1!A:A,Sheet1!S:S)</f>
        <v>0.79269417475728277</v>
      </c>
    </row>
    <row r="475" spans="1:12" x14ac:dyDescent="0.35">
      <c r="A475" s="8" t="s">
        <v>981</v>
      </c>
      <c r="B475" s="2" t="str">
        <f>_xlfn.XLOOKUP(A475,Sheet1!A:A,Sheet1!B:B)</f>
        <v>Kayla Meyers</v>
      </c>
      <c r="C475" s="2" t="str">
        <f>_xlfn.XLOOKUP(A:A,Sheet1!A:A,Sheet1!D:D)</f>
        <v>Female</v>
      </c>
      <c r="D475" s="8">
        <f>_xlfn.XLOOKUP(A:A,Sheet1!A:A,Sheet1!F:F)</f>
        <v>57</v>
      </c>
      <c r="E475" s="2" t="str">
        <f>_xlfn.XLOOKUP(A:A,Sheet1!A:A,Sheet1!G:G)</f>
        <v>China</v>
      </c>
      <c r="F475" s="8" t="str">
        <f>_xlfn.XLOOKUP(A:A,Sheet1!A:A,Sheet1!H:H)</f>
        <v>Mandarin</v>
      </c>
      <c r="G475" s="8" t="str">
        <f>_xlfn.XLOOKUP(A:A,Sheet1!A:A,Sheet1!I:I)</f>
        <v>Blockchain Development</v>
      </c>
      <c r="H475" s="8">
        <f>_xlfn.XLOOKUP(A:A,Sheet1!A:A,Sheet1!K:K)</f>
        <v>9</v>
      </c>
      <c r="I475" s="9">
        <f>_xlfn.XLOOKUP(A:A,Sheet1!A:A,Sheet1!M:M)</f>
        <v>75</v>
      </c>
      <c r="J475" s="10">
        <f>_xlfn.XLOOKUP(A:A,Sheet1!A:A,Sheet1!O:O)</f>
        <v>4.8</v>
      </c>
      <c r="K475" t="str">
        <f>_xlfn.XLOOKUP(A:A,Sheet1!A:A,Sheet1!P:P)</f>
        <v>Yes</v>
      </c>
      <c r="L475" s="12">
        <f>_xlfn.XLOOKUP(A:A,Sheet1!A:A,Sheet1!S:S)</f>
        <v>0.79269417475728277</v>
      </c>
    </row>
    <row r="476" spans="1:12" x14ac:dyDescent="0.35">
      <c r="A476" s="8" t="s">
        <v>983</v>
      </c>
      <c r="B476" s="2" t="str">
        <f>_xlfn.XLOOKUP(A476,Sheet1!A:A,Sheet1!B:B)</f>
        <v>John Bray</v>
      </c>
      <c r="C476" s="2" t="str">
        <f>_xlfn.XLOOKUP(A:A,Sheet1!A:A,Sheet1!D:D)</f>
        <v>Male</v>
      </c>
      <c r="D476" s="8">
        <f>_xlfn.XLOOKUP(A:A,Sheet1!A:A,Sheet1!F:F)</f>
        <v>42</v>
      </c>
      <c r="E476" s="2" t="str">
        <f>_xlfn.XLOOKUP(A:A,Sheet1!A:A,Sheet1!G:G)</f>
        <v>United States</v>
      </c>
      <c r="F476" s="8" t="str">
        <f>_xlfn.XLOOKUP(A:A,Sheet1!A:A,Sheet1!H:H)</f>
        <v>English</v>
      </c>
      <c r="G476" s="8" t="str">
        <f>_xlfn.XLOOKUP(A:A,Sheet1!A:A,Sheet1!I:I)</f>
        <v>UI/UX Design</v>
      </c>
      <c r="H476" s="8">
        <f>_xlfn.XLOOKUP(A:A,Sheet1!A:A,Sheet1!K:K)</f>
        <v>14</v>
      </c>
      <c r="I476" s="9">
        <f>_xlfn.XLOOKUP(A:A,Sheet1!A:A,Sheet1!M:M)</f>
        <v>30</v>
      </c>
      <c r="J476" s="10">
        <f>_xlfn.XLOOKUP(A:A,Sheet1!A:A,Sheet1!O:O)</f>
        <v>1.3</v>
      </c>
      <c r="K476" t="str">
        <f>_xlfn.XLOOKUP(A:A,Sheet1!A:A,Sheet1!P:P)</f>
        <v>No</v>
      </c>
      <c r="L476" s="12">
        <f>_xlfn.XLOOKUP(A:A,Sheet1!A:A,Sheet1!S:S)</f>
        <v>0.94</v>
      </c>
    </row>
    <row r="477" spans="1:12" x14ac:dyDescent="0.35">
      <c r="A477" s="8" t="s">
        <v>985</v>
      </c>
      <c r="B477" s="2" t="str">
        <f>_xlfn.XLOOKUP(A477,Sheet1!A:A,Sheet1!B:B)</f>
        <v>James Smith</v>
      </c>
      <c r="C477" s="2" t="str">
        <f>_xlfn.XLOOKUP(A:A,Sheet1!A:A,Sheet1!D:D)</f>
        <v>Male</v>
      </c>
      <c r="D477" s="8">
        <f>_xlfn.XLOOKUP(A:A,Sheet1!A:A,Sheet1!F:F)</f>
        <v>31</v>
      </c>
      <c r="E477" s="2" t="str">
        <f>_xlfn.XLOOKUP(A:A,Sheet1!A:A,Sheet1!G:G)</f>
        <v>Indonesia</v>
      </c>
      <c r="F477" s="8" t="str">
        <f>_xlfn.XLOOKUP(A:A,Sheet1!A:A,Sheet1!H:H)</f>
        <v>Indonesian</v>
      </c>
      <c r="G477" s="8" t="str">
        <f>_xlfn.XLOOKUP(A:A,Sheet1!A:A,Sheet1!I:I)</f>
        <v>Cybersecurity</v>
      </c>
      <c r="H477" s="8">
        <f>_xlfn.XLOOKUP(A:A,Sheet1!A:A,Sheet1!K:K)</f>
        <v>11</v>
      </c>
      <c r="I477" s="9">
        <f>_xlfn.XLOOKUP(A:A,Sheet1!A:A,Sheet1!M:M)</f>
        <v>50</v>
      </c>
      <c r="J477" s="10">
        <f>_xlfn.XLOOKUP(A:A,Sheet1!A:A,Sheet1!O:O)</f>
        <v>4.3</v>
      </c>
      <c r="K477" t="str">
        <f>_xlfn.XLOOKUP(A:A,Sheet1!A:A,Sheet1!P:P)</f>
        <v>No</v>
      </c>
      <c r="L477" s="12">
        <f>_xlfn.XLOOKUP(A:A,Sheet1!A:A,Sheet1!S:S)</f>
        <v>0.62</v>
      </c>
    </row>
    <row r="478" spans="1:12" x14ac:dyDescent="0.35">
      <c r="A478" s="8" t="s">
        <v>987</v>
      </c>
      <c r="B478" s="2" t="str">
        <f>_xlfn.XLOOKUP(A478,Sheet1!A:A,Sheet1!B:B)</f>
        <v>Mark Duncan</v>
      </c>
      <c r="C478" s="2" t="str">
        <f>_xlfn.XLOOKUP(A:A,Sheet1!A:A,Sheet1!D:D)</f>
        <v>Male</v>
      </c>
      <c r="D478" s="8">
        <f>_xlfn.XLOOKUP(A:A,Sheet1!A:A,Sheet1!F:F)</f>
        <v>52</v>
      </c>
      <c r="E478" s="2" t="str">
        <f>_xlfn.XLOOKUP(A:A,Sheet1!A:A,Sheet1!G:G)</f>
        <v>Spain</v>
      </c>
      <c r="F478" s="8" t="str">
        <f>_xlfn.XLOOKUP(A:A,Sheet1!A:A,Sheet1!H:H)</f>
        <v>Spanish</v>
      </c>
      <c r="G478" s="8" t="str">
        <f>_xlfn.XLOOKUP(A:A,Sheet1!A:A,Sheet1!I:I)</f>
        <v>Cybersecurity</v>
      </c>
      <c r="H478" s="8">
        <f>_xlfn.XLOOKUP(A:A,Sheet1!A:A,Sheet1!K:K)</f>
        <v>31</v>
      </c>
      <c r="I478" s="9">
        <f>_xlfn.XLOOKUP(A:A,Sheet1!A:A,Sheet1!M:M)</f>
        <v>30</v>
      </c>
      <c r="J478" s="10">
        <f>_xlfn.XLOOKUP(A:A,Sheet1!A:A,Sheet1!O:O)</f>
        <v>2.5125695216907653</v>
      </c>
      <c r="K478" t="str">
        <f>_xlfn.XLOOKUP(A:A,Sheet1!A:A,Sheet1!P:P)</f>
        <v>Yes</v>
      </c>
      <c r="L478" s="12">
        <f>_xlfn.XLOOKUP(A:A,Sheet1!A:A,Sheet1!S:S)</f>
        <v>0.79269417475728277</v>
      </c>
    </row>
    <row r="479" spans="1:12" x14ac:dyDescent="0.35">
      <c r="A479" s="8" t="s">
        <v>989</v>
      </c>
      <c r="B479" s="2" t="str">
        <f>_xlfn.XLOOKUP(A479,Sheet1!A:A,Sheet1!B:B)</f>
        <v>Matthew Gay</v>
      </c>
      <c r="C479" s="2" t="str">
        <f>_xlfn.XLOOKUP(A:A,Sheet1!A:A,Sheet1!D:D)</f>
        <v>Male</v>
      </c>
      <c r="D479" s="8">
        <f>_xlfn.XLOOKUP(A:A,Sheet1!A:A,Sheet1!F:F)</f>
        <v>56</v>
      </c>
      <c r="E479" s="2" t="str">
        <f>_xlfn.XLOOKUP(A:A,Sheet1!A:A,Sheet1!G:G)</f>
        <v>Netherlands</v>
      </c>
      <c r="F479" s="8" t="str">
        <f>_xlfn.XLOOKUP(A:A,Sheet1!A:A,Sheet1!H:H)</f>
        <v>Dutch</v>
      </c>
      <c r="G479" s="8" t="str">
        <f>_xlfn.XLOOKUP(A:A,Sheet1!A:A,Sheet1!I:I)</f>
        <v>DevOps</v>
      </c>
      <c r="H479" s="8">
        <f>_xlfn.XLOOKUP(A:A,Sheet1!A:A,Sheet1!K:K)</f>
        <v>16</v>
      </c>
      <c r="I479" s="9">
        <f>_xlfn.XLOOKUP(A:A,Sheet1!A:A,Sheet1!M:M)</f>
        <v>30</v>
      </c>
      <c r="J479" s="11">
        <v>0</v>
      </c>
      <c r="K479" t="str">
        <f>_xlfn.XLOOKUP(A:A,Sheet1!A:A,Sheet1!P:P)</f>
        <v>Yes</v>
      </c>
      <c r="L479" s="12">
        <f>_xlfn.XLOOKUP(A:A,Sheet1!A:A,Sheet1!S:S)</f>
        <v>0.79269417475728277</v>
      </c>
    </row>
    <row r="480" spans="1:12" x14ac:dyDescent="0.35">
      <c r="A480" s="8" t="s">
        <v>991</v>
      </c>
      <c r="B480" s="2" t="str">
        <f>_xlfn.XLOOKUP(A480,Sheet1!A:A,Sheet1!B:B)</f>
        <v>Cheryl Freeman</v>
      </c>
      <c r="C480" s="2" t="str">
        <f>_xlfn.XLOOKUP(A:A,Sheet1!A:A,Sheet1!D:D)</f>
        <v>Female</v>
      </c>
      <c r="D480" s="8">
        <f>_xlfn.XLOOKUP(A:A,Sheet1!A:A,Sheet1!F:F)</f>
        <v>24</v>
      </c>
      <c r="E480" s="2" t="str">
        <f>_xlfn.XLOOKUP(A:A,Sheet1!A:A,Sheet1!G:G)</f>
        <v>Netherlands</v>
      </c>
      <c r="F480" s="8" t="str">
        <f>_xlfn.XLOOKUP(A:A,Sheet1!A:A,Sheet1!H:H)</f>
        <v>Dutch</v>
      </c>
      <c r="G480" s="8" t="str">
        <f>_xlfn.XLOOKUP(A:A,Sheet1!A:A,Sheet1!I:I)</f>
        <v>DevOps</v>
      </c>
      <c r="H480" s="8">
        <f>_xlfn.XLOOKUP(A:A,Sheet1!A:A,Sheet1!K:K)</f>
        <v>6</v>
      </c>
      <c r="I480" s="9">
        <f>_xlfn.XLOOKUP(A:A,Sheet1!A:A,Sheet1!M:M)</f>
        <v>30</v>
      </c>
      <c r="J480" s="11">
        <v>0</v>
      </c>
      <c r="K480" t="str">
        <f>_xlfn.XLOOKUP(A:A,Sheet1!A:A,Sheet1!P:P)</f>
        <v>Yes</v>
      </c>
      <c r="L480" s="12">
        <f>_xlfn.XLOOKUP(A:A,Sheet1!A:A,Sheet1!S:S)</f>
        <v>0.84</v>
      </c>
    </row>
    <row r="481" spans="1:12" x14ac:dyDescent="0.35">
      <c r="A481" s="8" t="s">
        <v>993</v>
      </c>
      <c r="B481" s="2" t="str">
        <f>_xlfn.XLOOKUP(A481,Sheet1!A:A,Sheet1!B:B)</f>
        <v>Patrick Welch</v>
      </c>
      <c r="C481" s="2" t="str">
        <f>_xlfn.XLOOKUP(A:A,Sheet1!A:A,Sheet1!D:D)</f>
        <v>Male</v>
      </c>
      <c r="D481" s="8">
        <f>_xlfn.XLOOKUP(A:A,Sheet1!A:A,Sheet1!F:F)</f>
        <v>48</v>
      </c>
      <c r="E481" s="2" t="str">
        <f>_xlfn.XLOOKUP(A:A,Sheet1!A:A,Sheet1!G:G)</f>
        <v>Canada</v>
      </c>
      <c r="F481" s="8" t="str">
        <f>_xlfn.XLOOKUP(A:A,Sheet1!A:A,Sheet1!H:H)</f>
        <v>English</v>
      </c>
      <c r="G481" s="8" t="str">
        <f>_xlfn.XLOOKUP(A:A,Sheet1!A:A,Sheet1!I:I)</f>
        <v>DevOps</v>
      </c>
      <c r="H481" s="8">
        <f>_xlfn.XLOOKUP(A:A,Sheet1!A:A,Sheet1!K:K)</f>
        <v>21</v>
      </c>
      <c r="I481" s="9">
        <f>_xlfn.XLOOKUP(A:A,Sheet1!A:A,Sheet1!M:M)</f>
        <v>75</v>
      </c>
      <c r="J481" s="10">
        <f>_xlfn.XLOOKUP(A:A,Sheet1!A:A,Sheet1!O:O)</f>
        <v>2.7</v>
      </c>
      <c r="K481" t="str">
        <f>_xlfn.XLOOKUP(A:A,Sheet1!A:A,Sheet1!P:P)</f>
        <v>Yes</v>
      </c>
      <c r="L481" s="12">
        <f>_xlfn.XLOOKUP(A:A,Sheet1!A:A,Sheet1!S:S)</f>
        <v>0.79269417475728277</v>
      </c>
    </row>
    <row r="482" spans="1:12" x14ac:dyDescent="0.35">
      <c r="A482" s="8" t="s">
        <v>995</v>
      </c>
      <c r="B482" s="2" t="str">
        <f>_xlfn.XLOOKUP(A482,Sheet1!A:A,Sheet1!B:B)</f>
        <v>Craig Levine</v>
      </c>
      <c r="C482" s="2" t="str">
        <f>_xlfn.XLOOKUP(A:A,Sheet1!A:A,Sheet1!D:D)</f>
        <v>Male</v>
      </c>
      <c r="D482" s="8">
        <f>_xlfn.XLOOKUP(A:A,Sheet1!A:A,Sheet1!F:F)</f>
        <v>59</v>
      </c>
      <c r="E482" s="2" t="str">
        <f>_xlfn.XLOOKUP(A:A,Sheet1!A:A,Sheet1!G:G)</f>
        <v>France</v>
      </c>
      <c r="F482" s="8" t="str">
        <f>_xlfn.XLOOKUP(A:A,Sheet1!A:A,Sheet1!H:H)</f>
        <v>French</v>
      </c>
      <c r="G482" s="8" t="str">
        <f>_xlfn.XLOOKUP(A:A,Sheet1!A:A,Sheet1!I:I)</f>
        <v>Cybersecurity</v>
      </c>
      <c r="H482" s="8">
        <f>_xlfn.XLOOKUP(A:A,Sheet1!A:A,Sheet1!K:K)</f>
        <v>13</v>
      </c>
      <c r="I482" s="9">
        <f>_xlfn.XLOOKUP(A:A,Sheet1!A:A,Sheet1!M:M)</f>
        <v>40</v>
      </c>
      <c r="J482" s="10">
        <f>_xlfn.XLOOKUP(A:A,Sheet1!A:A,Sheet1!O:O)</f>
        <v>2.4</v>
      </c>
      <c r="K482" t="str">
        <f>_xlfn.XLOOKUP(A:A,Sheet1!A:A,Sheet1!P:P)</f>
        <v>No</v>
      </c>
      <c r="L482" s="12">
        <f>_xlfn.XLOOKUP(A:A,Sheet1!A:A,Sheet1!S:S)</f>
        <v>0.65</v>
      </c>
    </row>
    <row r="483" spans="1:12" x14ac:dyDescent="0.35">
      <c r="A483" s="8" t="s">
        <v>997</v>
      </c>
      <c r="B483" s="2" t="str">
        <f>_xlfn.XLOOKUP(A483,Sheet1!A:A,Sheet1!B:B)</f>
        <v>Richard Harvey</v>
      </c>
      <c r="C483" s="2" t="str">
        <f>_xlfn.XLOOKUP(A:A,Sheet1!A:A,Sheet1!D:D)</f>
        <v>Male</v>
      </c>
      <c r="D483" s="8">
        <f>_xlfn.XLOOKUP(A:A,Sheet1!A:A,Sheet1!F:F)</f>
        <v>41</v>
      </c>
      <c r="E483" s="2" t="str">
        <f>_xlfn.XLOOKUP(A:A,Sheet1!A:A,Sheet1!G:G)</f>
        <v>United Kingdom</v>
      </c>
      <c r="F483" s="8" t="str">
        <f>_xlfn.XLOOKUP(A:A,Sheet1!A:A,Sheet1!H:H)</f>
        <v>English</v>
      </c>
      <c r="G483" s="8" t="str">
        <f>_xlfn.XLOOKUP(A:A,Sheet1!A:A,Sheet1!I:I)</f>
        <v>Web Development</v>
      </c>
      <c r="H483" s="8">
        <f>_xlfn.XLOOKUP(A:A,Sheet1!A:A,Sheet1!K:K)</f>
        <v>9</v>
      </c>
      <c r="I483" s="9">
        <f>_xlfn.XLOOKUP(A:A,Sheet1!A:A,Sheet1!M:M)</f>
        <v>40</v>
      </c>
      <c r="J483" s="10">
        <f>_xlfn.XLOOKUP(A:A,Sheet1!A:A,Sheet1!O:O)</f>
        <v>1.9</v>
      </c>
      <c r="K483" t="str">
        <f>_xlfn.XLOOKUP(A:A,Sheet1!A:A,Sheet1!P:P)</f>
        <v>Yes</v>
      </c>
      <c r="L483" s="12">
        <f>_xlfn.XLOOKUP(A:A,Sheet1!A:A,Sheet1!S:S)</f>
        <v>0.94</v>
      </c>
    </row>
    <row r="484" spans="1:12" x14ac:dyDescent="0.35">
      <c r="A484" s="8" t="s">
        <v>999</v>
      </c>
      <c r="B484" s="2" t="str">
        <f>_xlfn.XLOOKUP(A484,Sheet1!A:A,Sheet1!B:B)</f>
        <v>Bonnie Sherman</v>
      </c>
      <c r="C484" s="2" t="str">
        <f>_xlfn.XLOOKUP(A:A,Sheet1!A:A,Sheet1!D:D)</f>
        <v>Female</v>
      </c>
      <c r="D484" s="8">
        <f>_xlfn.XLOOKUP(A:A,Sheet1!A:A,Sheet1!F:F)</f>
        <v>41</v>
      </c>
      <c r="E484" s="2" t="str">
        <f>_xlfn.XLOOKUP(A:A,Sheet1!A:A,Sheet1!G:G)</f>
        <v>Netherlands</v>
      </c>
      <c r="F484" s="8" t="str">
        <f>_xlfn.XLOOKUP(A:A,Sheet1!A:A,Sheet1!H:H)</f>
        <v>Dutch</v>
      </c>
      <c r="G484" s="8" t="str">
        <f>_xlfn.XLOOKUP(A:A,Sheet1!A:A,Sheet1!I:I)</f>
        <v>Mobile Apps</v>
      </c>
      <c r="H484" s="8">
        <f>_xlfn.XLOOKUP(A:A,Sheet1!A:A,Sheet1!K:K)</f>
        <v>11</v>
      </c>
      <c r="I484" s="9">
        <f>_xlfn.XLOOKUP(A:A,Sheet1!A:A,Sheet1!M:M)</f>
        <v>20</v>
      </c>
      <c r="J484" s="10">
        <f>_xlfn.XLOOKUP(A:A,Sheet1!A:A,Sheet1!O:O)</f>
        <v>3.6</v>
      </c>
      <c r="K484" t="str">
        <f>_xlfn.XLOOKUP(A:A,Sheet1!A:A,Sheet1!P:P)</f>
        <v>No</v>
      </c>
      <c r="L484" s="12">
        <f>_xlfn.XLOOKUP(A:A,Sheet1!A:A,Sheet1!S:S)</f>
        <v>0.69</v>
      </c>
    </row>
    <row r="485" spans="1:12" x14ac:dyDescent="0.35">
      <c r="A485" s="8" t="s">
        <v>1001</v>
      </c>
      <c r="B485" s="2" t="str">
        <f>_xlfn.XLOOKUP(A485,Sheet1!A:A,Sheet1!B:B)</f>
        <v>Keith Trujillo</v>
      </c>
      <c r="C485" s="2" t="str">
        <f>_xlfn.XLOOKUP(A:A,Sheet1!A:A,Sheet1!D:D)</f>
        <v>Male</v>
      </c>
      <c r="D485" s="8">
        <f>_xlfn.XLOOKUP(A:A,Sheet1!A:A,Sheet1!F:F)</f>
        <v>25</v>
      </c>
      <c r="E485" s="2" t="str">
        <f>_xlfn.XLOOKUP(A:A,Sheet1!A:A,Sheet1!G:G)</f>
        <v>Netherlands</v>
      </c>
      <c r="F485" s="8" t="str">
        <f>_xlfn.XLOOKUP(A:A,Sheet1!A:A,Sheet1!H:H)</f>
        <v>Dutch</v>
      </c>
      <c r="G485" s="8" t="str">
        <f>_xlfn.XLOOKUP(A:A,Sheet1!A:A,Sheet1!I:I)</f>
        <v>Mobile Apps</v>
      </c>
      <c r="H485" s="8">
        <f>_xlfn.XLOOKUP(A:A,Sheet1!A:A,Sheet1!K:K)</f>
        <v>0</v>
      </c>
      <c r="I485" s="9">
        <f>_xlfn.XLOOKUP(A:A,Sheet1!A:A,Sheet1!M:M)</f>
        <v>50</v>
      </c>
      <c r="J485" s="10">
        <f>_xlfn.XLOOKUP(A:A,Sheet1!A:A,Sheet1!O:O)</f>
        <v>2.9</v>
      </c>
      <c r="K485" t="str">
        <f>_xlfn.XLOOKUP(A:A,Sheet1!A:A,Sheet1!P:P)</f>
        <v>Yes</v>
      </c>
      <c r="L485" s="12">
        <f>_xlfn.XLOOKUP(A:A,Sheet1!A:A,Sheet1!S:S)</f>
        <v>0.65</v>
      </c>
    </row>
    <row r="486" spans="1:12" x14ac:dyDescent="0.35">
      <c r="A486" s="8" t="s">
        <v>1003</v>
      </c>
      <c r="B486" s="2" t="str">
        <f>_xlfn.XLOOKUP(A486,Sheet1!A:A,Sheet1!B:B)</f>
        <v>Corey Combs</v>
      </c>
      <c r="C486" s="2" t="str">
        <f>_xlfn.XLOOKUP(A:A,Sheet1!A:A,Sheet1!D:D)</f>
        <v>Male</v>
      </c>
      <c r="D486" s="8">
        <f>_xlfn.XLOOKUP(A:A,Sheet1!A:A,Sheet1!F:F)</f>
        <v>31</v>
      </c>
      <c r="E486" s="2" t="str">
        <f>_xlfn.XLOOKUP(A:A,Sheet1!A:A,Sheet1!G:G)</f>
        <v>Egypt</v>
      </c>
      <c r="F486" s="8" t="str">
        <f>_xlfn.XLOOKUP(A:A,Sheet1!A:A,Sheet1!H:H)</f>
        <v>Arabic</v>
      </c>
      <c r="G486" s="8" t="str">
        <f>_xlfn.XLOOKUP(A:A,Sheet1!A:A,Sheet1!I:I)</f>
        <v>Mobile Apps</v>
      </c>
      <c r="H486" s="8">
        <f>_xlfn.XLOOKUP(A:A,Sheet1!A:A,Sheet1!K:K)</f>
        <v>2</v>
      </c>
      <c r="I486" s="9">
        <f>_xlfn.XLOOKUP(A:A,Sheet1!A:A,Sheet1!M:M)</f>
        <v>75</v>
      </c>
      <c r="J486" s="10">
        <f>_xlfn.XLOOKUP(A:A,Sheet1!A:A,Sheet1!O:O)</f>
        <v>2.8</v>
      </c>
      <c r="K486" t="str">
        <f>_xlfn.XLOOKUP(A:A,Sheet1!A:A,Sheet1!P:P)</f>
        <v>No</v>
      </c>
      <c r="L486" s="12">
        <f>_xlfn.XLOOKUP(A:A,Sheet1!A:A,Sheet1!S:S)</f>
        <v>0.6</v>
      </c>
    </row>
    <row r="487" spans="1:12" x14ac:dyDescent="0.35">
      <c r="A487" s="8" t="s">
        <v>1005</v>
      </c>
      <c r="B487" s="2" t="str">
        <f>_xlfn.XLOOKUP(A487,Sheet1!A:A,Sheet1!B:B)</f>
        <v>Antonio King</v>
      </c>
      <c r="C487" s="2" t="str">
        <f>_xlfn.XLOOKUP(A:A,Sheet1!A:A,Sheet1!D:D)</f>
        <v>Male</v>
      </c>
      <c r="D487" s="8">
        <f>_xlfn.XLOOKUP(A:A,Sheet1!A:A,Sheet1!F:F)</f>
        <v>40</v>
      </c>
      <c r="E487" s="2" t="str">
        <f>_xlfn.XLOOKUP(A:A,Sheet1!A:A,Sheet1!G:G)</f>
        <v>Turkey</v>
      </c>
      <c r="F487" s="8" t="str">
        <f>_xlfn.XLOOKUP(A:A,Sheet1!A:A,Sheet1!H:H)</f>
        <v>Turkish</v>
      </c>
      <c r="G487" s="8" t="str">
        <f>_xlfn.XLOOKUP(A:A,Sheet1!A:A,Sheet1!I:I)</f>
        <v>DevOps</v>
      </c>
      <c r="H487" s="8">
        <f>_xlfn.XLOOKUP(A:A,Sheet1!A:A,Sheet1!K:K)</f>
        <v>12</v>
      </c>
      <c r="I487" s="9">
        <f>_xlfn.XLOOKUP(A:A,Sheet1!A:A,Sheet1!M:M)</f>
        <v>75</v>
      </c>
      <c r="J487" s="10">
        <f>_xlfn.XLOOKUP(A:A,Sheet1!A:A,Sheet1!O:O)</f>
        <v>2.6</v>
      </c>
      <c r="K487" t="str">
        <f>_xlfn.XLOOKUP(A:A,Sheet1!A:A,Sheet1!P:P)</f>
        <v>No</v>
      </c>
      <c r="L487" s="12">
        <f>_xlfn.XLOOKUP(A:A,Sheet1!A:A,Sheet1!S:S)</f>
        <v>0.79269417475728277</v>
      </c>
    </row>
    <row r="488" spans="1:12" x14ac:dyDescent="0.35">
      <c r="A488" s="8" t="s">
        <v>1007</v>
      </c>
      <c r="B488" s="2" t="str">
        <f>_xlfn.XLOOKUP(A488,Sheet1!A:A,Sheet1!B:B)</f>
        <v>Amy Lee</v>
      </c>
      <c r="C488" s="2" t="str">
        <f>_xlfn.XLOOKUP(A:A,Sheet1!A:A,Sheet1!D:D)</f>
        <v>Female</v>
      </c>
      <c r="D488" s="8">
        <f>_xlfn.XLOOKUP(A:A,Sheet1!A:A,Sheet1!F:F)</f>
        <v>48</v>
      </c>
      <c r="E488" s="2" t="str">
        <f>_xlfn.XLOOKUP(A:A,Sheet1!A:A,Sheet1!G:G)</f>
        <v>Russia</v>
      </c>
      <c r="F488" s="8" t="str">
        <f>_xlfn.XLOOKUP(A:A,Sheet1!A:A,Sheet1!H:H)</f>
        <v>Russian</v>
      </c>
      <c r="G488" s="8" t="str">
        <f>_xlfn.XLOOKUP(A:A,Sheet1!A:A,Sheet1!I:I)</f>
        <v>Blockchain Development</v>
      </c>
      <c r="H488" s="8">
        <f>_xlfn.XLOOKUP(A:A,Sheet1!A:A,Sheet1!K:K)</f>
        <v>13</v>
      </c>
      <c r="I488" s="9">
        <f>_xlfn.XLOOKUP(A:A,Sheet1!A:A,Sheet1!M:M)</f>
        <v>100</v>
      </c>
      <c r="J488" s="10">
        <f>_xlfn.XLOOKUP(A:A,Sheet1!A:A,Sheet1!O:O)</f>
        <v>2.7</v>
      </c>
      <c r="K488" t="str">
        <f>_xlfn.XLOOKUP(A:A,Sheet1!A:A,Sheet1!P:P)</f>
        <v>No</v>
      </c>
      <c r="L488" s="12">
        <f>_xlfn.XLOOKUP(A:A,Sheet1!A:A,Sheet1!S:S)</f>
        <v>0.62</v>
      </c>
    </row>
    <row r="489" spans="1:12" x14ac:dyDescent="0.35">
      <c r="A489" s="8" t="s">
        <v>1008</v>
      </c>
      <c r="B489" s="2" t="str">
        <f>_xlfn.XLOOKUP(A489,Sheet1!A:A,Sheet1!B:B)</f>
        <v>Jennifer Rogers</v>
      </c>
      <c r="C489" s="2" t="str">
        <f>_xlfn.XLOOKUP(A:A,Sheet1!A:A,Sheet1!D:D)</f>
        <v>Female</v>
      </c>
      <c r="D489" s="8">
        <f>_xlfn.XLOOKUP(A:A,Sheet1!A:A,Sheet1!F:F)</f>
        <v>24</v>
      </c>
      <c r="E489" s="2" t="str">
        <f>_xlfn.XLOOKUP(A:A,Sheet1!A:A,Sheet1!G:G)</f>
        <v>South Africa</v>
      </c>
      <c r="F489" s="8" t="str">
        <f>_xlfn.XLOOKUP(A:A,Sheet1!A:A,Sheet1!H:H)</f>
        <v>Afrikaans</v>
      </c>
      <c r="G489" s="8" t="str">
        <f>_xlfn.XLOOKUP(A:A,Sheet1!A:A,Sheet1!I:I)</f>
        <v>Mobile Apps</v>
      </c>
      <c r="H489" s="8">
        <f>_xlfn.XLOOKUP(A:A,Sheet1!A:A,Sheet1!K:K)</f>
        <v>6</v>
      </c>
      <c r="I489" s="9">
        <f>_xlfn.XLOOKUP(A:A,Sheet1!A:A,Sheet1!M:M)</f>
        <v>30</v>
      </c>
      <c r="J489" s="10">
        <f>_xlfn.XLOOKUP(A:A,Sheet1!A:A,Sheet1!O:O)</f>
        <v>1.1000000000000001</v>
      </c>
      <c r="K489" t="str">
        <f>_xlfn.XLOOKUP(A:A,Sheet1!A:A,Sheet1!P:P)</f>
        <v>Yes</v>
      </c>
      <c r="L489" s="12">
        <f>_xlfn.XLOOKUP(A:A,Sheet1!A:A,Sheet1!S:S)</f>
        <v>0.79269417475728277</v>
      </c>
    </row>
    <row r="490" spans="1:12" x14ac:dyDescent="0.35">
      <c r="A490" s="8" t="s">
        <v>1010</v>
      </c>
      <c r="B490" s="2" t="str">
        <f>_xlfn.XLOOKUP(A490,Sheet1!A:A,Sheet1!B:B)</f>
        <v>Jeffrey Cooper</v>
      </c>
      <c r="C490" s="2" t="str">
        <f>_xlfn.XLOOKUP(A:A,Sheet1!A:A,Sheet1!D:D)</f>
        <v>Male</v>
      </c>
      <c r="D490" s="8">
        <f>_xlfn.XLOOKUP(A:A,Sheet1!A:A,Sheet1!F:F)</f>
        <v>33</v>
      </c>
      <c r="E490" s="2" t="str">
        <f>_xlfn.XLOOKUP(A:A,Sheet1!A:A,Sheet1!G:G)</f>
        <v>Indonesia</v>
      </c>
      <c r="F490" s="8" t="str">
        <f>_xlfn.XLOOKUP(A:A,Sheet1!A:A,Sheet1!H:H)</f>
        <v>Indonesian</v>
      </c>
      <c r="G490" s="8" t="str">
        <f>_xlfn.XLOOKUP(A:A,Sheet1!A:A,Sheet1!I:I)</f>
        <v>Web Development</v>
      </c>
      <c r="H490" s="8">
        <f>_xlfn.XLOOKUP(A:A,Sheet1!A:A,Sheet1!K:K)</f>
        <v>10</v>
      </c>
      <c r="I490" s="9">
        <f>_xlfn.XLOOKUP(A:A,Sheet1!A:A,Sheet1!M:M)</f>
        <v>30</v>
      </c>
      <c r="J490" s="11">
        <v>0</v>
      </c>
      <c r="K490" t="str">
        <f>_xlfn.XLOOKUP(A:A,Sheet1!A:A,Sheet1!P:P)</f>
        <v>Yes</v>
      </c>
      <c r="L490" s="12">
        <f>_xlfn.XLOOKUP(A:A,Sheet1!A:A,Sheet1!S:S)</f>
        <v>0.89</v>
      </c>
    </row>
    <row r="491" spans="1:12" x14ac:dyDescent="0.35">
      <c r="A491" s="8" t="s">
        <v>1012</v>
      </c>
      <c r="B491" s="2" t="str">
        <f>_xlfn.XLOOKUP(A491,Sheet1!A:A,Sheet1!B:B)</f>
        <v>Allison Williams</v>
      </c>
      <c r="C491" s="2" t="str">
        <f>_xlfn.XLOOKUP(A:A,Sheet1!A:A,Sheet1!D:D)</f>
        <v>Female</v>
      </c>
      <c r="D491" s="8">
        <f>_xlfn.XLOOKUP(A:A,Sheet1!A:A,Sheet1!F:F)</f>
        <v>43</v>
      </c>
      <c r="E491" s="2" t="str">
        <f>_xlfn.XLOOKUP(A:A,Sheet1!A:A,Sheet1!G:G)</f>
        <v>Brazil</v>
      </c>
      <c r="F491" s="8" t="str">
        <f>_xlfn.XLOOKUP(A:A,Sheet1!A:A,Sheet1!H:H)</f>
        <v>Portuguese</v>
      </c>
      <c r="G491" s="8" t="str">
        <f>_xlfn.XLOOKUP(A:A,Sheet1!A:A,Sheet1!I:I)</f>
        <v>UI/UX Design</v>
      </c>
      <c r="H491" s="8">
        <f>_xlfn.XLOOKUP(A:A,Sheet1!A:A,Sheet1!K:K)</f>
        <v>2</v>
      </c>
      <c r="I491" s="9">
        <f>_xlfn.XLOOKUP(A:A,Sheet1!A:A,Sheet1!M:M)</f>
        <v>40</v>
      </c>
      <c r="J491" s="11">
        <v>0</v>
      </c>
      <c r="K491" t="str">
        <f>_xlfn.XLOOKUP(A:A,Sheet1!A:A,Sheet1!P:P)</f>
        <v>Yes</v>
      </c>
      <c r="L491" s="12">
        <f>_xlfn.XLOOKUP(A:A,Sheet1!A:A,Sheet1!S:S)</f>
        <v>0.89</v>
      </c>
    </row>
    <row r="492" spans="1:12" x14ac:dyDescent="0.35">
      <c r="A492" s="8" t="s">
        <v>1014</v>
      </c>
      <c r="B492" s="2" t="str">
        <f>_xlfn.XLOOKUP(A492,Sheet1!A:A,Sheet1!B:B)</f>
        <v>Raymond Sherman</v>
      </c>
      <c r="C492" s="2" t="str">
        <f>_xlfn.XLOOKUP(A:A,Sheet1!A:A,Sheet1!D:D)</f>
        <v>Male</v>
      </c>
      <c r="D492" s="8">
        <f>_xlfn.XLOOKUP(A:A,Sheet1!A:A,Sheet1!F:F)</f>
        <v>43</v>
      </c>
      <c r="E492" s="2" t="str">
        <f>_xlfn.XLOOKUP(A:A,Sheet1!A:A,Sheet1!G:G)</f>
        <v>Spain</v>
      </c>
      <c r="F492" s="8" t="str">
        <f>_xlfn.XLOOKUP(A:A,Sheet1!A:A,Sheet1!H:H)</f>
        <v>Spanish</v>
      </c>
      <c r="G492" s="8" t="str">
        <f>_xlfn.XLOOKUP(A:A,Sheet1!A:A,Sheet1!I:I)</f>
        <v>Blockchain Development</v>
      </c>
      <c r="H492" s="8">
        <f>_xlfn.XLOOKUP(A:A,Sheet1!A:A,Sheet1!K:K)</f>
        <v>4</v>
      </c>
      <c r="I492" s="9">
        <f>_xlfn.XLOOKUP(A:A,Sheet1!A:A,Sheet1!M:M)</f>
        <v>50</v>
      </c>
      <c r="J492" s="11">
        <v>0</v>
      </c>
      <c r="K492" t="str">
        <f>_xlfn.XLOOKUP(A:A,Sheet1!A:A,Sheet1!P:P)</f>
        <v>Yes</v>
      </c>
      <c r="L492" s="12">
        <f>_xlfn.XLOOKUP(A:A,Sheet1!A:A,Sheet1!S:S)</f>
        <v>1</v>
      </c>
    </row>
    <row r="493" spans="1:12" x14ac:dyDescent="0.35">
      <c r="A493" s="8" t="s">
        <v>1016</v>
      </c>
      <c r="B493" s="2" t="str">
        <f>_xlfn.XLOOKUP(A493,Sheet1!A:A,Sheet1!B:B)</f>
        <v>Jennifer Nelson</v>
      </c>
      <c r="C493" s="2" t="str">
        <f>_xlfn.XLOOKUP(A:A,Sheet1!A:A,Sheet1!D:D)</f>
        <v>Female</v>
      </c>
      <c r="D493" s="8">
        <f>_xlfn.XLOOKUP(A:A,Sheet1!A:A,Sheet1!F:F)</f>
        <v>33</v>
      </c>
      <c r="E493" s="2" t="str">
        <f>_xlfn.XLOOKUP(A:A,Sheet1!A:A,Sheet1!G:G)</f>
        <v>Australia</v>
      </c>
      <c r="F493" s="8" t="str">
        <f>_xlfn.XLOOKUP(A:A,Sheet1!A:A,Sheet1!H:H)</f>
        <v>English</v>
      </c>
      <c r="G493" s="8" t="str">
        <f>_xlfn.XLOOKUP(A:A,Sheet1!A:A,Sheet1!I:I)</f>
        <v>Web Development</v>
      </c>
      <c r="H493" s="8">
        <f>_xlfn.XLOOKUP(A:A,Sheet1!A:A,Sheet1!K:K)</f>
        <v>11</v>
      </c>
      <c r="I493" s="9">
        <f>_xlfn.XLOOKUP(A:A,Sheet1!A:A,Sheet1!M:M)</f>
        <v>40</v>
      </c>
      <c r="J493" s="10">
        <f>_xlfn.XLOOKUP(A:A,Sheet1!A:A,Sheet1!O:O)</f>
        <v>4.5999999999999996</v>
      </c>
      <c r="K493" t="str">
        <f>_xlfn.XLOOKUP(A:A,Sheet1!A:A,Sheet1!P:P)</f>
        <v>Yes</v>
      </c>
      <c r="L493" s="12">
        <f>_xlfn.XLOOKUP(A:A,Sheet1!A:A,Sheet1!S:S)</f>
        <v>0.79269417475728277</v>
      </c>
    </row>
    <row r="494" spans="1:12" x14ac:dyDescent="0.35">
      <c r="A494" s="8" t="s">
        <v>1018</v>
      </c>
      <c r="B494" s="2" t="str">
        <f>_xlfn.XLOOKUP(A494,Sheet1!A:A,Sheet1!B:B)</f>
        <v>Jennifer Carter</v>
      </c>
      <c r="C494" s="2" t="str">
        <f>_xlfn.XLOOKUP(A:A,Sheet1!A:A,Sheet1!D:D)</f>
        <v>Female</v>
      </c>
      <c r="D494" s="8">
        <f>_xlfn.XLOOKUP(A:A,Sheet1!A:A,Sheet1!F:F)</f>
        <v>49</v>
      </c>
      <c r="E494" s="2" t="str">
        <f>_xlfn.XLOOKUP(A:A,Sheet1!A:A,Sheet1!G:G)</f>
        <v>Russia</v>
      </c>
      <c r="F494" s="8" t="str">
        <f>_xlfn.XLOOKUP(A:A,Sheet1!A:A,Sheet1!H:H)</f>
        <v>Russian</v>
      </c>
      <c r="G494" s="8" t="str">
        <f>_xlfn.XLOOKUP(A:A,Sheet1!A:A,Sheet1!I:I)</f>
        <v>UI/UX Design</v>
      </c>
      <c r="H494" s="8">
        <f>_xlfn.XLOOKUP(A:A,Sheet1!A:A,Sheet1!K:K)</f>
        <v>14</v>
      </c>
      <c r="I494" s="9">
        <f>_xlfn.XLOOKUP(A:A,Sheet1!A:A,Sheet1!M:M)</f>
        <v>40</v>
      </c>
      <c r="J494" s="10">
        <f>_xlfn.XLOOKUP(A:A,Sheet1!A:A,Sheet1!O:O)</f>
        <v>1.5</v>
      </c>
      <c r="K494" t="str">
        <f>_xlfn.XLOOKUP(A:A,Sheet1!A:A,Sheet1!P:P)</f>
        <v>No</v>
      </c>
      <c r="L494" s="12">
        <f>_xlfn.XLOOKUP(A:A,Sheet1!A:A,Sheet1!S:S)</f>
        <v>0.6</v>
      </c>
    </row>
    <row r="495" spans="1:12" x14ac:dyDescent="0.35">
      <c r="A495" s="8" t="s">
        <v>1020</v>
      </c>
      <c r="B495" s="2" t="str">
        <f>_xlfn.XLOOKUP(A495,Sheet1!A:A,Sheet1!B:B)</f>
        <v>Todd Williams</v>
      </c>
      <c r="C495" s="2" t="str">
        <f>_xlfn.XLOOKUP(A:A,Sheet1!A:A,Sheet1!D:D)</f>
        <v>Male</v>
      </c>
      <c r="D495" s="8">
        <f>_xlfn.XLOOKUP(A:A,Sheet1!A:A,Sheet1!F:F)</f>
        <v>55</v>
      </c>
      <c r="E495" s="2" t="str">
        <f>_xlfn.XLOOKUP(A:A,Sheet1!A:A,Sheet1!G:G)</f>
        <v>Canada</v>
      </c>
      <c r="F495" s="8" t="str">
        <f>_xlfn.XLOOKUP(A:A,Sheet1!A:A,Sheet1!H:H)</f>
        <v>English</v>
      </c>
      <c r="G495" s="8" t="str">
        <f>_xlfn.XLOOKUP(A:A,Sheet1!A:A,Sheet1!I:I)</f>
        <v>UI/UX Design</v>
      </c>
      <c r="H495" s="8">
        <f>_xlfn.XLOOKUP(A:A,Sheet1!A:A,Sheet1!K:K)</f>
        <v>10</v>
      </c>
      <c r="I495" s="9">
        <f>_xlfn.XLOOKUP(A:A,Sheet1!A:A,Sheet1!M:M)</f>
        <v>40</v>
      </c>
      <c r="J495" s="10">
        <f>_xlfn.XLOOKUP(A:A,Sheet1!A:A,Sheet1!O:O)</f>
        <v>2</v>
      </c>
      <c r="K495" t="str">
        <f>_xlfn.XLOOKUP(A:A,Sheet1!A:A,Sheet1!P:P)</f>
        <v>No</v>
      </c>
      <c r="L495" s="12">
        <f>_xlfn.XLOOKUP(A:A,Sheet1!A:A,Sheet1!S:S)</f>
        <v>0.85</v>
      </c>
    </row>
    <row r="496" spans="1:12" x14ac:dyDescent="0.35">
      <c r="A496" s="8" t="s">
        <v>1022</v>
      </c>
      <c r="B496" s="2" t="str">
        <f>_xlfn.XLOOKUP(A496,Sheet1!A:A,Sheet1!B:B)</f>
        <v>Emily Horton</v>
      </c>
      <c r="C496" s="2" t="str">
        <f>_xlfn.XLOOKUP(A:A,Sheet1!A:A,Sheet1!D:D)</f>
        <v>Female</v>
      </c>
      <c r="D496" s="8">
        <f>_xlfn.XLOOKUP(A:A,Sheet1!A:A,Sheet1!F:F)</f>
        <v>33</v>
      </c>
      <c r="E496" s="2" t="str">
        <f>_xlfn.XLOOKUP(A:A,Sheet1!A:A,Sheet1!G:G)</f>
        <v>South Korea</v>
      </c>
      <c r="F496" s="8" t="str">
        <f>_xlfn.XLOOKUP(A:A,Sheet1!A:A,Sheet1!H:H)</f>
        <v>Korean</v>
      </c>
      <c r="G496" s="8" t="str">
        <f>_xlfn.XLOOKUP(A:A,Sheet1!A:A,Sheet1!I:I)</f>
        <v>Graphic Design</v>
      </c>
      <c r="H496" s="8">
        <f>_xlfn.XLOOKUP(A:A,Sheet1!A:A,Sheet1!K:K)</f>
        <v>3</v>
      </c>
      <c r="I496" s="9">
        <f>_xlfn.XLOOKUP(A:A,Sheet1!A:A,Sheet1!M:M)</f>
        <v>40</v>
      </c>
      <c r="J496" s="10">
        <f>_xlfn.XLOOKUP(A:A,Sheet1!A:A,Sheet1!O:O)</f>
        <v>1.6</v>
      </c>
      <c r="K496" t="str">
        <f>_xlfn.XLOOKUP(A:A,Sheet1!A:A,Sheet1!P:P)</f>
        <v>No</v>
      </c>
      <c r="L496" s="12">
        <f>_xlfn.XLOOKUP(A:A,Sheet1!A:A,Sheet1!S:S)</f>
        <v>0.83</v>
      </c>
    </row>
    <row r="497" spans="1:12" x14ac:dyDescent="0.35">
      <c r="A497" s="8" t="s">
        <v>1024</v>
      </c>
      <c r="B497" s="2" t="str">
        <f>_xlfn.XLOOKUP(A497,Sheet1!A:A,Sheet1!B:B)</f>
        <v>Lance Lester</v>
      </c>
      <c r="C497" s="2" t="str">
        <f>_xlfn.XLOOKUP(A:A,Sheet1!A:A,Sheet1!D:D)</f>
        <v>Male</v>
      </c>
      <c r="D497" s="8">
        <f>_xlfn.XLOOKUP(A:A,Sheet1!A:A,Sheet1!F:F)</f>
        <v>32</v>
      </c>
      <c r="E497" s="2" t="str">
        <f>_xlfn.XLOOKUP(A:A,Sheet1!A:A,Sheet1!G:G)</f>
        <v>Argentina</v>
      </c>
      <c r="F497" s="8" t="str">
        <f>_xlfn.XLOOKUP(A:A,Sheet1!A:A,Sheet1!H:H)</f>
        <v>Spanish</v>
      </c>
      <c r="G497" s="8" t="str">
        <f>_xlfn.XLOOKUP(A:A,Sheet1!A:A,Sheet1!I:I)</f>
        <v>AI</v>
      </c>
      <c r="H497" s="8">
        <f>_xlfn.XLOOKUP(A:A,Sheet1!A:A,Sheet1!K:K)</f>
        <v>3</v>
      </c>
      <c r="I497" s="9">
        <f>_xlfn.XLOOKUP(A:A,Sheet1!A:A,Sheet1!M:M)</f>
        <v>30</v>
      </c>
      <c r="J497" s="10">
        <f>_xlfn.XLOOKUP(A:A,Sheet1!A:A,Sheet1!O:O)</f>
        <v>1.5</v>
      </c>
      <c r="K497" t="str">
        <f>_xlfn.XLOOKUP(A:A,Sheet1!A:A,Sheet1!P:P)</f>
        <v>No</v>
      </c>
      <c r="L497" s="12">
        <f>_xlfn.XLOOKUP(A:A,Sheet1!A:A,Sheet1!S:S)</f>
        <v>0.96</v>
      </c>
    </row>
    <row r="498" spans="1:12" x14ac:dyDescent="0.35">
      <c r="A498" s="8" t="s">
        <v>1026</v>
      </c>
      <c r="B498" s="2" t="str">
        <f>_xlfn.XLOOKUP(A498,Sheet1!A:A,Sheet1!B:B)</f>
        <v>Kevin Flores</v>
      </c>
      <c r="C498" s="2" t="str">
        <f>_xlfn.XLOOKUP(A:A,Sheet1!A:A,Sheet1!D:D)</f>
        <v>Male</v>
      </c>
      <c r="D498" s="8">
        <f>_xlfn.XLOOKUP(A:A,Sheet1!A:A,Sheet1!F:F)</f>
        <v>58</v>
      </c>
      <c r="E498" s="2" t="str">
        <f>_xlfn.XLOOKUP(A:A,Sheet1!A:A,Sheet1!G:G)</f>
        <v>Netherlands</v>
      </c>
      <c r="F498" s="8" t="str">
        <f>_xlfn.XLOOKUP(A:A,Sheet1!A:A,Sheet1!H:H)</f>
        <v>Dutch</v>
      </c>
      <c r="G498" s="8" t="str">
        <f>_xlfn.XLOOKUP(A:A,Sheet1!A:A,Sheet1!I:I)</f>
        <v>Blockchain Development</v>
      </c>
      <c r="H498" s="8">
        <f>_xlfn.XLOOKUP(A:A,Sheet1!A:A,Sheet1!K:K)</f>
        <v>33</v>
      </c>
      <c r="I498" s="9">
        <f>_xlfn.XLOOKUP(A:A,Sheet1!A:A,Sheet1!M:M)</f>
        <v>40</v>
      </c>
      <c r="J498" s="10">
        <f>_xlfn.XLOOKUP(A:A,Sheet1!A:A,Sheet1!O:O)</f>
        <v>4.0999999999999996</v>
      </c>
      <c r="K498" t="str">
        <f>_xlfn.XLOOKUP(A:A,Sheet1!A:A,Sheet1!P:P)</f>
        <v>Yes</v>
      </c>
      <c r="L498" s="12">
        <f>_xlfn.XLOOKUP(A:A,Sheet1!A:A,Sheet1!S:S)</f>
        <v>0.83</v>
      </c>
    </row>
    <row r="499" spans="1:12" x14ac:dyDescent="0.35">
      <c r="A499" s="8" t="s">
        <v>1028</v>
      </c>
      <c r="B499" s="2" t="str">
        <f>_xlfn.XLOOKUP(A499,Sheet1!A:A,Sheet1!B:B)</f>
        <v xml:space="preserve">Aaron Stewart </v>
      </c>
      <c r="C499" s="2" t="str">
        <f>_xlfn.XLOOKUP(A:A,Sheet1!A:A,Sheet1!D:D)</f>
        <v>Male</v>
      </c>
      <c r="D499" s="8">
        <f>_xlfn.XLOOKUP(A:A,Sheet1!A:A,Sheet1!F:F)</f>
        <v>49</v>
      </c>
      <c r="E499" s="2" t="str">
        <f>_xlfn.XLOOKUP(A:A,Sheet1!A:A,Sheet1!G:G)</f>
        <v>Indonesia</v>
      </c>
      <c r="F499" s="8" t="str">
        <f>_xlfn.XLOOKUP(A:A,Sheet1!A:A,Sheet1!H:H)</f>
        <v>Indonesian</v>
      </c>
      <c r="G499" s="8" t="str">
        <f>_xlfn.XLOOKUP(A:A,Sheet1!A:A,Sheet1!I:I)</f>
        <v>Data Analysis</v>
      </c>
      <c r="H499" s="8">
        <f>_xlfn.XLOOKUP(A:A,Sheet1!A:A,Sheet1!K:K)</f>
        <v>24</v>
      </c>
      <c r="I499" s="9">
        <f>_xlfn.XLOOKUP(A:A,Sheet1!A:A,Sheet1!M:M)</f>
        <v>100</v>
      </c>
      <c r="J499" s="10">
        <f>_xlfn.XLOOKUP(A:A,Sheet1!A:A,Sheet1!O:O)</f>
        <v>4.7</v>
      </c>
      <c r="K499" t="str">
        <f>_xlfn.XLOOKUP(A:A,Sheet1!A:A,Sheet1!P:P)</f>
        <v>No</v>
      </c>
      <c r="L499" s="12">
        <f>_xlfn.XLOOKUP(A:A,Sheet1!A:A,Sheet1!S:S)</f>
        <v>0.6</v>
      </c>
    </row>
    <row r="500" spans="1:12" x14ac:dyDescent="0.35">
      <c r="A500" s="8" t="s">
        <v>1029</v>
      </c>
      <c r="B500" s="2" t="str">
        <f>_xlfn.XLOOKUP(A500,Sheet1!A:A,Sheet1!B:B)</f>
        <v>Robin Moore</v>
      </c>
      <c r="C500" s="2" t="str">
        <f>_xlfn.XLOOKUP(A:A,Sheet1!A:A,Sheet1!D:D)</f>
        <v>Female</v>
      </c>
      <c r="D500" s="8">
        <f>_xlfn.XLOOKUP(A:A,Sheet1!A:A,Sheet1!F:F)</f>
        <v>22</v>
      </c>
      <c r="E500" s="2" t="str">
        <f>_xlfn.XLOOKUP(A:A,Sheet1!A:A,Sheet1!G:G)</f>
        <v>Russia</v>
      </c>
      <c r="F500" s="8" t="str">
        <f>_xlfn.XLOOKUP(A:A,Sheet1!A:A,Sheet1!H:H)</f>
        <v>Russian</v>
      </c>
      <c r="G500" s="8" t="str">
        <f>_xlfn.XLOOKUP(A:A,Sheet1!A:A,Sheet1!I:I)</f>
        <v>UI/UX Design</v>
      </c>
      <c r="H500" s="8">
        <f>_xlfn.XLOOKUP(A:A,Sheet1!A:A,Sheet1!K:K)</f>
        <v>3</v>
      </c>
      <c r="I500" s="9">
        <f>_xlfn.XLOOKUP(A:A,Sheet1!A:A,Sheet1!M:M)</f>
        <v>100</v>
      </c>
      <c r="J500" s="10">
        <f>_xlfn.XLOOKUP(A:A,Sheet1!A:A,Sheet1!O:O)</f>
        <v>3.6</v>
      </c>
      <c r="K500" t="str">
        <f>_xlfn.XLOOKUP(A:A,Sheet1!A:A,Sheet1!P:P)</f>
        <v>Yes</v>
      </c>
      <c r="L500" s="12">
        <f>_xlfn.XLOOKUP(A:A,Sheet1!A:A,Sheet1!S:S)</f>
        <v>0.78</v>
      </c>
    </row>
    <row r="501" spans="1:12" x14ac:dyDescent="0.35">
      <c r="A501" s="8" t="s">
        <v>1031</v>
      </c>
      <c r="B501" s="2" t="str">
        <f>_xlfn.XLOOKUP(A501,Sheet1!A:A,Sheet1!B:B)</f>
        <v>Suzanne Ingram</v>
      </c>
      <c r="C501" s="2" t="str">
        <f>_xlfn.XLOOKUP(A:A,Sheet1!A:A,Sheet1!D:D)</f>
        <v>Female</v>
      </c>
      <c r="D501" s="8">
        <f>_xlfn.XLOOKUP(A:A,Sheet1!A:A,Sheet1!F:F)</f>
        <v>40</v>
      </c>
      <c r="E501" s="2" t="str">
        <f>_xlfn.XLOOKUP(A:A,Sheet1!A:A,Sheet1!G:G)</f>
        <v>Egypt</v>
      </c>
      <c r="F501" s="8" t="str">
        <f>_xlfn.XLOOKUP(A:A,Sheet1!A:A,Sheet1!H:H)</f>
        <v>Arabic</v>
      </c>
      <c r="G501" s="8" t="str">
        <f>_xlfn.XLOOKUP(A:A,Sheet1!A:A,Sheet1!I:I)</f>
        <v>Web Development</v>
      </c>
      <c r="H501" s="8">
        <f>_xlfn.XLOOKUP(A:A,Sheet1!A:A,Sheet1!K:K)</f>
        <v>11</v>
      </c>
      <c r="I501" s="9">
        <f>_xlfn.XLOOKUP(A:A,Sheet1!A:A,Sheet1!M:M)</f>
        <v>20</v>
      </c>
      <c r="J501" s="10">
        <f>_xlfn.XLOOKUP(A:A,Sheet1!A:A,Sheet1!O:O)</f>
        <v>1.8</v>
      </c>
      <c r="K501" t="str">
        <f>_xlfn.XLOOKUP(A:A,Sheet1!A:A,Sheet1!P:P)</f>
        <v>Yes</v>
      </c>
      <c r="L501" s="12">
        <f>_xlfn.XLOOKUP(A:A,Sheet1!A:A,Sheet1!S:S)</f>
        <v>0.9</v>
      </c>
    </row>
    <row r="502" spans="1:12" x14ac:dyDescent="0.35">
      <c r="A502" s="8" t="s">
        <v>1033</v>
      </c>
      <c r="B502" s="2" t="str">
        <f>_xlfn.XLOOKUP(A502,Sheet1!A:A,Sheet1!B:B)</f>
        <v>Jacob Mclaughlin</v>
      </c>
      <c r="C502" s="2" t="str">
        <f>_xlfn.XLOOKUP(A:A,Sheet1!A:A,Sheet1!D:D)</f>
        <v>Male</v>
      </c>
      <c r="D502" s="8">
        <f>_xlfn.XLOOKUP(A:A,Sheet1!A:A,Sheet1!F:F)</f>
        <v>55</v>
      </c>
      <c r="E502" s="2" t="str">
        <f>_xlfn.XLOOKUP(A:A,Sheet1!A:A,Sheet1!G:G)</f>
        <v>Australia</v>
      </c>
      <c r="F502" s="8" t="str">
        <f>_xlfn.XLOOKUP(A:A,Sheet1!A:A,Sheet1!H:H)</f>
        <v>English</v>
      </c>
      <c r="G502" s="8" t="str">
        <f>_xlfn.XLOOKUP(A:A,Sheet1!A:A,Sheet1!I:I)</f>
        <v>Data Analysis</v>
      </c>
      <c r="H502" s="8">
        <f>_xlfn.XLOOKUP(A:A,Sheet1!A:A,Sheet1!K:K)</f>
        <v>7</v>
      </c>
      <c r="I502" s="9">
        <f>_xlfn.XLOOKUP(A:A,Sheet1!A:A,Sheet1!M:M)</f>
        <v>100</v>
      </c>
      <c r="J502" s="10">
        <f>_xlfn.XLOOKUP(A:A,Sheet1!A:A,Sheet1!O:O)</f>
        <v>2.1</v>
      </c>
      <c r="K502" t="str">
        <f>_xlfn.XLOOKUP(A:A,Sheet1!A:A,Sheet1!P:P)</f>
        <v>No</v>
      </c>
      <c r="L502" s="12">
        <f>_xlfn.XLOOKUP(A:A,Sheet1!A:A,Sheet1!S:S)</f>
        <v>0.66</v>
      </c>
    </row>
    <row r="503" spans="1:12" x14ac:dyDescent="0.35">
      <c r="A503" s="8" t="s">
        <v>1035</v>
      </c>
      <c r="B503" s="2" t="str">
        <f>_xlfn.XLOOKUP(A503,Sheet1!A:A,Sheet1!B:B)</f>
        <v>Michael Nunez</v>
      </c>
      <c r="C503" s="2" t="str">
        <f>_xlfn.XLOOKUP(A:A,Sheet1!A:A,Sheet1!D:D)</f>
        <v>Male</v>
      </c>
      <c r="D503" s="8">
        <f>_xlfn.XLOOKUP(A:A,Sheet1!A:A,Sheet1!F:F)</f>
        <v>32</v>
      </c>
      <c r="E503" s="2" t="str">
        <f>_xlfn.XLOOKUP(A:A,Sheet1!A:A,Sheet1!G:G)</f>
        <v>Mexico</v>
      </c>
      <c r="F503" s="8" t="str">
        <f>_xlfn.XLOOKUP(A:A,Sheet1!A:A,Sheet1!H:H)</f>
        <v>Spanish</v>
      </c>
      <c r="G503" s="8" t="str">
        <f>_xlfn.XLOOKUP(A:A,Sheet1!A:A,Sheet1!I:I)</f>
        <v>DevOps</v>
      </c>
      <c r="H503" s="8">
        <f>_xlfn.XLOOKUP(A:A,Sheet1!A:A,Sheet1!K:K)</f>
        <v>1</v>
      </c>
      <c r="I503" s="9">
        <f>_xlfn.XLOOKUP(A:A,Sheet1!A:A,Sheet1!M:M)</f>
        <v>50</v>
      </c>
      <c r="J503" s="10">
        <f>_xlfn.XLOOKUP(A:A,Sheet1!A:A,Sheet1!O:O)</f>
        <v>2.5125695216907653</v>
      </c>
      <c r="K503" t="str">
        <f>_xlfn.XLOOKUP(A:A,Sheet1!A:A,Sheet1!P:P)</f>
        <v>Yes</v>
      </c>
      <c r="L503" s="12">
        <f>_xlfn.XLOOKUP(A:A,Sheet1!A:A,Sheet1!S:S)</f>
        <v>0.7</v>
      </c>
    </row>
    <row r="504" spans="1:12" x14ac:dyDescent="0.35">
      <c r="A504" s="8" t="s">
        <v>1037</v>
      </c>
      <c r="B504" s="2" t="str">
        <f>_xlfn.XLOOKUP(A504,Sheet1!A:A,Sheet1!B:B)</f>
        <v>Isabel Brown</v>
      </c>
      <c r="C504" s="2" t="str">
        <f>_xlfn.XLOOKUP(A:A,Sheet1!A:A,Sheet1!D:D)</f>
        <v>Female</v>
      </c>
      <c r="D504" s="8">
        <f>_xlfn.XLOOKUP(A:A,Sheet1!A:A,Sheet1!F:F)</f>
        <v>21</v>
      </c>
      <c r="E504" s="2" t="str">
        <f>_xlfn.XLOOKUP(A:A,Sheet1!A:A,Sheet1!G:G)</f>
        <v>Japan</v>
      </c>
      <c r="F504" s="8" t="str">
        <f>_xlfn.XLOOKUP(A:A,Sheet1!A:A,Sheet1!H:H)</f>
        <v>Japanese</v>
      </c>
      <c r="G504" s="8" t="str">
        <f>_xlfn.XLOOKUP(A:A,Sheet1!A:A,Sheet1!I:I)</f>
        <v>UI/UX Design</v>
      </c>
      <c r="H504" s="8">
        <f>_xlfn.XLOOKUP(A:A,Sheet1!A:A,Sheet1!K:K)</f>
        <v>0</v>
      </c>
      <c r="I504" s="9">
        <f>_xlfn.XLOOKUP(A:A,Sheet1!A:A,Sheet1!M:M)</f>
        <v>30</v>
      </c>
      <c r="J504" s="10">
        <f>_xlfn.XLOOKUP(A:A,Sheet1!A:A,Sheet1!O:O)</f>
        <v>4.2</v>
      </c>
      <c r="K504" t="str">
        <f>_xlfn.XLOOKUP(A:A,Sheet1!A:A,Sheet1!P:P)</f>
        <v>Yes</v>
      </c>
      <c r="L504" s="12">
        <f>_xlfn.XLOOKUP(A:A,Sheet1!A:A,Sheet1!S:S)</f>
        <v>0.79</v>
      </c>
    </row>
    <row r="505" spans="1:12" x14ac:dyDescent="0.35">
      <c r="A505" s="8" t="s">
        <v>1039</v>
      </c>
      <c r="B505" s="2" t="str">
        <f>_xlfn.XLOOKUP(A505,Sheet1!A:A,Sheet1!B:B)</f>
        <v>Michael Stein</v>
      </c>
      <c r="C505" s="2" t="str">
        <f>_xlfn.XLOOKUP(A:A,Sheet1!A:A,Sheet1!D:D)</f>
        <v>Male</v>
      </c>
      <c r="D505" s="8">
        <f>_xlfn.XLOOKUP(A:A,Sheet1!A:A,Sheet1!F:F)</f>
        <v>23</v>
      </c>
      <c r="E505" s="2" t="str">
        <f>_xlfn.XLOOKUP(A:A,Sheet1!A:A,Sheet1!G:G)</f>
        <v>South Korea</v>
      </c>
      <c r="F505" s="8" t="str">
        <f>_xlfn.XLOOKUP(A:A,Sheet1!A:A,Sheet1!H:H)</f>
        <v>Korean</v>
      </c>
      <c r="G505" s="8" t="str">
        <f>_xlfn.XLOOKUP(A:A,Sheet1!A:A,Sheet1!I:I)</f>
        <v>Blockchain Development</v>
      </c>
      <c r="H505" s="8">
        <f>_xlfn.XLOOKUP(A:A,Sheet1!A:A,Sheet1!K:K)</f>
        <v>1</v>
      </c>
      <c r="I505" s="9">
        <f>_xlfn.XLOOKUP(A:A,Sheet1!A:A,Sheet1!M:M)</f>
        <v>40</v>
      </c>
      <c r="J505" s="11">
        <v>0</v>
      </c>
      <c r="K505" t="str">
        <f>_xlfn.XLOOKUP(A:A,Sheet1!A:A,Sheet1!P:P)</f>
        <v>No</v>
      </c>
      <c r="L505" s="12">
        <f>_xlfn.XLOOKUP(A:A,Sheet1!A:A,Sheet1!S:S)</f>
        <v>0.64</v>
      </c>
    </row>
    <row r="506" spans="1:12" x14ac:dyDescent="0.35">
      <c r="A506" s="8" t="s">
        <v>1041</v>
      </c>
      <c r="B506" s="2" t="str">
        <f>_xlfn.XLOOKUP(A506,Sheet1!A:A,Sheet1!B:B)</f>
        <v>Robert Stone</v>
      </c>
      <c r="C506" s="2" t="str">
        <f>_xlfn.XLOOKUP(A:A,Sheet1!A:A,Sheet1!D:D)</f>
        <v>Male</v>
      </c>
      <c r="D506" s="8">
        <f>_xlfn.XLOOKUP(A:A,Sheet1!A:A,Sheet1!F:F)</f>
        <v>21</v>
      </c>
      <c r="E506" s="2" t="str">
        <f>_xlfn.XLOOKUP(A:A,Sheet1!A:A,Sheet1!G:G)</f>
        <v>United Kingdom</v>
      </c>
      <c r="F506" s="8" t="str">
        <f>_xlfn.XLOOKUP(A:A,Sheet1!A:A,Sheet1!H:H)</f>
        <v>English</v>
      </c>
      <c r="G506" s="8" t="str">
        <f>_xlfn.XLOOKUP(A:A,Sheet1!A:A,Sheet1!I:I)</f>
        <v>Mobile Apps</v>
      </c>
      <c r="H506" s="8">
        <f>_xlfn.XLOOKUP(A:A,Sheet1!A:A,Sheet1!K:K)</f>
        <v>1</v>
      </c>
      <c r="I506" s="9">
        <f>_xlfn.XLOOKUP(A:A,Sheet1!A:A,Sheet1!M:M)</f>
        <v>30</v>
      </c>
      <c r="J506" s="10">
        <f>_xlfn.XLOOKUP(A:A,Sheet1!A:A,Sheet1!O:O)</f>
        <v>1</v>
      </c>
      <c r="K506" t="str">
        <f>_xlfn.XLOOKUP(A:A,Sheet1!A:A,Sheet1!P:P)</f>
        <v>No</v>
      </c>
      <c r="L506" s="12">
        <f>_xlfn.XLOOKUP(A:A,Sheet1!A:A,Sheet1!S:S)</f>
        <v>0.81</v>
      </c>
    </row>
    <row r="507" spans="1:12" x14ac:dyDescent="0.35">
      <c r="A507" s="8" t="s">
        <v>1043</v>
      </c>
      <c r="B507" s="2" t="str">
        <f>_xlfn.XLOOKUP(A507,Sheet1!A:A,Sheet1!B:B)</f>
        <v>Dillon Henry</v>
      </c>
      <c r="C507" s="2" t="str">
        <f>_xlfn.XLOOKUP(A:A,Sheet1!A:A,Sheet1!D:D)</f>
        <v>Male</v>
      </c>
      <c r="D507" s="8">
        <f>_xlfn.XLOOKUP(A:A,Sheet1!A:A,Sheet1!F:F)</f>
        <v>31</v>
      </c>
      <c r="E507" s="2" t="str">
        <f>_xlfn.XLOOKUP(A:A,Sheet1!A:A,Sheet1!G:G)</f>
        <v>Argentina</v>
      </c>
      <c r="F507" s="8" t="str">
        <f>_xlfn.XLOOKUP(A:A,Sheet1!A:A,Sheet1!H:H)</f>
        <v>Spanish</v>
      </c>
      <c r="G507" s="8" t="str">
        <f>_xlfn.XLOOKUP(A:A,Sheet1!A:A,Sheet1!I:I)</f>
        <v>AI</v>
      </c>
      <c r="H507" s="8">
        <f>_xlfn.XLOOKUP(A:A,Sheet1!A:A,Sheet1!K:K)</f>
        <v>7</v>
      </c>
      <c r="I507" s="9">
        <f>_xlfn.XLOOKUP(A:A,Sheet1!A:A,Sheet1!M:M)</f>
        <v>75</v>
      </c>
      <c r="J507" s="10">
        <f>_xlfn.XLOOKUP(A:A,Sheet1!A:A,Sheet1!O:O)</f>
        <v>4.4000000000000004</v>
      </c>
      <c r="K507" t="str">
        <f>_xlfn.XLOOKUP(A:A,Sheet1!A:A,Sheet1!P:P)</f>
        <v>No</v>
      </c>
      <c r="L507" s="12">
        <f>_xlfn.XLOOKUP(A:A,Sheet1!A:A,Sheet1!S:S)</f>
        <v>0.83</v>
      </c>
    </row>
    <row r="508" spans="1:12" x14ac:dyDescent="0.35">
      <c r="A508" s="8" t="s">
        <v>1045</v>
      </c>
      <c r="B508" s="2" t="str">
        <f>_xlfn.XLOOKUP(A508,Sheet1!A:A,Sheet1!B:B)</f>
        <v>James Todd</v>
      </c>
      <c r="C508" s="2" t="str">
        <f>_xlfn.XLOOKUP(A:A,Sheet1!A:A,Sheet1!D:D)</f>
        <v>Male</v>
      </c>
      <c r="D508" s="8">
        <f>_xlfn.XLOOKUP(A:A,Sheet1!A:A,Sheet1!F:F)</f>
        <v>21</v>
      </c>
      <c r="E508" s="2" t="str">
        <f>_xlfn.XLOOKUP(A:A,Sheet1!A:A,Sheet1!G:G)</f>
        <v>Mexico</v>
      </c>
      <c r="F508" s="8" t="str">
        <f>_xlfn.XLOOKUP(A:A,Sheet1!A:A,Sheet1!H:H)</f>
        <v>Spanish</v>
      </c>
      <c r="G508" s="8" t="str">
        <f>_xlfn.XLOOKUP(A:A,Sheet1!A:A,Sheet1!I:I)</f>
        <v>Blockchain Development</v>
      </c>
      <c r="H508" s="8">
        <f>_xlfn.XLOOKUP(A:A,Sheet1!A:A,Sheet1!K:K)</f>
        <v>9</v>
      </c>
      <c r="I508" s="9">
        <f>_xlfn.XLOOKUP(A:A,Sheet1!A:A,Sheet1!M:M)</f>
        <v>40</v>
      </c>
      <c r="J508" s="10">
        <f>_xlfn.XLOOKUP(A:A,Sheet1!A:A,Sheet1!O:O)</f>
        <v>4</v>
      </c>
      <c r="K508" t="str">
        <f>_xlfn.XLOOKUP(A:A,Sheet1!A:A,Sheet1!P:P)</f>
        <v>No</v>
      </c>
      <c r="L508" s="12">
        <f>_xlfn.XLOOKUP(A:A,Sheet1!A:A,Sheet1!S:S)</f>
        <v>0.91</v>
      </c>
    </row>
    <row r="509" spans="1:12" x14ac:dyDescent="0.35">
      <c r="A509" s="8" t="s">
        <v>1047</v>
      </c>
      <c r="B509" s="2" t="str">
        <f>_xlfn.XLOOKUP(A509,Sheet1!A:A,Sheet1!B:B)</f>
        <v xml:space="preserve">Clifford Moore </v>
      </c>
      <c r="C509" s="2" t="str">
        <f>_xlfn.XLOOKUP(A:A,Sheet1!A:A,Sheet1!D:D)</f>
        <v>Male</v>
      </c>
      <c r="D509" s="8">
        <f>_xlfn.XLOOKUP(A:A,Sheet1!A:A,Sheet1!F:F)</f>
        <v>33</v>
      </c>
      <c r="E509" s="2" t="str">
        <f>_xlfn.XLOOKUP(A:A,Sheet1!A:A,Sheet1!G:G)</f>
        <v>United Kingdom</v>
      </c>
      <c r="F509" s="8" t="str">
        <f>_xlfn.XLOOKUP(A:A,Sheet1!A:A,Sheet1!H:H)</f>
        <v>English</v>
      </c>
      <c r="G509" s="8" t="str">
        <f>_xlfn.XLOOKUP(A:A,Sheet1!A:A,Sheet1!I:I)</f>
        <v>Cybersecurity</v>
      </c>
      <c r="H509" s="8">
        <f>_xlfn.XLOOKUP(A:A,Sheet1!A:A,Sheet1!K:K)</f>
        <v>6</v>
      </c>
      <c r="I509" s="9">
        <f>_xlfn.XLOOKUP(A:A,Sheet1!A:A,Sheet1!M:M)</f>
        <v>50</v>
      </c>
      <c r="J509" s="10">
        <f>_xlfn.XLOOKUP(A:A,Sheet1!A:A,Sheet1!O:O)</f>
        <v>3.1</v>
      </c>
      <c r="K509" t="str">
        <f>_xlfn.XLOOKUP(A:A,Sheet1!A:A,Sheet1!P:P)</f>
        <v>No</v>
      </c>
      <c r="L509" s="12">
        <f>_xlfn.XLOOKUP(A:A,Sheet1!A:A,Sheet1!S:S)</f>
        <v>0.79269417475728277</v>
      </c>
    </row>
    <row r="510" spans="1:12" x14ac:dyDescent="0.35">
      <c r="A510" s="8" t="s">
        <v>1048</v>
      </c>
      <c r="B510" s="2" t="str">
        <f>_xlfn.XLOOKUP(A510,Sheet1!A:A,Sheet1!B:B)</f>
        <v>John Rios</v>
      </c>
      <c r="C510" s="2" t="str">
        <f>_xlfn.XLOOKUP(A:A,Sheet1!A:A,Sheet1!D:D)</f>
        <v>Male</v>
      </c>
      <c r="D510" s="8">
        <f>_xlfn.XLOOKUP(A:A,Sheet1!A:A,Sheet1!F:F)</f>
        <v>57</v>
      </c>
      <c r="E510" s="2" t="str">
        <f>_xlfn.XLOOKUP(A:A,Sheet1!A:A,Sheet1!G:G)</f>
        <v>Brazil</v>
      </c>
      <c r="F510" s="8" t="str">
        <f>_xlfn.XLOOKUP(A:A,Sheet1!A:A,Sheet1!H:H)</f>
        <v>Portuguese</v>
      </c>
      <c r="G510" s="8" t="str">
        <f>_xlfn.XLOOKUP(A:A,Sheet1!A:A,Sheet1!I:I)</f>
        <v>Web Development</v>
      </c>
      <c r="H510" s="8">
        <f>_xlfn.XLOOKUP(A:A,Sheet1!A:A,Sheet1!K:K)</f>
        <v>5</v>
      </c>
      <c r="I510" s="9">
        <f>_xlfn.XLOOKUP(A:A,Sheet1!A:A,Sheet1!M:M)</f>
        <v>75</v>
      </c>
      <c r="J510" s="10">
        <f>_xlfn.XLOOKUP(A:A,Sheet1!A:A,Sheet1!O:O)</f>
        <v>1.1000000000000001</v>
      </c>
      <c r="K510" t="str">
        <f>_xlfn.XLOOKUP(A:A,Sheet1!A:A,Sheet1!P:P)</f>
        <v>Yes</v>
      </c>
      <c r="L510" s="12">
        <f>_xlfn.XLOOKUP(A:A,Sheet1!A:A,Sheet1!S:S)</f>
        <v>0.77</v>
      </c>
    </row>
    <row r="511" spans="1:12" x14ac:dyDescent="0.35">
      <c r="A511" s="8" t="s">
        <v>1050</v>
      </c>
      <c r="B511" s="2" t="str">
        <f>_xlfn.XLOOKUP(A511,Sheet1!A:A,Sheet1!B:B)</f>
        <v>Anthony Gaines</v>
      </c>
      <c r="C511" s="2" t="str">
        <f>_xlfn.XLOOKUP(A:A,Sheet1!A:A,Sheet1!D:D)</f>
        <v>Male</v>
      </c>
      <c r="D511" s="8">
        <f>_xlfn.XLOOKUP(A:A,Sheet1!A:A,Sheet1!F:F)</f>
        <v>52</v>
      </c>
      <c r="E511" s="2" t="str">
        <f>_xlfn.XLOOKUP(A:A,Sheet1!A:A,Sheet1!G:G)</f>
        <v>United States</v>
      </c>
      <c r="F511" s="8" t="str">
        <f>_xlfn.XLOOKUP(A:A,Sheet1!A:A,Sheet1!H:H)</f>
        <v>English</v>
      </c>
      <c r="G511" s="8" t="str">
        <f>_xlfn.XLOOKUP(A:A,Sheet1!A:A,Sheet1!I:I)</f>
        <v>DevOps</v>
      </c>
      <c r="H511" s="8">
        <f>_xlfn.XLOOKUP(A:A,Sheet1!A:A,Sheet1!K:K)</f>
        <v>17</v>
      </c>
      <c r="I511" s="9">
        <f>_xlfn.XLOOKUP(A:A,Sheet1!A:A,Sheet1!M:M)</f>
        <v>75</v>
      </c>
      <c r="J511" s="11">
        <v>0</v>
      </c>
      <c r="K511" t="str">
        <f>_xlfn.XLOOKUP(A:A,Sheet1!A:A,Sheet1!P:P)</f>
        <v>No</v>
      </c>
      <c r="L511" s="12">
        <f>_xlfn.XLOOKUP(A:A,Sheet1!A:A,Sheet1!S:S)</f>
        <v>0.94</v>
      </c>
    </row>
    <row r="512" spans="1:12" x14ac:dyDescent="0.35">
      <c r="A512" s="8" t="s">
        <v>1052</v>
      </c>
      <c r="B512" s="2" t="str">
        <f>_xlfn.XLOOKUP(A512,Sheet1!A:A,Sheet1!B:B)</f>
        <v xml:space="preserve">Kristi Brown </v>
      </c>
      <c r="C512" s="2" t="str">
        <f>_xlfn.XLOOKUP(A:A,Sheet1!A:A,Sheet1!D:D)</f>
        <v>Female</v>
      </c>
      <c r="D512" s="8">
        <f>_xlfn.XLOOKUP(A:A,Sheet1!A:A,Sheet1!F:F)</f>
        <v>21</v>
      </c>
      <c r="E512" s="2" t="str">
        <f>_xlfn.XLOOKUP(A:A,Sheet1!A:A,Sheet1!G:G)</f>
        <v>Germany</v>
      </c>
      <c r="F512" s="8" t="str">
        <f>_xlfn.XLOOKUP(A:A,Sheet1!A:A,Sheet1!H:H)</f>
        <v>German</v>
      </c>
      <c r="G512" s="8" t="str">
        <f>_xlfn.XLOOKUP(A:A,Sheet1!A:A,Sheet1!I:I)</f>
        <v>Web Development</v>
      </c>
      <c r="H512" s="8">
        <f>_xlfn.XLOOKUP(A:A,Sheet1!A:A,Sheet1!K:K)</f>
        <v>0</v>
      </c>
      <c r="I512" s="9">
        <f>_xlfn.XLOOKUP(A:A,Sheet1!A:A,Sheet1!M:M)</f>
        <v>20</v>
      </c>
      <c r="J512" s="10">
        <f>_xlfn.XLOOKUP(A:A,Sheet1!A:A,Sheet1!O:O)</f>
        <v>3.8</v>
      </c>
      <c r="K512" t="str">
        <f>_xlfn.XLOOKUP(A:A,Sheet1!A:A,Sheet1!P:P)</f>
        <v>Yes</v>
      </c>
      <c r="L512" s="12">
        <f>_xlfn.XLOOKUP(A:A,Sheet1!A:A,Sheet1!S:S)</f>
        <v>0.61</v>
      </c>
    </row>
    <row r="513" spans="1:12" x14ac:dyDescent="0.35">
      <c r="A513" s="8" t="s">
        <v>1053</v>
      </c>
      <c r="B513" s="2" t="str">
        <f>_xlfn.XLOOKUP(A513,Sheet1!A:A,Sheet1!B:B)</f>
        <v>Ashley Odonnell</v>
      </c>
      <c r="C513" s="2" t="str">
        <f>_xlfn.XLOOKUP(A:A,Sheet1!A:A,Sheet1!D:D)</f>
        <v>Female</v>
      </c>
      <c r="D513" s="8">
        <f>_xlfn.XLOOKUP(A:A,Sheet1!A:A,Sheet1!F:F)</f>
        <v>36</v>
      </c>
      <c r="E513" s="2" t="str">
        <f>_xlfn.XLOOKUP(A:A,Sheet1!A:A,Sheet1!G:G)</f>
        <v>Argentina</v>
      </c>
      <c r="F513" s="8" t="str">
        <f>_xlfn.XLOOKUP(A:A,Sheet1!A:A,Sheet1!H:H)</f>
        <v>Spanish</v>
      </c>
      <c r="G513" s="8" t="str">
        <f>_xlfn.XLOOKUP(A:A,Sheet1!A:A,Sheet1!I:I)</f>
        <v>UI/UX Design</v>
      </c>
      <c r="H513" s="8">
        <f>_xlfn.XLOOKUP(A:A,Sheet1!A:A,Sheet1!K:K)</f>
        <v>8</v>
      </c>
      <c r="I513" s="9">
        <f>_xlfn.XLOOKUP(A:A,Sheet1!A:A,Sheet1!M:M)</f>
        <v>100</v>
      </c>
      <c r="J513" s="10">
        <f>_xlfn.XLOOKUP(A:A,Sheet1!A:A,Sheet1!O:O)</f>
        <v>1.7</v>
      </c>
      <c r="K513" t="str">
        <f>_xlfn.XLOOKUP(A:A,Sheet1!A:A,Sheet1!P:P)</f>
        <v>No</v>
      </c>
      <c r="L513" s="12">
        <f>_xlfn.XLOOKUP(A:A,Sheet1!A:A,Sheet1!S:S)</f>
        <v>0.68</v>
      </c>
    </row>
    <row r="514" spans="1:12" x14ac:dyDescent="0.35">
      <c r="A514" s="8" t="s">
        <v>1055</v>
      </c>
      <c r="B514" s="2" t="str">
        <f>_xlfn.XLOOKUP(A514,Sheet1!A:A,Sheet1!B:B)</f>
        <v>Ronald Elliott</v>
      </c>
      <c r="C514" s="2" t="str">
        <f>_xlfn.XLOOKUP(A:A,Sheet1!A:A,Sheet1!D:D)</f>
        <v>Male</v>
      </c>
      <c r="D514" s="8">
        <f>_xlfn.XLOOKUP(A:A,Sheet1!A:A,Sheet1!F:F)</f>
        <v>33</v>
      </c>
      <c r="E514" s="2" t="str">
        <f>_xlfn.XLOOKUP(A:A,Sheet1!A:A,Sheet1!G:G)</f>
        <v>Spain</v>
      </c>
      <c r="F514" s="8" t="str">
        <f>_xlfn.XLOOKUP(A:A,Sheet1!A:A,Sheet1!H:H)</f>
        <v>Spanish</v>
      </c>
      <c r="G514" s="8" t="str">
        <f>_xlfn.XLOOKUP(A:A,Sheet1!A:A,Sheet1!I:I)</f>
        <v>Machine Learning</v>
      </c>
      <c r="H514" s="8">
        <f>_xlfn.XLOOKUP(A:A,Sheet1!A:A,Sheet1!K:K)</f>
        <v>13</v>
      </c>
      <c r="I514" s="9">
        <f>_xlfn.XLOOKUP(A:A,Sheet1!A:A,Sheet1!M:M)</f>
        <v>50</v>
      </c>
      <c r="J514" s="10">
        <f>_xlfn.XLOOKUP(A:A,Sheet1!A:A,Sheet1!O:O)</f>
        <v>2.2000000000000002</v>
      </c>
      <c r="K514" t="str">
        <f>_xlfn.XLOOKUP(A:A,Sheet1!A:A,Sheet1!P:P)</f>
        <v>No</v>
      </c>
      <c r="L514" s="12">
        <f>_xlfn.XLOOKUP(A:A,Sheet1!A:A,Sheet1!S:S)</f>
        <v>0.7</v>
      </c>
    </row>
    <row r="515" spans="1:12" x14ac:dyDescent="0.35">
      <c r="A515" s="8" t="s">
        <v>1057</v>
      </c>
      <c r="B515" s="2" t="str">
        <f>_xlfn.XLOOKUP(A515,Sheet1!A:A,Sheet1!B:B)</f>
        <v>Lorraine Lowery</v>
      </c>
      <c r="C515" s="2" t="str">
        <f>_xlfn.XLOOKUP(A:A,Sheet1!A:A,Sheet1!D:D)</f>
        <v>Female</v>
      </c>
      <c r="D515" s="8">
        <f>_xlfn.XLOOKUP(A:A,Sheet1!A:A,Sheet1!F:F)</f>
        <v>54</v>
      </c>
      <c r="E515" s="2" t="str">
        <f>_xlfn.XLOOKUP(A:A,Sheet1!A:A,Sheet1!G:G)</f>
        <v>United Kingdom</v>
      </c>
      <c r="F515" s="8" t="str">
        <f>_xlfn.XLOOKUP(A:A,Sheet1!A:A,Sheet1!H:H)</f>
        <v>English</v>
      </c>
      <c r="G515" s="8" t="str">
        <f>_xlfn.XLOOKUP(A:A,Sheet1!A:A,Sheet1!I:I)</f>
        <v>Data Analysis</v>
      </c>
      <c r="H515" s="8">
        <f>_xlfn.XLOOKUP(A:A,Sheet1!A:A,Sheet1!K:K)</f>
        <v>15</v>
      </c>
      <c r="I515" s="9">
        <f>_xlfn.XLOOKUP(A:A,Sheet1!A:A,Sheet1!M:M)</f>
        <v>40</v>
      </c>
      <c r="J515" s="10">
        <f>_xlfn.XLOOKUP(A:A,Sheet1!A:A,Sheet1!O:O)</f>
        <v>4.0999999999999996</v>
      </c>
      <c r="K515" t="str">
        <f>_xlfn.XLOOKUP(A:A,Sheet1!A:A,Sheet1!P:P)</f>
        <v>Yes</v>
      </c>
      <c r="L515" s="12">
        <f>_xlfn.XLOOKUP(A:A,Sheet1!A:A,Sheet1!S:S)</f>
        <v>0.71</v>
      </c>
    </row>
    <row r="516" spans="1:12" x14ac:dyDescent="0.35">
      <c r="A516" s="8" t="s">
        <v>1059</v>
      </c>
      <c r="B516" s="2" t="str">
        <f>_xlfn.XLOOKUP(A516,Sheet1!A:A,Sheet1!B:B)</f>
        <v>Victoria Chapman</v>
      </c>
      <c r="C516" s="2" t="str">
        <f>_xlfn.XLOOKUP(A:A,Sheet1!A:A,Sheet1!D:D)</f>
        <v>Female</v>
      </c>
      <c r="D516" s="8">
        <f>_xlfn.XLOOKUP(A:A,Sheet1!A:A,Sheet1!F:F)</f>
        <v>33</v>
      </c>
      <c r="E516" s="2" t="str">
        <f>_xlfn.XLOOKUP(A:A,Sheet1!A:A,Sheet1!G:G)</f>
        <v>United States</v>
      </c>
      <c r="F516" s="8" t="str">
        <f>_xlfn.XLOOKUP(A:A,Sheet1!A:A,Sheet1!H:H)</f>
        <v>English</v>
      </c>
      <c r="G516" s="8" t="str">
        <f>_xlfn.XLOOKUP(A:A,Sheet1!A:A,Sheet1!I:I)</f>
        <v>Blockchain Development</v>
      </c>
      <c r="H516" s="8">
        <f>_xlfn.XLOOKUP(A:A,Sheet1!A:A,Sheet1!K:K)</f>
        <v>2</v>
      </c>
      <c r="I516" s="9">
        <f>_xlfn.XLOOKUP(A:A,Sheet1!A:A,Sheet1!M:M)</f>
        <v>100</v>
      </c>
      <c r="J516" s="10">
        <f>_xlfn.XLOOKUP(A:A,Sheet1!A:A,Sheet1!O:O)</f>
        <v>3.8</v>
      </c>
      <c r="K516" t="str">
        <f>_xlfn.XLOOKUP(A:A,Sheet1!A:A,Sheet1!P:P)</f>
        <v>No</v>
      </c>
      <c r="L516" s="12">
        <f>_xlfn.XLOOKUP(A:A,Sheet1!A:A,Sheet1!S:S)</f>
        <v>0.79269417475728277</v>
      </c>
    </row>
    <row r="517" spans="1:12" x14ac:dyDescent="0.35">
      <c r="A517" s="8" t="s">
        <v>1061</v>
      </c>
      <c r="B517" s="2" t="str">
        <f>_xlfn.XLOOKUP(A517,Sheet1!A:A,Sheet1!B:B)</f>
        <v>Heather Davis</v>
      </c>
      <c r="C517" s="2" t="str">
        <f>_xlfn.XLOOKUP(A:A,Sheet1!A:A,Sheet1!D:D)</f>
        <v>Female</v>
      </c>
      <c r="D517" s="8">
        <f>_xlfn.XLOOKUP(A:A,Sheet1!A:A,Sheet1!F:F)</f>
        <v>36</v>
      </c>
      <c r="E517" s="2" t="str">
        <f>_xlfn.XLOOKUP(A:A,Sheet1!A:A,Sheet1!G:G)</f>
        <v>Japan</v>
      </c>
      <c r="F517" s="8" t="str">
        <f>_xlfn.XLOOKUP(A:A,Sheet1!A:A,Sheet1!H:H)</f>
        <v>Japanese</v>
      </c>
      <c r="G517" s="8" t="str">
        <f>_xlfn.XLOOKUP(A:A,Sheet1!A:A,Sheet1!I:I)</f>
        <v>Machine Learning</v>
      </c>
      <c r="H517" s="8">
        <f>_xlfn.XLOOKUP(A:A,Sheet1!A:A,Sheet1!K:K)</f>
        <v>9</v>
      </c>
      <c r="I517" s="9">
        <f>_xlfn.XLOOKUP(A:A,Sheet1!A:A,Sheet1!M:M)</f>
        <v>30</v>
      </c>
      <c r="J517" s="11">
        <v>0</v>
      </c>
      <c r="K517" t="str">
        <f>_xlfn.XLOOKUP(A:A,Sheet1!A:A,Sheet1!P:P)</f>
        <v>Yes</v>
      </c>
      <c r="L517" s="12">
        <f>_xlfn.XLOOKUP(A:A,Sheet1!A:A,Sheet1!S:S)</f>
        <v>0.78</v>
      </c>
    </row>
    <row r="518" spans="1:12" x14ac:dyDescent="0.35">
      <c r="A518" s="8" t="s">
        <v>1063</v>
      </c>
      <c r="B518" s="2" t="str">
        <f>_xlfn.XLOOKUP(A518,Sheet1!A:A,Sheet1!B:B)</f>
        <v>Diana Chase</v>
      </c>
      <c r="C518" s="2" t="str">
        <f>_xlfn.XLOOKUP(A:A,Sheet1!A:A,Sheet1!D:D)</f>
        <v>Female</v>
      </c>
      <c r="D518" s="8">
        <f>_xlfn.XLOOKUP(A:A,Sheet1!A:A,Sheet1!F:F)</f>
        <v>36</v>
      </c>
      <c r="E518" s="2" t="str">
        <f>_xlfn.XLOOKUP(A:A,Sheet1!A:A,Sheet1!G:G)</f>
        <v>Turkey</v>
      </c>
      <c r="F518" s="8" t="str">
        <f>_xlfn.XLOOKUP(A:A,Sheet1!A:A,Sheet1!H:H)</f>
        <v>Turkish</v>
      </c>
      <c r="G518" s="8" t="str">
        <f>_xlfn.XLOOKUP(A:A,Sheet1!A:A,Sheet1!I:I)</f>
        <v>AI</v>
      </c>
      <c r="H518" s="8">
        <f>_xlfn.XLOOKUP(A:A,Sheet1!A:A,Sheet1!K:K)</f>
        <v>3</v>
      </c>
      <c r="I518" s="9">
        <f>_xlfn.XLOOKUP(A:A,Sheet1!A:A,Sheet1!M:M)</f>
        <v>50</v>
      </c>
      <c r="J518" s="11">
        <v>0</v>
      </c>
      <c r="K518" t="str">
        <f>_xlfn.XLOOKUP(A:A,Sheet1!A:A,Sheet1!P:P)</f>
        <v>No</v>
      </c>
      <c r="L518" s="12">
        <f>_xlfn.XLOOKUP(A:A,Sheet1!A:A,Sheet1!S:S)</f>
        <v>0.75</v>
      </c>
    </row>
    <row r="519" spans="1:12" x14ac:dyDescent="0.35">
      <c r="A519" s="8" t="s">
        <v>1065</v>
      </c>
      <c r="B519" s="2" t="str">
        <f>_xlfn.XLOOKUP(A519,Sheet1!A:A,Sheet1!B:B)</f>
        <v>Danielle Adkins</v>
      </c>
      <c r="C519" s="2" t="str">
        <f>_xlfn.XLOOKUP(A:A,Sheet1!A:A,Sheet1!D:D)</f>
        <v>Female</v>
      </c>
      <c r="D519" s="8">
        <f>_xlfn.XLOOKUP(A:A,Sheet1!A:A,Sheet1!F:F)</f>
        <v>43</v>
      </c>
      <c r="E519" s="2" t="str">
        <f>_xlfn.XLOOKUP(A:A,Sheet1!A:A,Sheet1!G:G)</f>
        <v>China</v>
      </c>
      <c r="F519" s="8" t="str">
        <f>_xlfn.XLOOKUP(A:A,Sheet1!A:A,Sheet1!H:H)</f>
        <v>Mandarin</v>
      </c>
      <c r="G519" s="8" t="str">
        <f>_xlfn.XLOOKUP(A:A,Sheet1!A:A,Sheet1!I:I)</f>
        <v>AI</v>
      </c>
      <c r="H519" s="8">
        <f>_xlfn.XLOOKUP(A:A,Sheet1!A:A,Sheet1!K:K)</f>
        <v>15</v>
      </c>
      <c r="I519" s="9">
        <f>_xlfn.XLOOKUP(A:A,Sheet1!A:A,Sheet1!M:M)</f>
        <v>20</v>
      </c>
      <c r="J519" s="10">
        <f>_xlfn.XLOOKUP(A:A,Sheet1!A:A,Sheet1!O:O)</f>
        <v>4.2</v>
      </c>
      <c r="K519" t="str">
        <f>_xlfn.XLOOKUP(A:A,Sheet1!A:A,Sheet1!P:P)</f>
        <v>Yes</v>
      </c>
      <c r="L519" s="12">
        <f>_xlfn.XLOOKUP(A:A,Sheet1!A:A,Sheet1!S:S)</f>
        <v>0.91</v>
      </c>
    </row>
    <row r="520" spans="1:12" x14ac:dyDescent="0.35">
      <c r="A520" s="8" t="s">
        <v>1067</v>
      </c>
      <c r="B520" s="2" t="str">
        <f>_xlfn.XLOOKUP(A520,Sheet1!A:A,Sheet1!B:B)</f>
        <v>Kenneth Arias</v>
      </c>
      <c r="C520" s="2" t="str">
        <f>_xlfn.XLOOKUP(A:A,Sheet1!A:A,Sheet1!D:D)</f>
        <v>Male</v>
      </c>
      <c r="D520" s="8">
        <f>_xlfn.XLOOKUP(A:A,Sheet1!A:A,Sheet1!F:F)</f>
        <v>52</v>
      </c>
      <c r="E520" s="2" t="str">
        <f>_xlfn.XLOOKUP(A:A,Sheet1!A:A,Sheet1!G:G)</f>
        <v>United Kingdom</v>
      </c>
      <c r="F520" s="8" t="str">
        <f>_xlfn.XLOOKUP(A:A,Sheet1!A:A,Sheet1!H:H)</f>
        <v>English</v>
      </c>
      <c r="G520" s="8" t="str">
        <f>_xlfn.XLOOKUP(A:A,Sheet1!A:A,Sheet1!I:I)</f>
        <v>Data Analysis</v>
      </c>
      <c r="H520" s="8">
        <f>_xlfn.XLOOKUP(A:A,Sheet1!A:A,Sheet1!K:K)</f>
        <v>21</v>
      </c>
      <c r="I520" s="9">
        <f>_xlfn.XLOOKUP(A:A,Sheet1!A:A,Sheet1!M:M)</f>
        <v>75</v>
      </c>
      <c r="J520" s="10">
        <f>_xlfn.XLOOKUP(A:A,Sheet1!A:A,Sheet1!O:O)</f>
        <v>2.2000000000000002</v>
      </c>
      <c r="K520" t="str">
        <f>_xlfn.XLOOKUP(A:A,Sheet1!A:A,Sheet1!P:P)</f>
        <v>Yes</v>
      </c>
      <c r="L520" s="12">
        <f>_xlfn.XLOOKUP(A:A,Sheet1!A:A,Sheet1!S:S)</f>
        <v>0.66</v>
      </c>
    </row>
    <row r="521" spans="1:12" x14ac:dyDescent="0.35">
      <c r="A521" s="8" t="s">
        <v>1069</v>
      </c>
      <c r="B521" s="2" t="str">
        <f>_xlfn.XLOOKUP(A521,Sheet1!A:A,Sheet1!B:B)</f>
        <v>Victoria Owen</v>
      </c>
      <c r="C521" s="2" t="str">
        <f>_xlfn.XLOOKUP(A:A,Sheet1!A:A,Sheet1!D:D)</f>
        <v>Female</v>
      </c>
      <c r="D521" s="8">
        <f>_xlfn.XLOOKUP(A:A,Sheet1!A:A,Sheet1!F:F)</f>
        <v>28</v>
      </c>
      <c r="E521" s="2" t="str">
        <f>_xlfn.XLOOKUP(A:A,Sheet1!A:A,Sheet1!G:G)</f>
        <v>Indonesia</v>
      </c>
      <c r="F521" s="8" t="str">
        <f>_xlfn.XLOOKUP(A:A,Sheet1!A:A,Sheet1!H:H)</f>
        <v>Indonesian</v>
      </c>
      <c r="G521" s="8" t="str">
        <f>_xlfn.XLOOKUP(A:A,Sheet1!A:A,Sheet1!I:I)</f>
        <v>Cybersecurity</v>
      </c>
      <c r="H521" s="8">
        <f>_xlfn.XLOOKUP(A:A,Sheet1!A:A,Sheet1!K:K)</f>
        <v>2</v>
      </c>
      <c r="I521" s="9">
        <f>_xlfn.XLOOKUP(A:A,Sheet1!A:A,Sheet1!M:M)</f>
        <v>75</v>
      </c>
      <c r="J521" s="10">
        <f>_xlfn.XLOOKUP(A:A,Sheet1!A:A,Sheet1!O:O)</f>
        <v>1.5</v>
      </c>
      <c r="K521" t="str">
        <f>_xlfn.XLOOKUP(A:A,Sheet1!A:A,Sheet1!P:P)</f>
        <v>Yes</v>
      </c>
      <c r="L521" s="12">
        <f>_xlfn.XLOOKUP(A:A,Sheet1!A:A,Sheet1!S:S)</f>
        <v>0.68</v>
      </c>
    </row>
    <row r="522" spans="1:12" x14ac:dyDescent="0.35">
      <c r="A522" s="8" t="s">
        <v>1071</v>
      </c>
      <c r="B522" s="2" t="str">
        <f>_xlfn.XLOOKUP(A522,Sheet1!A:A,Sheet1!B:B)</f>
        <v>Christina King</v>
      </c>
      <c r="C522" s="2" t="str">
        <f>_xlfn.XLOOKUP(A:A,Sheet1!A:A,Sheet1!D:D)</f>
        <v>Female</v>
      </c>
      <c r="D522" s="8">
        <f>_xlfn.XLOOKUP(A:A,Sheet1!A:A,Sheet1!F:F)</f>
        <v>47</v>
      </c>
      <c r="E522" s="2" t="str">
        <f>_xlfn.XLOOKUP(A:A,Sheet1!A:A,Sheet1!G:G)</f>
        <v>China</v>
      </c>
      <c r="F522" s="8" t="str">
        <f>_xlfn.XLOOKUP(A:A,Sheet1!A:A,Sheet1!H:H)</f>
        <v>Mandarin</v>
      </c>
      <c r="G522" s="8" t="str">
        <f>_xlfn.XLOOKUP(A:A,Sheet1!A:A,Sheet1!I:I)</f>
        <v>Cybersecurity</v>
      </c>
      <c r="H522" s="8">
        <f>_xlfn.XLOOKUP(A:A,Sheet1!A:A,Sheet1!K:K)</f>
        <v>21</v>
      </c>
      <c r="I522" s="9">
        <f>_xlfn.XLOOKUP(A:A,Sheet1!A:A,Sheet1!M:M)</f>
        <v>100</v>
      </c>
      <c r="J522" s="11">
        <v>0</v>
      </c>
      <c r="K522" t="str">
        <f>_xlfn.XLOOKUP(A:A,Sheet1!A:A,Sheet1!P:P)</f>
        <v>No</v>
      </c>
      <c r="L522" s="12">
        <f>_xlfn.XLOOKUP(A:A,Sheet1!A:A,Sheet1!S:S)</f>
        <v>0.79269417475728277</v>
      </c>
    </row>
    <row r="523" spans="1:12" x14ac:dyDescent="0.35">
      <c r="A523" s="8" t="s">
        <v>1073</v>
      </c>
      <c r="B523" s="2" t="str">
        <f>_xlfn.XLOOKUP(A523,Sheet1!A:A,Sheet1!B:B)</f>
        <v>Samantha King</v>
      </c>
      <c r="C523" s="2" t="str">
        <f>_xlfn.XLOOKUP(A:A,Sheet1!A:A,Sheet1!D:D)</f>
        <v>Female</v>
      </c>
      <c r="D523" s="8">
        <f>_xlfn.XLOOKUP(A:A,Sheet1!A:A,Sheet1!F:F)</f>
        <v>30</v>
      </c>
      <c r="E523" s="2" t="str">
        <f>_xlfn.XLOOKUP(A:A,Sheet1!A:A,Sheet1!G:G)</f>
        <v>France</v>
      </c>
      <c r="F523" s="8" t="str">
        <f>_xlfn.XLOOKUP(A:A,Sheet1!A:A,Sheet1!H:H)</f>
        <v>French</v>
      </c>
      <c r="G523" s="8" t="str">
        <f>_xlfn.XLOOKUP(A:A,Sheet1!A:A,Sheet1!I:I)</f>
        <v>DevOps</v>
      </c>
      <c r="H523" s="8">
        <f>_xlfn.XLOOKUP(A:A,Sheet1!A:A,Sheet1!K:K)</f>
        <v>0</v>
      </c>
      <c r="I523" s="9">
        <f>_xlfn.XLOOKUP(A:A,Sheet1!A:A,Sheet1!M:M)</f>
        <v>100</v>
      </c>
      <c r="J523" s="10">
        <f>_xlfn.XLOOKUP(A:A,Sheet1!A:A,Sheet1!O:O)</f>
        <v>4.0999999999999996</v>
      </c>
      <c r="K523" t="str">
        <f>_xlfn.XLOOKUP(A:A,Sheet1!A:A,Sheet1!P:P)</f>
        <v>No</v>
      </c>
      <c r="L523" s="12">
        <f>_xlfn.XLOOKUP(A:A,Sheet1!A:A,Sheet1!S:S)</f>
        <v>0.62</v>
      </c>
    </row>
    <row r="524" spans="1:12" x14ac:dyDescent="0.35">
      <c r="A524" s="8" t="s">
        <v>1075</v>
      </c>
      <c r="B524" s="2" t="str">
        <f>_xlfn.XLOOKUP(A524,Sheet1!A:A,Sheet1!B:B)</f>
        <v>Scott Compton</v>
      </c>
      <c r="C524" s="2" t="str">
        <f>_xlfn.XLOOKUP(A:A,Sheet1!A:A,Sheet1!D:D)</f>
        <v>Male</v>
      </c>
      <c r="D524" s="8">
        <f>_xlfn.XLOOKUP(A:A,Sheet1!A:A,Sheet1!F:F)</f>
        <v>36</v>
      </c>
      <c r="E524" s="2" t="str">
        <f>_xlfn.XLOOKUP(A:A,Sheet1!A:A,Sheet1!G:G)</f>
        <v>Egypt</v>
      </c>
      <c r="F524" s="8" t="str">
        <f>_xlfn.XLOOKUP(A:A,Sheet1!A:A,Sheet1!H:H)</f>
        <v>Arabic</v>
      </c>
      <c r="G524" s="8" t="str">
        <f>_xlfn.XLOOKUP(A:A,Sheet1!A:A,Sheet1!I:I)</f>
        <v>Blockchain Development</v>
      </c>
      <c r="H524" s="8">
        <f>_xlfn.XLOOKUP(A:A,Sheet1!A:A,Sheet1!K:K)</f>
        <v>4</v>
      </c>
      <c r="I524" s="9">
        <f>_xlfn.XLOOKUP(A:A,Sheet1!A:A,Sheet1!M:M)</f>
        <v>40</v>
      </c>
      <c r="J524" s="10">
        <f>_xlfn.XLOOKUP(A:A,Sheet1!A:A,Sheet1!O:O)</f>
        <v>2.6</v>
      </c>
      <c r="K524" t="str">
        <f>_xlfn.XLOOKUP(A:A,Sheet1!A:A,Sheet1!P:P)</f>
        <v>No</v>
      </c>
      <c r="L524" s="12">
        <f>_xlfn.XLOOKUP(A:A,Sheet1!A:A,Sheet1!S:S)</f>
        <v>0.9</v>
      </c>
    </row>
    <row r="525" spans="1:12" x14ac:dyDescent="0.35">
      <c r="A525" s="8" t="s">
        <v>1077</v>
      </c>
      <c r="B525" s="2" t="str">
        <f>_xlfn.XLOOKUP(A525,Sheet1!A:A,Sheet1!B:B)</f>
        <v>Monica West</v>
      </c>
      <c r="C525" s="2" t="str">
        <f>_xlfn.XLOOKUP(A:A,Sheet1!A:A,Sheet1!D:D)</f>
        <v>Female</v>
      </c>
      <c r="D525" s="8">
        <f>_xlfn.XLOOKUP(A:A,Sheet1!A:A,Sheet1!F:F)</f>
        <v>45</v>
      </c>
      <c r="E525" s="2" t="str">
        <f>_xlfn.XLOOKUP(A:A,Sheet1!A:A,Sheet1!G:G)</f>
        <v>United States</v>
      </c>
      <c r="F525" s="8" t="str">
        <f>_xlfn.XLOOKUP(A:A,Sheet1!A:A,Sheet1!H:H)</f>
        <v>English</v>
      </c>
      <c r="G525" s="8" t="str">
        <f>_xlfn.XLOOKUP(A:A,Sheet1!A:A,Sheet1!I:I)</f>
        <v>UI/UX Design</v>
      </c>
      <c r="H525" s="8">
        <f>_xlfn.XLOOKUP(A:A,Sheet1!A:A,Sheet1!K:K)</f>
        <v>23</v>
      </c>
      <c r="I525" s="9">
        <f>_xlfn.XLOOKUP(A:A,Sheet1!A:A,Sheet1!M:M)</f>
        <v>100</v>
      </c>
      <c r="J525" s="10">
        <f>_xlfn.XLOOKUP(A:A,Sheet1!A:A,Sheet1!O:O)</f>
        <v>2.4</v>
      </c>
      <c r="K525" t="str">
        <f>_xlfn.XLOOKUP(A:A,Sheet1!A:A,Sheet1!P:P)</f>
        <v>No</v>
      </c>
      <c r="L525" s="12">
        <f>_xlfn.XLOOKUP(A:A,Sheet1!A:A,Sheet1!S:S)</f>
        <v>0.96</v>
      </c>
    </row>
    <row r="526" spans="1:12" x14ac:dyDescent="0.35">
      <c r="A526" s="8" t="s">
        <v>1079</v>
      </c>
      <c r="B526" s="2" t="str">
        <f>_xlfn.XLOOKUP(A526,Sheet1!A:A,Sheet1!B:B)</f>
        <v>Theresa Stewart</v>
      </c>
      <c r="C526" s="2" t="str">
        <f>_xlfn.XLOOKUP(A:A,Sheet1!A:A,Sheet1!D:D)</f>
        <v>Female</v>
      </c>
      <c r="D526" s="8">
        <f>_xlfn.XLOOKUP(A:A,Sheet1!A:A,Sheet1!F:F)</f>
        <v>51</v>
      </c>
      <c r="E526" s="2" t="str">
        <f>_xlfn.XLOOKUP(A:A,Sheet1!A:A,Sheet1!G:G)</f>
        <v>United States</v>
      </c>
      <c r="F526" s="8" t="str">
        <f>_xlfn.XLOOKUP(A:A,Sheet1!A:A,Sheet1!H:H)</f>
        <v>English</v>
      </c>
      <c r="G526" s="8" t="str">
        <f>_xlfn.XLOOKUP(A:A,Sheet1!A:A,Sheet1!I:I)</f>
        <v>Blockchain Development</v>
      </c>
      <c r="H526" s="8">
        <f>_xlfn.XLOOKUP(A:A,Sheet1!A:A,Sheet1!K:K)</f>
        <v>25</v>
      </c>
      <c r="I526" s="9">
        <f>_xlfn.XLOOKUP(A:A,Sheet1!A:A,Sheet1!M:M)</f>
        <v>50</v>
      </c>
      <c r="J526" s="10">
        <f>_xlfn.XLOOKUP(A:A,Sheet1!A:A,Sheet1!O:O)</f>
        <v>1.4</v>
      </c>
      <c r="K526" t="str">
        <f>_xlfn.XLOOKUP(A:A,Sheet1!A:A,Sheet1!P:P)</f>
        <v>Yes</v>
      </c>
      <c r="L526" s="12">
        <f>_xlfn.XLOOKUP(A:A,Sheet1!A:A,Sheet1!S:S)</f>
        <v>0.6</v>
      </c>
    </row>
    <row r="527" spans="1:12" x14ac:dyDescent="0.35">
      <c r="A527" s="8" t="s">
        <v>1081</v>
      </c>
      <c r="B527" s="2" t="str">
        <f>_xlfn.XLOOKUP(A527,Sheet1!A:A,Sheet1!B:B)</f>
        <v>Steven Kim</v>
      </c>
      <c r="C527" s="2" t="str">
        <f>_xlfn.XLOOKUP(A:A,Sheet1!A:A,Sheet1!D:D)</f>
        <v>Male</v>
      </c>
      <c r="D527" s="8">
        <f>_xlfn.XLOOKUP(A:A,Sheet1!A:A,Sheet1!F:F)</f>
        <v>46</v>
      </c>
      <c r="E527" s="2" t="str">
        <f>_xlfn.XLOOKUP(A:A,Sheet1!A:A,Sheet1!G:G)</f>
        <v>Turkey</v>
      </c>
      <c r="F527" s="8" t="str">
        <f>_xlfn.XLOOKUP(A:A,Sheet1!A:A,Sheet1!H:H)</f>
        <v>Turkish</v>
      </c>
      <c r="G527" s="8" t="str">
        <f>_xlfn.XLOOKUP(A:A,Sheet1!A:A,Sheet1!I:I)</f>
        <v>Mobile Apps</v>
      </c>
      <c r="H527" s="8">
        <f>_xlfn.XLOOKUP(A:A,Sheet1!A:A,Sheet1!K:K)</f>
        <v>10</v>
      </c>
      <c r="I527" s="9">
        <f>_xlfn.XLOOKUP(A:A,Sheet1!A:A,Sheet1!M:M)</f>
        <v>40</v>
      </c>
      <c r="J527" s="10">
        <f>_xlfn.XLOOKUP(A:A,Sheet1!A:A,Sheet1!O:O)</f>
        <v>4.5999999999999996</v>
      </c>
      <c r="K527" t="str">
        <f>_xlfn.XLOOKUP(A:A,Sheet1!A:A,Sheet1!P:P)</f>
        <v>Yes</v>
      </c>
      <c r="L527" s="12">
        <f>_xlfn.XLOOKUP(A:A,Sheet1!A:A,Sheet1!S:S)</f>
        <v>0.62</v>
      </c>
    </row>
    <row r="528" spans="1:12" x14ac:dyDescent="0.35">
      <c r="A528" s="8" t="s">
        <v>1083</v>
      </c>
      <c r="B528" s="2" t="str">
        <f>_xlfn.XLOOKUP(A528,Sheet1!A:A,Sheet1!B:B)</f>
        <v>Kristi Knight</v>
      </c>
      <c r="C528" s="2" t="str">
        <f>_xlfn.XLOOKUP(A:A,Sheet1!A:A,Sheet1!D:D)</f>
        <v>Female</v>
      </c>
      <c r="D528" s="8">
        <f>_xlfn.XLOOKUP(A:A,Sheet1!A:A,Sheet1!F:F)</f>
        <v>38</v>
      </c>
      <c r="E528" s="2" t="str">
        <f>_xlfn.XLOOKUP(A:A,Sheet1!A:A,Sheet1!G:G)</f>
        <v>Italy</v>
      </c>
      <c r="F528" s="8" t="str">
        <f>_xlfn.XLOOKUP(A:A,Sheet1!A:A,Sheet1!H:H)</f>
        <v>Italian</v>
      </c>
      <c r="G528" s="8" t="str">
        <f>_xlfn.XLOOKUP(A:A,Sheet1!A:A,Sheet1!I:I)</f>
        <v>Data Analysis</v>
      </c>
      <c r="H528" s="8">
        <f>_xlfn.XLOOKUP(A:A,Sheet1!A:A,Sheet1!K:K)</f>
        <v>18</v>
      </c>
      <c r="I528" s="9">
        <f>_xlfn.XLOOKUP(A:A,Sheet1!A:A,Sheet1!M:M)</f>
        <v>40</v>
      </c>
      <c r="J528" s="10">
        <f>_xlfn.XLOOKUP(A:A,Sheet1!A:A,Sheet1!O:O)</f>
        <v>4.9000000000000004</v>
      </c>
      <c r="K528" t="str">
        <f>_xlfn.XLOOKUP(A:A,Sheet1!A:A,Sheet1!P:P)</f>
        <v>No</v>
      </c>
      <c r="L528" s="12">
        <f>_xlfn.XLOOKUP(A:A,Sheet1!A:A,Sheet1!S:S)</f>
        <v>0.74</v>
      </c>
    </row>
    <row r="529" spans="1:12" x14ac:dyDescent="0.35">
      <c r="A529" s="8" t="s">
        <v>1085</v>
      </c>
      <c r="B529" s="2" t="str">
        <f>_xlfn.XLOOKUP(A529,Sheet1!A:A,Sheet1!B:B)</f>
        <v>Jason Bryant</v>
      </c>
      <c r="C529" s="2" t="str">
        <f>_xlfn.XLOOKUP(A:A,Sheet1!A:A,Sheet1!D:D)</f>
        <v>Male</v>
      </c>
      <c r="D529" s="8">
        <f>_xlfn.XLOOKUP(A:A,Sheet1!A:A,Sheet1!F:F)</f>
        <v>26</v>
      </c>
      <c r="E529" s="2" t="str">
        <f>_xlfn.XLOOKUP(A:A,Sheet1!A:A,Sheet1!G:G)</f>
        <v>Spain</v>
      </c>
      <c r="F529" s="8" t="str">
        <f>_xlfn.XLOOKUP(A:A,Sheet1!A:A,Sheet1!H:H)</f>
        <v>Spanish</v>
      </c>
      <c r="G529" s="8" t="str">
        <f>_xlfn.XLOOKUP(A:A,Sheet1!A:A,Sheet1!I:I)</f>
        <v>Blockchain Development</v>
      </c>
      <c r="H529" s="8">
        <f>_xlfn.XLOOKUP(A:A,Sheet1!A:A,Sheet1!K:K)</f>
        <v>1</v>
      </c>
      <c r="I529" s="9">
        <f>_xlfn.XLOOKUP(A:A,Sheet1!A:A,Sheet1!M:M)</f>
        <v>20</v>
      </c>
      <c r="J529" s="11">
        <v>0</v>
      </c>
      <c r="K529" t="str">
        <f>_xlfn.XLOOKUP(A:A,Sheet1!A:A,Sheet1!P:P)</f>
        <v>Yes</v>
      </c>
      <c r="L529" s="12">
        <f>_xlfn.XLOOKUP(A:A,Sheet1!A:A,Sheet1!S:S)</f>
        <v>0.79269417475728277</v>
      </c>
    </row>
    <row r="530" spans="1:12" x14ac:dyDescent="0.35">
      <c r="A530" s="8" t="s">
        <v>1087</v>
      </c>
      <c r="B530" s="2" t="str">
        <f>_xlfn.XLOOKUP(A530,Sheet1!A:A,Sheet1!B:B)</f>
        <v>Maureen Keith</v>
      </c>
      <c r="C530" s="2" t="str">
        <f>_xlfn.XLOOKUP(A:A,Sheet1!A:A,Sheet1!D:D)</f>
        <v>Female</v>
      </c>
      <c r="D530" s="8">
        <f>_xlfn.XLOOKUP(A:A,Sheet1!A:A,Sheet1!F:F)</f>
        <v>40</v>
      </c>
      <c r="E530" s="2" t="str">
        <f>_xlfn.XLOOKUP(A:A,Sheet1!A:A,Sheet1!G:G)</f>
        <v>United Kingdom</v>
      </c>
      <c r="F530" s="8" t="str">
        <f>_xlfn.XLOOKUP(A:A,Sheet1!A:A,Sheet1!H:H)</f>
        <v>English</v>
      </c>
      <c r="G530" s="8" t="str">
        <f>_xlfn.XLOOKUP(A:A,Sheet1!A:A,Sheet1!I:I)</f>
        <v>DevOps</v>
      </c>
      <c r="H530" s="8">
        <f>_xlfn.XLOOKUP(A:A,Sheet1!A:A,Sheet1!K:K)</f>
        <v>12</v>
      </c>
      <c r="I530" s="9">
        <f>_xlfn.XLOOKUP(A:A,Sheet1!A:A,Sheet1!M:M)</f>
        <v>30</v>
      </c>
      <c r="J530" s="10">
        <f>_xlfn.XLOOKUP(A:A,Sheet1!A:A,Sheet1!O:O)</f>
        <v>3.5</v>
      </c>
      <c r="K530" t="str">
        <f>_xlfn.XLOOKUP(A:A,Sheet1!A:A,Sheet1!P:P)</f>
        <v>No</v>
      </c>
      <c r="L530" s="12">
        <f>_xlfn.XLOOKUP(A:A,Sheet1!A:A,Sheet1!S:S)</f>
        <v>0.98</v>
      </c>
    </row>
    <row r="531" spans="1:12" x14ac:dyDescent="0.35">
      <c r="A531" s="8" t="s">
        <v>1089</v>
      </c>
      <c r="B531" s="2" t="str">
        <f>_xlfn.XLOOKUP(A531,Sheet1!A:A,Sheet1!B:B)</f>
        <v>Shawn Hogan</v>
      </c>
      <c r="C531" s="2" t="str">
        <f>_xlfn.XLOOKUP(A:A,Sheet1!A:A,Sheet1!D:D)</f>
        <v>Male</v>
      </c>
      <c r="D531" s="8">
        <f>_xlfn.XLOOKUP(A:A,Sheet1!A:A,Sheet1!F:F)</f>
        <v>37</v>
      </c>
      <c r="E531" s="2" t="str">
        <f>_xlfn.XLOOKUP(A:A,Sheet1!A:A,Sheet1!G:G)</f>
        <v>Germany</v>
      </c>
      <c r="F531" s="8" t="str">
        <f>_xlfn.XLOOKUP(A:A,Sheet1!A:A,Sheet1!H:H)</f>
        <v>German</v>
      </c>
      <c r="G531" s="8" t="str">
        <f>_xlfn.XLOOKUP(A:A,Sheet1!A:A,Sheet1!I:I)</f>
        <v>Machine Learning</v>
      </c>
      <c r="H531" s="8">
        <f>_xlfn.XLOOKUP(A:A,Sheet1!A:A,Sheet1!K:K)</f>
        <v>9</v>
      </c>
      <c r="I531" s="9">
        <f>_xlfn.XLOOKUP(A:A,Sheet1!A:A,Sheet1!M:M)</f>
        <v>40</v>
      </c>
      <c r="J531" s="10">
        <f>_xlfn.XLOOKUP(A:A,Sheet1!A:A,Sheet1!O:O)</f>
        <v>1.7</v>
      </c>
      <c r="K531" t="str">
        <f>_xlfn.XLOOKUP(A:A,Sheet1!A:A,Sheet1!P:P)</f>
        <v>Yes</v>
      </c>
      <c r="L531" s="12">
        <f>_xlfn.XLOOKUP(A:A,Sheet1!A:A,Sheet1!S:S)</f>
        <v>0.63</v>
      </c>
    </row>
    <row r="532" spans="1:12" x14ac:dyDescent="0.35">
      <c r="A532" s="8" t="s">
        <v>1091</v>
      </c>
      <c r="B532" s="2" t="str">
        <f>_xlfn.XLOOKUP(A532,Sheet1!A:A,Sheet1!B:B)</f>
        <v>William Davis</v>
      </c>
      <c r="C532" s="2" t="str">
        <f>_xlfn.XLOOKUP(A:A,Sheet1!A:A,Sheet1!D:D)</f>
        <v>Male</v>
      </c>
      <c r="D532" s="8">
        <f>_xlfn.XLOOKUP(A:A,Sheet1!A:A,Sheet1!F:F)</f>
        <v>28</v>
      </c>
      <c r="E532" s="2" t="str">
        <f>_xlfn.XLOOKUP(A:A,Sheet1!A:A,Sheet1!G:G)</f>
        <v>Canada</v>
      </c>
      <c r="F532" s="8" t="str">
        <f>_xlfn.XLOOKUP(A:A,Sheet1!A:A,Sheet1!H:H)</f>
        <v>English</v>
      </c>
      <c r="G532" s="8" t="str">
        <f>_xlfn.XLOOKUP(A:A,Sheet1!A:A,Sheet1!I:I)</f>
        <v>Blockchain Development</v>
      </c>
      <c r="H532" s="8">
        <f>_xlfn.XLOOKUP(A:A,Sheet1!A:A,Sheet1!K:K)</f>
        <v>5</v>
      </c>
      <c r="I532" s="9">
        <f>_xlfn.XLOOKUP(A:A,Sheet1!A:A,Sheet1!M:M)</f>
        <v>50</v>
      </c>
      <c r="J532" s="11">
        <v>0</v>
      </c>
      <c r="K532" t="str">
        <f>_xlfn.XLOOKUP(A:A,Sheet1!A:A,Sheet1!P:P)</f>
        <v>Yes</v>
      </c>
      <c r="L532" s="12">
        <f>_xlfn.XLOOKUP(A:A,Sheet1!A:A,Sheet1!S:S)</f>
        <v>0.96</v>
      </c>
    </row>
    <row r="533" spans="1:12" x14ac:dyDescent="0.35">
      <c r="A533" s="8" t="s">
        <v>1093</v>
      </c>
      <c r="B533" s="2" t="str">
        <f>_xlfn.XLOOKUP(A533,Sheet1!A:A,Sheet1!B:B)</f>
        <v>Stacy Bailey</v>
      </c>
      <c r="C533" s="2" t="str">
        <f>_xlfn.XLOOKUP(A:A,Sheet1!A:A,Sheet1!D:D)</f>
        <v>Female</v>
      </c>
      <c r="D533" s="8">
        <f>_xlfn.XLOOKUP(A:A,Sheet1!A:A,Sheet1!F:F)</f>
        <v>48</v>
      </c>
      <c r="E533" s="2" t="str">
        <f>_xlfn.XLOOKUP(A:A,Sheet1!A:A,Sheet1!G:G)</f>
        <v>India</v>
      </c>
      <c r="F533" s="8" t="str">
        <f>_xlfn.XLOOKUP(A:A,Sheet1!A:A,Sheet1!H:H)</f>
        <v>Hindi</v>
      </c>
      <c r="G533" s="8" t="str">
        <f>_xlfn.XLOOKUP(A:A,Sheet1!A:A,Sheet1!I:I)</f>
        <v>Mobile Apps</v>
      </c>
      <c r="H533" s="8">
        <f>_xlfn.XLOOKUP(A:A,Sheet1!A:A,Sheet1!K:K)</f>
        <v>28</v>
      </c>
      <c r="I533" s="9">
        <f>_xlfn.XLOOKUP(A:A,Sheet1!A:A,Sheet1!M:M)</f>
        <v>20</v>
      </c>
      <c r="J533" s="11">
        <v>0</v>
      </c>
      <c r="K533" t="str">
        <f>_xlfn.XLOOKUP(A:A,Sheet1!A:A,Sheet1!P:P)</f>
        <v>No</v>
      </c>
      <c r="L533" s="12">
        <f>_xlfn.XLOOKUP(A:A,Sheet1!A:A,Sheet1!S:S)</f>
        <v>0.88</v>
      </c>
    </row>
    <row r="534" spans="1:12" x14ac:dyDescent="0.35">
      <c r="A534" s="8" t="s">
        <v>1095</v>
      </c>
      <c r="B534" s="2" t="str">
        <f>_xlfn.XLOOKUP(A534,Sheet1!A:A,Sheet1!B:B)</f>
        <v>Thomas Dixon</v>
      </c>
      <c r="C534" s="2" t="str">
        <f>_xlfn.XLOOKUP(A:A,Sheet1!A:A,Sheet1!D:D)</f>
        <v>Male</v>
      </c>
      <c r="D534" s="8">
        <f>_xlfn.XLOOKUP(A:A,Sheet1!A:A,Sheet1!F:F)</f>
        <v>22</v>
      </c>
      <c r="E534" s="2" t="str">
        <f>_xlfn.XLOOKUP(A:A,Sheet1!A:A,Sheet1!G:G)</f>
        <v>India</v>
      </c>
      <c r="F534" s="8" t="str">
        <f>_xlfn.XLOOKUP(A:A,Sheet1!A:A,Sheet1!H:H)</f>
        <v>Hindi</v>
      </c>
      <c r="G534" s="8" t="str">
        <f>_xlfn.XLOOKUP(A:A,Sheet1!A:A,Sheet1!I:I)</f>
        <v>AI</v>
      </c>
      <c r="H534" s="8">
        <f>_xlfn.XLOOKUP(A:A,Sheet1!A:A,Sheet1!K:K)</f>
        <v>0</v>
      </c>
      <c r="I534" s="9">
        <f>_xlfn.XLOOKUP(A:A,Sheet1!A:A,Sheet1!M:M)</f>
        <v>40</v>
      </c>
      <c r="J534" s="10">
        <f>_xlfn.XLOOKUP(A:A,Sheet1!A:A,Sheet1!O:O)</f>
        <v>4.5999999999999996</v>
      </c>
      <c r="K534" t="str">
        <f>_xlfn.XLOOKUP(A:A,Sheet1!A:A,Sheet1!P:P)</f>
        <v>No</v>
      </c>
      <c r="L534" s="12">
        <f>_xlfn.XLOOKUP(A:A,Sheet1!A:A,Sheet1!S:S)</f>
        <v>0.79269417475728277</v>
      </c>
    </row>
    <row r="535" spans="1:12" x14ac:dyDescent="0.35">
      <c r="A535" s="8" t="s">
        <v>1097</v>
      </c>
      <c r="B535" s="2" t="str">
        <f>_xlfn.XLOOKUP(A535,Sheet1!A:A,Sheet1!B:B)</f>
        <v>Maria Hall</v>
      </c>
      <c r="C535" s="2" t="str">
        <f>_xlfn.XLOOKUP(A:A,Sheet1!A:A,Sheet1!D:D)</f>
        <v>Female</v>
      </c>
      <c r="D535" s="8">
        <f>_xlfn.XLOOKUP(A:A,Sheet1!A:A,Sheet1!F:F)</f>
        <v>41</v>
      </c>
      <c r="E535" s="2" t="str">
        <f>_xlfn.XLOOKUP(A:A,Sheet1!A:A,Sheet1!G:G)</f>
        <v>Germany</v>
      </c>
      <c r="F535" s="8" t="str">
        <f>_xlfn.XLOOKUP(A:A,Sheet1!A:A,Sheet1!H:H)</f>
        <v>German</v>
      </c>
      <c r="G535" s="8" t="str">
        <f>_xlfn.XLOOKUP(A:A,Sheet1!A:A,Sheet1!I:I)</f>
        <v>Web Development</v>
      </c>
      <c r="H535" s="8">
        <f>_xlfn.XLOOKUP(A:A,Sheet1!A:A,Sheet1!K:K)</f>
        <v>14</v>
      </c>
      <c r="I535" s="9">
        <f>_xlfn.XLOOKUP(A:A,Sheet1!A:A,Sheet1!M:M)</f>
        <v>40</v>
      </c>
      <c r="J535" s="10">
        <f>_xlfn.XLOOKUP(A:A,Sheet1!A:A,Sheet1!O:O)</f>
        <v>1.1000000000000001</v>
      </c>
      <c r="K535" t="str">
        <f>_xlfn.XLOOKUP(A:A,Sheet1!A:A,Sheet1!P:P)</f>
        <v>Yes</v>
      </c>
      <c r="L535" s="12">
        <f>_xlfn.XLOOKUP(A:A,Sheet1!A:A,Sheet1!S:S)</f>
        <v>0.73</v>
      </c>
    </row>
    <row r="536" spans="1:12" x14ac:dyDescent="0.35">
      <c r="A536" s="8" t="s">
        <v>1099</v>
      </c>
      <c r="B536" s="2" t="str">
        <f>_xlfn.XLOOKUP(A536,Sheet1!A:A,Sheet1!B:B)</f>
        <v>Tony Lee</v>
      </c>
      <c r="C536" s="2" t="str">
        <f>_xlfn.XLOOKUP(A:A,Sheet1!A:A,Sheet1!D:D)</f>
        <v>Male</v>
      </c>
      <c r="D536" s="8">
        <f>_xlfn.XLOOKUP(A:A,Sheet1!A:A,Sheet1!F:F)</f>
        <v>38</v>
      </c>
      <c r="E536" s="2" t="str">
        <f>_xlfn.XLOOKUP(A:A,Sheet1!A:A,Sheet1!G:G)</f>
        <v>United States</v>
      </c>
      <c r="F536" s="8" t="str">
        <f>_xlfn.XLOOKUP(A:A,Sheet1!A:A,Sheet1!H:H)</f>
        <v>English</v>
      </c>
      <c r="G536" s="8" t="str">
        <f>_xlfn.XLOOKUP(A:A,Sheet1!A:A,Sheet1!I:I)</f>
        <v>Graphic Design</v>
      </c>
      <c r="H536" s="8">
        <f>_xlfn.XLOOKUP(A:A,Sheet1!A:A,Sheet1!K:K)</f>
        <v>15</v>
      </c>
      <c r="I536" s="9">
        <f>_xlfn.XLOOKUP(A:A,Sheet1!A:A,Sheet1!M:M)</f>
        <v>40</v>
      </c>
      <c r="J536" s="10">
        <f>_xlfn.XLOOKUP(A:A,Sheet1!A:A,Sheet1!O:O)</f>
        <v>4.2</v>
      </c>
      <c r="K536" t="str">
        <f>_xlfn.XLOOKUP(A:A,Sheet1!A:A,Sheet1!P:P)</f>
        <v>No</v>
      </c>
      <c r="L536" s="12">
        <f>_xlfn.XLOOKUP(A:A,Sheet1!A:A,Sheet1!S:S)</f>
        <v>0.88</v>
      </c>
    </row>
    <row r="537" spans="1:12" x14ac:dyDescent="0.35">
      <c r="A537" s="8" t="s">
        <v>1101</v>
      </c>
      <c r="B537" s="2" t="str">
        <f>_xlfn.XLOOKUP(A537,Sheet1!A:A,Sheet1!B:B)</f>
        <v xml:space="preserve">Catherine Mccoy </v>
      </c>
      <c r="C537" s="2" t="str">
        <f>_xlfn.XLOOKUP(A:A,Sheet1!A:A,Sheet1!D:D)</f>
        <v>Female</v>
      </c>
      <c r="D537" s="8">
        <f>_xlfn.XLOOKUP(A:A,Sheet1!A:A,Sheet1!F:F)</f>
        <v>31</v>
      </c>
      <c r="E537" s="2" t="str">
        <f>_xlfn.XLOOKUP(A:A,Sheet1!A:A,Sheet1!G:G)</f>
        <v>South Africa</v>
      </c>
      <c r="F537" s="8" t="str">
        <f>_xlfn.XLOOKUP(A:A,Sheet1!A:A,Sheet1!H:H)</f>
        <v>Afrikaans</v>
      </c>
      <c r="G537" s="8" t="str">
        <f>_xlfn.XLOOKUP(A:A,Sheet1!A:A,Sheet1!I:I)</f>
        <v>UI/UX Design</v>
      </c>
      <c r="H537" s="8">
        <f>_xlfn.XLOOKUP(A:A,Sheet1!A:A,Sheet1!K:K)</f>
        <v>9</v>
      </c>
      <c r="I537" s="9">
        <f>_xlfn.XLOOKUP(A:A,Sheet1!A:A,Sheet1!M:M)</f>
        <v>40</v>
      </c>
      <c r="J537" s="11">
        <v>0</v>
      </c>
      <c r="K537" t="str">
        <f>_xlfn.XLOOKUP(A:A,Sheet1!A:A,Sheet1!P:P)</f>
        <v>No</v>
      </c>
      <c r="L537" s="12">
        <f>_xlfn.XLOOKUP(A:A,Sheet1!A:A,Sheet1!S:S)</f>
        <v>0.91</v>
      </c>
    </row>
    <row r="538" spans="1:12" x14ac:dyDescent="0.35">
      <c r="A538" s="8" t="s">
        <v>1102</v>
      </c>
      <c r="B538" s="2" t="str">
        <f>_xlfn.XLOOKUP(A538,Sheet1!A:A,Sheet1!B:B)</f>
        <v>Maria Benitez</v>
      </c>
      <c r="C538" s="2" t="str">
        <f>_xlfn.XLOOKUP(A:A,Sheet1!A:A,Sheet1!D:D)</f>
        <v>Female</v>
      </c>
      <c r="D538" s="8">
        <f>_xlfn.XLOOKUP(A:A,Sheet1!A:A,Sheet1!F:F)</f>
        <v>30</v>
      </c>
      <c r="E538" s="2" t="str">
        <f>_xlfn.XLOOKUP(A:A,Sheet1!A:A,Sheet1!G:G)</f>
        <v>China</v>
      </c>
      <c r="F538" s="8" t="str">
        <f>_xlfn.XLOOKUP(A:A,Sheet1!A:A,Sheet1!H:H)</f>
        <v>Mandarin</v>
      </c>
      <c r="G538" s="8" t="str">
        <f>_xlfn.XLOOKUP(A:A,Sheet1!A:A,Sheet1!I:I)</f>
        <v>Mobile Apps</v>
      </c>
      <c r="H538" s="8">
        <f>_xlfn.XLOOKUP(A:A,Sheet1!A:A,Sheet1!K:K)</f>
        <v>9</v>
      </c>
      <c r="I538" s="9">
        <f>_xlfn.XLOOKUP(A:A,Sheet1!A:A,Sheet1!M:M)</f>
        <v>30</v>
      </c>
      <c r="J538" s="10">
        <f>_xlfn.XLOOKUP(A:A,Sheet1!A:A,Sheet1!O:O)</f>
        <v>3.9</v>
      </c>
      <c r="K538" t="str">
        <f>_xlfn.XLOOKUP(A:A,Sheet1!A:A,Sheet1!P:P)</f>
        <v>No</v>
      </c>
      <c r="L538" s="12">
        <f>_xlfn.XLOOKUP(A:A,Sheet1!A:A,Sheet1!S:S)</f>
        <v>0.65</v>
      </c>
    </row>
    <row r="539" spans="1:12" x14ac:dyDescent="0.35">
      <c r="A539" s="8" t="s">
        <v>1104</v>
      </c>
      <c r="B539" s="2" t="str">
        <f>_xlfn.XLOOKUP(A539,Sheet1!A:A,Sheet1!B:B)</f>
        <v>Joshua Chambers</v>
      </c>
      <c r="C539" s="2" t="str">
        <f>_xlfn.XLOOKUP(A:A,Sheet1!A:A,Sheet1!D:D)</f>
        <v>Male</v>
      </c>
      <c r="D539" s="8">
        <f>_xlfn.XLOOKUP(A:A,Sheet1!A:A,Sheet1!F:F)</f>
        <v>51</v>
      </c>
      <c r="E539" s="2" t="str">
        <f>_xlfn.XLOOKUP(A:A,Sheet1!A:A,Sheet1!G:G)</f>
        <v>Mexico</v>
      </c>
      <c r="F539" s="8" t="str">
        <f>_xlfn.XLOOKUP(A:A,Sheet1!A:A,Sheet1!H:H)</f>
        <v>Spanish</v>
      </c>
      <c r="G539" s="8" t="str">
        <f>_xlfn.XLOOKUP(A:A,Sheet1!A:A,Sheet1!I:I)</f>
        <v>UI/UX Design</v>
      </c>
      <c r="H539" s="8">
        <f>_xlfn.XLOOKUP(A:A,Sheet1!A:A,Sheet1!K:K)</f>
        <v>22</v>
      </c>
      <c r="I539" s="9">
        <f>_xlfn.XLOOKUP(A:A,Sheet1!A:A,Sheet1!M:M)</f>
        <v>20</v>
      </c>
      <c r="J539" s="10">
        <f>_xlfn.XLOOKUP(A:A,Sheet1!A:A,Sheet1!O:O)</f>
        <v>3.4</v>
      </c>
      <c r="K539" t="str">
        <f>_xlfn.XLOOKUP(A:A,Sheet1!A:A,Sheet1!P:P)</f>
        <v>Yes</v>
      </c>
      <c r="L539" s="12">
        <f>_xlfn.XLOOKUP(A:A,Sheet1!A:A,Sheet1!S:S)</f>
        <v>0.9</v>
      </c>
    </row>
    <row r="540" spans="1:12" x14ac:dyDescent="0.35">
      <c r="A540" s="8" t="s">
        <v>1106</v>
      </c>
      <c r="B540" s="2" t="str">
        <f>_xlfn.XLOOKUP(A540,Sheet1!A:A,Sheet1!B:B)</f>
        <v>Janice Daniels</v>
      </c>
      <c r="C540" s="2" t="str">
        <f>_xlfn.XLOOKUP(A:A,Sheet1!A:A,Sheet1!D:D)</f>
        <v>Female</v>
      </c>
      <c r="D540" s="8">
        <f>_xlfn.XLOOKUP(A:A,Sheet1!A:A,Sheet1!F:F)</f>
        <v>21</v>
      </c>
      <c r="E540" s="2" t="str">
        <f>_xlfn.XLOOKUP(A:A,Sheet1!A:A,Sheet1!G:G)</f>
        <v>Germany</v>
      </c>
      <c r="F540" s="8" t="str">
        <f>_xlfn.XLOOKUP(A:A,Sheet1!A:A,Sheet1!H:H)</f>
        <v>German</v>
      </c>
      <c r="G540" s="8" t="str">
        <f>_xlfn.XLOOKUP(A:A,Sheet1!A:A,Sheet1!I:I)</f>
        <v>DevOps</v>
      </c>
      <c r="H540" s="8">
        <f>_xlfn.XLOOKUP(A:A,Sheet1!A:A,Sheet1!K:K)</f>
        <v>0</v>
      </c>
      <c r="I540" s="9">
        <f>_xlfn.XLOOKUP(A:A,Sheet1!A:A,Sheet1!M:M)</f>
        <v>20</v>
      </c>
      <c r="J540" s="10">
        <f>_xlfn.XLOOKUP(A:A,Sheet1!A:A,Sheet1!O:O)</f>
        <v>2.6</v>
      </c>
      <c r="K540" t="str">
        <f>_xlfn.XLOOKUP(A:A,Sheet1!A:A,Sheet1!P:P)</f>
        <v>No</v>
      </c>
      <c r="L540" s="12">
        <f>_xlfn.XLOOKUP(A:A,Sheet1!A:A,Sheet1!S:S)</f>
        <v>0.72</v>
      </c>
    </row>
    <row r="541" spans="1:12" x14ac:dyDescent="0.35">
      <c r="A541" s="8" t="s">
        <v>1108</v>
      </c>
      <c r="B541" s="2" t="str">
        <f>_xlfn.XLOOKUP(A541,Sheet1!A:A,Sheet1!B:B)</f>
        <v>Carla Wood</v>
      </c>
      <c r="C541" s="2" t="str">
        <f>_xlfn.XLOOKUP(A:A,Sheet1!A:A,Sheet1!D:D)</f>
        <v>Female</v>
      </c>
      <c r="D541" s="8">
        <f>_xlfn.XLOOKUP(A:A,Sheet1!A:A,Sheet1!F:F)</f>
        <v>20</v>
      </c>
      <c r="E541" s="2" t="str">
        <f>_xlfn.XLOOKUP(A:A,Sheet1!A:A,Sheet1!G:G)</f>
        <v>Italy</v>
      </c>
      <c r="F541" s="8" t="str">
        <f>_xlfn.XLOOKUP(A:A,Sheet1!A:A,Sheet1!H:H)</f>
        <v>Italian</v>
      </c>
      <c r="G541" s="8" t="str">
        <f>_xlfn.XLOOKUP(A:A,Sheet1!A:A,Sheet1!I:I)</f>
        <v>DevOps</v>
      </c>
      <c r="H541" s="8">
        <f>_xlfn.XLOOKUP(A:A,Sheet1!A:A,Sheet1!K:K)</f>
        <v>1</v>
      </c>
      <c r="I541" s="9">
        <f>_xlfn.XLOOKUP(A:A,Sheet1!A:A,Sheet1!M:M)</f>
        <v>40</v>
      </c>
      <c r="J541" s="10">
        <f>_xlfn.XLOOKUP(A:A,Sheet1!A:A,Sheet1!O:O)</f>
        <v>2.2999999999999998</v>
      </c>
      <c r="K541" t="str">
        <f>_xlfn.XLOOKUP(A:A,Sheet1!A:A,Sheet1!P:P)</f>
        <v>Yes</v>
      </c>
      <c r="L541" s="12">
        <f>_xlfn.XLOOKUP(A:A,Sheet1!A:A,Sheet1!S:S)</f>
        <v>0.72</v>
      </c>
    </row>
    <row r="542" spans="1:12" x14ac:dyDescent="0.35">
      <c r="A542" s="8" t="s">
        <v>1110</v>
      </c>
      <c r="B542" s="2" t="str">
        <f>_xlfn.XLOOKUP(A542,Sheet1!A:A,Sheet1!B:B)</f>
        <v>Kenneth Vasquez</v>
      </c>
      <c r="C542" s="2" t="str">
        <f>_xlfn.XLOOKUP(A:A,Sheet1!A:A,Sheet1!D:D)</f>
        <v>Male</v>
      </c>
      <c r="D542" s="8">
        <f>_xlfn.XLOOKUP(A:A,Sheet1!A:A,Sheet1!F:F)</f>
        <v>30</v>
      </c>
      <c r="E542" s="2" t="str">
        <f>_xlfn.XLOOKUP(A:A,Sheet1!A:A,Sheet1!G:G)</f>
        <v>Japan</v>
      </c>
      <c r="F542" s="8" t="str">
        <f>_xlfn.XLOOKUP(A:A,Sheet1!A:A,Sheet1!H:H)</f>
        <v>Japanese</v>
      </c>
      <c r="G542" s="8" t="str">
        <f>_xlfn.XLOOKUP(A:A,Sheet1!A:A,Sheet1!I:I)</f>
        <v>Blockchain Development</v>
      </c>
      <c r="H542" s="8">
        <f>_xlfn.XLOOKUP(A:A,Sheet1!A:A,Sheet1!K:K)</f>
        <v>5</v>
      </c>
      <c r="I542" s="9">
        <f>_xlfn.XLOOKUP(A:A,Sheet1!A:A,Sheet1!M:M)</f>
        <v>30</v>
      </c>
      <c r="J542" s="10">
        <f>_xlfn.XLOOKUP(A:A,Sheet1!A:A,Sheet1!O:O)</f>
        <v>4.8</v>
      </c>
      <c r="K542" t="str">
        <f>_xlfn.XLOOKUP(A:A,Sheet1!A:A,Sheet1!P:P)</f>
        <v>No</v>
      </c>
      <c r="L542" s="12">
        <f>_xlfn.XLOOKUP(A:A,Sheet1!A:A,Sheet1!S:S)</f>
        <v>0.79269417475728277</v>
      </c>
    </row>
    <row r="543" spans="1:12" x14ac:dyDescent="0.35">
      <c r="A543" s="8" t="s">
        <v>1112</v>
      </c>
      <c r="B543" s="2" t="str">
        <f>_xlfn.XLOOKUP(A543,Sheet1!A:A,Sheet1!B:B)</f>
        <v>Kevin Smith</v>
      </c>
      <c r="C543" s="2" t="str">
        <f>_xlfn.XLOOKUP(A:A,Sheet1!A:A,Sheet1!D:D)</f>
        <v>Male</v>
      </c>
      <c r="D543" s="8">
        <f>_xlfn.XLOOKUP(A:A,Sheet1!A:A,Sheet1!F:F)</f>
        <v>41</v>
      </c>
      <c r="E543" s="2" t="str">
        <f>_xlfn.XLOOKUP(A:A,Sheet1!A:A,Sheet1!G:G)</f>
        <v>China</v>
      </c>
      <c r="F543" s="8" t="str">
        <f>_xlfn.XLOOKUP(A:A,Sheet1!A:A,Sheet1!H:H)</f>
        <v>Mandarin</v>
      </c>
      <c r="G543" s="8" t="str">
        <f>_xlfn.XLOOKUP(A:A,Sheet1!A:A,Sheet1!I:I)</f>
        <v>Data Analysis</v>
      </c>
      <c r="H543" s="8">
        <f>_xlfn.XLOOKUP(A:A,Sheet1!A:A,Sheet1!K:K)</f>
        <v>0</v>
      </c>
      <c r="I543" s="9">
        <f>_xlfn.XLOOKUP(A:A,Sheet1!A:A,Sheet1!M:M)</f>
        <v>40</v>
      </c>
      <c r="J543" s="10">
        <f>_xlfn.XLOOKUP(A:A,Sheet1!A:A,Sheet1!O:O)</f>
        <v>4.5</v>
      </c>
      <c r="K543" t="str">
        <f>_xlfn.XLOOKUP(A:A,Sheet1!A:A,Sheet1!P:P)</f>
        <v>No</v>
      </c>
      <c r="L543" s="12">
        <f>_xlfn.XLOOKUP(A:A,Sheet1!A:A,Sheet1!S:S)</f>
        <v>0.68</v>
      </c>
    </row>
    <row r="544" spans="1:12" x14ac:dyDescent="0.35">
      <c r="A544" s="8" t="s">
        <v>1114</v>
      </c>
      <c r="B544" s="2" t="str">
        <f>_xlfn.XLOOKUP(A544,Sheet1!A:A,Sheet1!B:B)</f>
        <v>Thomas Kim</v>
      </c>
      <c r="C544" s="2" t="str">
        <f>_xlfn.XLOOKUP(A:A,Sheet1!A:A,Sheet1!D:D)</f>
        <v>Male</v>
      </c>
      <c r="D544" s="8">
        <f>_xlfn.XLOOKUP(A:A,Sheet1!A:A,Sheet1!F:F)</f>
        <v>22</v>
      </c>
      <c r="E544" s="2" t="str">
        <f>_xlfn.XLOOKUP(A:A,Sheet1!A:A,Sheet1!G:G)</f>
        <v>Spain</v>
      </c>
      <c r="F544" s="8" t="str">
        <f>_xlfn.XLOOKUP(A:A,Sheet1!A:A,Sheet1!H:H)</f>
        <v>Spanish</v>
      </c>
      <c r="G544" s="8" t="str">
        <f>_xlfn.XLOOKUP(A:A,Sheet1!A:A,Sheet1!I:I)</f>
        <v>Blockchain Development</v>
      </c>
      <c r="H544" s="8">
        <f>_xlfn.XLOOKUP(A:A,Sheet1!A:A,Sheet1!K:K)</f>
        <v>0</v>
      </c>
      <c r="I544" s="9">
        <f>_xlfn.XLOOKUP(A:A,Sheet1!A:A,Sheet1!M:M)</f>
        <v>30</v>
      </c>
      <c r="J544" s="11">
        <v>0</v>
      </c>
      <c r="K544" t="str">
        <f>_xlfn.XLOOKUP(A:A,Sheet1!A:A,Sheet1!P:P)</f>
        <v>No</v>
      </c>
      <c r="L544" s="12">
        <f>_xlfn.XLOOKUP(A:A,Sheet1!A:A,Sheet1!S:S)</f>
        <v>0.87</v>
      </c>
    </row>
    <row r="545" spans="1:12" x14ac:dyDescent="0.35">
      <c r="A545" s="8" t="s">
        <v>1116</v>
      </c>
      <c r="B545" s="2" t="str">
        <f>_xlfn.XLOOKUP(A545,Sheet1!A:A,Sheet1!B:B)</f>
        <v>Sean Park</v>
      </c>
      <c r="C545" s="2" t="str">
        <f>_xlfn.XLOOKUP(A:A,Sheet1!A:A,Sheet1!D:D)</f>
        <v>Male</v>
      </c>
      <c r="D545" s="8">
        <f>_xlfn.XLOOKUP(A:A,Sheet1!A:A,Sheet1!F:F)</f>
        <v>45</v>
      </c>
      <c r="E545" s="2" t="str">
        <f>_xlfn.XLOOKUP(A:A,Sheet1!A:A,Sheet1!G:G)</f>
        <v>Mexico</v>
      </c>
      <c r="F545" s="8" t="str">
        <f>_xlfn.XLOOKUP(A:A,Sheet1!A:A,Sheet1!H:H)</f>
        <v>Spanish</v>
      </c>
      <c r="G545" s="8" t="str">
        <f>_xlfn.XLOOKUP(A:A,Sheet1!A:A,Sheet1!I:I)</f>
        <v>Cybersecurity</v>
      </c>
      <c r="H545" s="8">
        <f>_xlfn.XLOOKUP(A:A,Sheet1!A:A,Sheet1!K:K)</f>
        <v>19</v>
      </c>
      <c r="I545" s="9">
        <f>_xlfn.XLOOKUP(A:A,Sheet1!A:A,Sheet1!M:M)</f>
        <v>75</v>
      </c>
      <c r="J545" s="11">
        <v>0</v>
      </c>
      <c r="K545" t="str">
        <f>_xlfn.XLOOKUP(A:A,Sheet1!A:A,Sheet1!P:P)</f>
        <v>No</v>
      </c>
      <c r="L545" s="12">
        <f>_xlfn.XLOOKUP(A:A,Sheet1!A:A,Sheet1!S:S)</f>
        <v>0.72</v>
      </c>
    </row>
    <row r="546" spans="1:12" x14ac:dyDescent="0.35">
      <c r="A546" s="8" t="s">
        <v>1118</v>
      </c>
      <c r="B546" s="2" t="str">
        <f>_xlfn.XLOOKUP(A546,Sheet1!A:A,Sheet1!B:B)</f>
        <v>Judith Poole</v>
      </c>
      <c r="C546" s="2" t="str">
        <f>_xlfn.XLOOKUP(A:A,Sheet1!A:A,Sheet1!D:D)</f>
        <v>Female</v>
      </c>
      <c r="D546" s="8">
        <f>_xlfn.XLOOKUP(A:A,Sheet1!A:A,Sheet1!F:F)</f>
        <v>22</v>
      </c>
      <c r="E546" s="2" t="str">
        <f>_xlfn.XLOOKUP(A:A,Sheet1!A:A,Sheet1!G:G)</f>
        <v>Australia</v>
      </c>
      <c r="F546" s="8" t="str">
        <f>_xlfn.XLOOKUP(A:A,Sheet1!A:A,Sheet1!H:H)</f>
        <v>English</v>
      </c>
      <c r="G546" s="8" t="str">
        <f>_xlfn.XLOOKUP(A:A,Sheet1!A:A,Sheet1!I:I)</f>
        <v>Data Analysis</v>
      </c>
      <c r="H546" s="8">
        <f>_xlfn.XLOOKUP(A:A,Sheet1!A:A,Sheet1!K:K)</f>
        <v>2</v>
      </c>
      <c r="I546" s="9">
        <f>_xlfn.XLOOKUP(A:A,Sheet1!A:A,Sheet1!M:M)</f>
        <v>40</v>
      </c>
      <c r="J546" s="10">
        <f>_xlfn.XLOOKUP(A:A,Sheet1!A:A,Sheet1!O:O)</f>
        <v>1.1000000000000001</v>
      </c>
      <c r="K546" t="str">
        <f>_xlfn.XLOOKUP(A:A,Sheet1!A:A,Sheet1!P:P)</f>
        <v>No</v>
      </c>
      <c r="L546" s="12">
        <f>_xlfn.XLOOKUP(A:A,Sheet1!A:A,Sheet1!S:S)</f>
        <v>0.76</v>
      </c>
    </row>
    <row r="547" spans="1:12" x14ac:dyDescent="0.35">
      <c r="A547" s="8" t="s">
        <v>1120</v>
      </c>
      <c r="B547" s="2" t="str">
        <f>_xlfn.XLOOKUP(A547,Sheet1!A:A,Sheet1!B:B)</f>
        <v>Melanie Baird</v>
      </c>
      <c r="C547" s="2" t="str">
        <f>_xlfn.XLOOKUP(A:A,Sheet1!A:A,Sheet1!D:D)</f>
        <v>Female</v>
      </c>
      <c r="D547" s="8">
        <f>_xlfn.XLOOKUP(A:A,Sheet1!A:A,Sheet1!F:F)</f>
        <v>20</v>
      </c>
      <c r="E547" s="2" t="str">
        <f>_xlfn.XLOOKUP(A:A,Sheet1!A:A,Sheet1!G:G)</f>
        <v>Turkey</v>
      </c>
      <c r="F547" s="8" t="str">
        <f>_xlfn.XLOOKUP(A:A,Sheet1!A:A,Sheet1!H:H)</f>
        <v>Turkish</v>
      </c>
      <c r="G547" s="8" t="str">
        <f>_xlfn.XLOOKUP(A:A,Sheet1!A:A,Sheet1!I:I)</f>
        <v>Mobile Apps</v>
      </c>
      <c r="H547" s="8">
        <f>_xlfn.XLOOKUP(A:A,Sheet1!A:A,Sheet1!K:K)</f>
        <v>0</v>
      </c>
      <c r="I547" s="9">
        <f>_xlfn.XLOOKUP(A:A,Sheet1!A:A,Sheet1!M:M)</f>
        <v>100</v>
      </c>
      <c r="J547" s="11">
        <v>0</v>
      </c>
      <c r="K547" t="str">
        <f>_xlfn.XLOOKUP(A:A,Sheet1!A:A,Sheet1!P:P)</f>
        <v>No</v>
      </c>
      <c r="L547" s="12">
        <f>_xlfn.XLOOKUP(A:A,Sheet1!A:A,Sheet1!S:S)</f>
        <v>0.63</v>
      </c>
    </row>
    <row r="548" spans="1:12" x14ac:dyDescent="0.35">
      <c r="A548" s="8" t="s">
        <v>1122</v>
      </c>
      <c r="B548" s="2" t="str">
        <f>_xlfn.XLOOKUP(A548,Sheet1!A:A,Sheet1!B:B)</f>
        <v>Erika Mitchell</v>
      </c>
      <c r="C548" s="2" t="str">
        <f>_xlfn.XLOOKUP(A:A,Sheet1!A:A,Sheet1!D:D)</f>
        <v>Female</v>
      </c>
      <c r="D548" s="8">
        <f>_xlfn.XLOOKUP(A:A,Sheet1!A:A,Sheet1!F:F)</f>
        <v>20</v>
      </c>
      <c r="E548" s="2" t="str">
        <f>_xlfn.XLOOKUP(A:A,Sheet1!A:A,Sheet1!G:G)</f>
        <v>Canada</v>
      </c>
      <c r="F548" s="8" t="str">
        <f>_xlfn.XLOOKUP(A:A,Sheet1!A:A,Sheet1!H:H)</f>
        <v>English</v>
      </c>
      <c r="G548" s="8" t="str">
        <f>_xlfn.XLOOKUP(A:A,Sheet1!A:A,Sheet1!I:I)</f>
        <v>Data Analysis</v>
      </c>
      <c r="H548" s="8">
        <f>_xlfn.XLOOKUP(A:A,Sheet1!A:A,Sheet1!K:K)</f>
        <v>2</v>
      </c>
      <c r="I548" s="9">
        <f>_xlfn.XLOOKUP(A:A,Sheet1!A:A,Sheet1!M:M)</f>
        <v>40</v>
      </c>
      <c r="J548" s="10">
        <f>_xlfn.XLOOKUP(A:A,Sheet1!A:A,Sheet1!O:O)</f>
        <v>2.5125695216907653</v>
      </c>
      <c r="K548" t="str">
        <f>_xlfn.XLOOKUP(A:A,Sheet1!A:A,Sheet1!P:P)</f>
        <v>Yes</v>
      </c>
      <c r="L548" s="12">
        <f>_xlfn.XLOOKUP(A:A,Sheet1!A:A,Sheet1!S:S)</f>
        <v>0.91</v>
      </c>
    </row>
    <row r="549" spans="1:12" x14ac:dyDescent="0.35">
      <c r="A549" s="8" t="s">
        <v>1124</v>
      </c>
      <c r="B549" s="2" t="str">
        <f>_xlfn.XLOOKUP(A549,Sheet1!A:A,Sheet1!B:B)</f>
        <v>Ricky Martinez</v>
      </c>
      <c r="C549" s="2" t="str">
        <f>_xlfn.XLOOKUP(A:A,Sheet1!A:A,Sheet1!D:D)</f>
        <v>Male</v>
      </c>
      <c r="D549" s="8">
        <f>_xlfn.XLOOKUP(A:A,Sheet1!A:A,Sheet1!F:F)</f>
        <v>21</v>
      </c>
      <c r="E549" s="2" t="str">
        <f>_xlfn.XLOOKUP(A:A,Sheet1!A:A,Sheet1!G:G)</f>
        <v>United Kingdom</v>
      </c>
      <c r="F549" s="8" t="str">
        <f>_xlfn.XLOOKUP(A:A,Sheet1!A:A,Sheet1!H:H)</f>
        <v>English</v>
      </c>
      <c r="G549" s="8" t="str">
        <f>_xlfn.XLOOKUP(A:A,Sheet1!A:A,Sheet1!I:I)</f>
        <v>AI</v>
      </c>
      <c r="H549" s="8">
        <f>_xlfn.XLOOKUP(A:A,Sheet1!A:A,Sheet1!K:K)</f>
        <v>0</v>
      </c>
      <c r="I549" s="9">
        <f>_xlfn.XLOOKUP(A:A,Sheet1!A:A,Sheet1!M:M)</f>
        <v>100</v>
      </c>
      <c r="J549" s="10">
        <f>_xlfn.XLOOKUP(A:A,Sheet1!A:A,Sheet1!O:O)</f>
        <v>2.5125695216907653</v>
      </c>
      <c r="K549" t="str">
        <f>_xlfn.XLOOKUP(A:A,Sheet1!A:A,Sheet1!P:P)</f>
        <v>No</v>
      </c>
      <c r="L549" s="12">
        <f>_xlfn.XLOOKUP(A:A,Sheet1!A:A,Sheet1!S:S)</f>
        <v>0.73</v>
      </c>
    </row>
    <row r="550" spans="1:12" x14ac:dyDescent="0.35">
      <c r="A550" s="8" t="s">
        <v>1126</v>
      </c>
      <c r="B550" s="2" t="str">
        <f>_xlfn.XLOOKUP(A550,Sheet1!A:A,Sheet1!B:B)</f>
        <v>John Christian</v>
      </c>
      <c r="C550" s="2" t="str">
        <f>_xlfn.XLOOKUP(A:A,Sheet1!A:A,Sheet1!D:D)</f>
        <v>Male</v>
      </c>
      <c r="D550" s="8">
        <f>_xlfn.XLOOKUP(A:A,Sheet1!A:A,Sheet1!F:F)</f>
        <v>22</v>
      </c>
      <c r="E550" s="2" t="str">
        <f>_xlfn.XLOOKUP(A:A,Sheet1!A:A,Sheet1!G:G)</f>
        <v>Netherlands</v>
      </c>
      <c r="F550" s="8" t="str">
        <f>_xlfn.XLOOKUP(A:A,Sheet1!A:A,Sheet1!H:H)</f>
        <v>Dutch</v>
      </c>
      <c r="G550" s="8" t="str">
        <f>_xlfn.XLOOKUP(A:A,Sheet1!A:A,Sheet1!I:I)</f>
        <v>Cybersecurity</v>
      </c>
      <c r="H550" s="8">
        <f>_xlfn.XLOOKUP(A:A,Sheet1!A:A,Sheet1!K:K)</f>
        <v>1</v>
      </c>
      <c r="I550" s="9">
        <f>_xlfn.XLOOKUP(A:A,Sheet1!A:A,Sheet1!M:M)</f>
        <v>40</v>
      </c>
      <c r="J550" s="11">
        <v>0</v>
      </c>
      <c r="K550" t="str">
        <f>_xlfn.XLOOKUP(A:A,Sheet1!A:A,Sheet1!P:P)</f>
        <v>No</v>
      </c>
      <c r="L550" s="12">
        <f>_xlfn.XLOOKUP(A:A,Sheet1!A:A,Sheet1!S:S)</f>
        <v>0.63</v>
      </c>
    </row>
    <row r="551" spans="1:12" x14ac:dyDescent="0.35">
      <c r="A551" s="8" t="s">
        <v>1128</v>
      </c>
      <c r="B551" s="2" t="str">
        <f>_xlfn.XLOOKUP(A551,Sheet1!A:A,Sheet1!B:B)</f>
        <v>Nancy Smith</v>
      </c>
      <c r="C551" s="2" t="str">
        <f>_xlfn.XLOOKUP(A:A,Sheet1!A:A,Sheet1!D:D)</f>
        <v>Female</v>
      </c>
      <c r="D551" s="8">
        <f>_xlfn.XLOOKUP(A:A,Sheet1!A:A,Sheet1!F:F)</f>
        <v>28</v>
      </c>
      <c r="E551" s="2" t="str">
        <f>_xlfn.XLOOKUP(A:A,Sheet1!A:A,Sheet1!G:G)</f>
        <v>United Kingdom</v>
      </c>
      <c r="F551" s="8" t="str">
        <f>_xlfn.XLOOKUP(A:A,Sheet1!A:A,Sheet1!H:H)</f>
        <v>English</v>
      </c>
      <c r="G551" s="8" t="str">
        <f>_xlfn.XLOOKUP(A:A,Sheet1!A:A,Sheet1!I:I)</f>
        <v>DevOps</v>
      </c>
      <c r="H551" s="8">
        <f>_xlfn.XLOOKUP(A:A,Sheet1!A:A,Sheet1!K:K)</f>
        <v>3</v>
      </c>
      <c r="I551" s="9">
        <f>_xlfn.XLOOKUP(A:A,Sheet1!A:A,Sheet1!M:M)</f>
        <v>20</v>
      </c>
      <c r="J551" s="10">
        <f>_xlfn.XLOOKUP(A:A,Sheet1!A:A,Sheet1!O:O)</f>
        <v>2.5125695216907653</v>
      </c>
      <c r="K551" t="str">
        <f>_xlfn.XLOOKUP(A:A,Sheet1!A:A,Sheet1!P:P)</f>
        <v>Yes</v>
      </c>
      <c r="L551" s="12">
        <f>_xlfn.XLOOKUP(A:A,Sheet1!A:A,Sheet1!S:S)</f>
        <v>0.79</v>
      </c>
    </row>
    <row r="552" spans="1:12" x14ac:dyDescent="0.35">
      <c r="A552" s="8" t="s">
        <v>1130</v>
      </c>
      <c r="B552" s="2" t="str">
        <f>_xlfn.XLOOKUP(A552,Sheet1!A:A,Sheet1!B:B)</f>
        <v>Cassandra Stephens</v>
      </c>
      <c r="C552" s="2" t="str">
        <f>_xlfn.XLOOKUP(A:A,Sheet1!A:A,Sheet1!D:D)</f>
        <v>Female</v>
      </c>
      <c r="D552" s="8">
        <f>_xlfn.XLOOKUP(A:A,Sheet1!A:A,Sheet1!F:F)</f>
        <v>59</v>
      </c>
      <c r="E552" s="2" t="str">
        <f>_xlfn.XLOOKUP(A:A,Sheet1!A:A,Sheet1!G:G)</f>
        <v>Argentina</v>
      </c>
      <c r="F552" s="8" t="str">
        <f>_xlfn.XLOOKUP(A:A,Sheet1!A:A,Sheet1!H:H)</f>
        <v>Spanish</v>
      </c>
      <c r="G552" s="8" t="str">
        <f>_xlfn.XLOOKUP(A:A,Sheet1!A:A,Sheet1!I:I)</f>
        <v>AI</v>
      </c>
      <c r="H552" s="8">
        <f>_xlfn.XLOOKUP(A:A,Sheet1!A:A,Sheet1!K:K)</f>
        <v>9</v>
      </c>
      <c r="I552" s="9">
        <f>_xlfn.XLOOKUP(A:A,Sheet1!A:A,Sheet1!M:M)</f>
        <v>20</v>
      </c>
      <c r="J552" s="10">
        <f>_xlfn.XLOOKUP(A:A,Sheet1!A:A,Sheet1!O:O)</f>
        <v>4.0999999999999996</v>
      </c>
      <c r="K552" t="str">
        <f>_xlfn.XLOOKUP(A:A,Sheet1!A:A,Sheet1!P:P)</f>
        <v>No</v>
      </c>
      <c r="L552" s="12">
        <f>_xlfn.XLOOKUP(A:A,Sheet1!A:A,Sheet1!S:S)</f>
        <v>0.75</v>
      </c>
    </row>
    <row r="553" spans="1:12" x14ac:dyDescent="0.35">
      <c r="A553" s="8" t="s">
        <v>1132</v>
      </c>
      <c r="B553" s="2" t="str">
        <f>_xlfn.XLOOKUP(A553,Sheet1!A:A,Sheet1!B:B)</f>
        <v xml:space="preserve">Miss Janet Donovan </v>
      </c>
      <c r="C553" s="2" t="str">
        <f>_xlfn.XLOOKUP(A:A,Sheet1!A:A,Sheet1!D:D)</f>
        <v>Female</v>
      </c>
      <c r="D553" s="8">
        <f>_xlfn.XLOOKUP(A:A,Sheet1!A:A,Sheet1!F:F)</f>
        <v>28</v>
      </c>
      <c r="E553" s="2" t="str">
        <f>_xlfn.XLOOKUP(A:A,Sheet1!A:A,Sheet1!G:G)</f>
        <v>France</v>
      </c>
      <c r="F553" s="8" t="str">
        <f>_xlfn.XLOOKUP(A:A,Sheet1!A:A,Sheet1!H:H)</f>
        <v>French</v>
      </c>
      <c r="G553" s="8" t="str">
        <f>_xlfn.XLOOKUP(A:A,Sheet1!A:A,Sheet1!I:I)</f>
        <v>Web Development</v>
      </c>
      <c r="H553" s="8">
        <f>_xlfn.XLOOKUP(A:A,Sheet1!A:A,Sheet1!K:K)</f>
        <v>1</v>
      </c>
      <c r="I553" s="9">
        <f>_xlfn.XLOOKUP(A:A,Sheet1!A:A,Sheet1!M:M)</f>
        <v>40</v>
      </c>
      <c r="J553" s="11">
        <v>0</v>
      </c>
      <c r="K553" t="str">
        <f>_xlfn.XLOOKUP(A:A,Sheet1!A:A,Sheet1!P:P)</f>
        <v>No</v>
      </c>
      <c r="L553" s="12">
        <f>_xlfn.XLOOKUP(A:A,Sheet1!A:A,Sheet1!S:S)</f>
        <v>0.7</v>
      </c>
    </row>
    <row r="554" spans="1:12" x14ac:dyDescent="0.35">
      <c r="A554" s="8" t="s">
        <v>1133</v>
      </c>
      <c r="B554" s="2" t="str">
        <f>_xlfn.XLOOKUP(A554,Sheet1!A:A,Sheet1!B:B)</f>
        <v>Kristina Williams</v>
      </c>
      <c r="C554" s="2" t="str">
        <f>_xlfn.XLOOKUP(A:A,Sheet1!A:A,Sheet1!D:D)</f>
        <v>Female</v>
      </c>
      <c r="D554" s="8">
        <f>_xlfn.XLOOKUP(A:A,Sheet1!A:A,Sheet1!F:F)</f>
        <v>40</v>
      </c>
      <c r="E554" s="2" t="str">
        <f>_xlfn.XLOOKUP(A:A,Sheet1!A:A,Sheet1!G:G)</f>
        <v>Australia</v>
      </c>
      <c r="F554" s="8" t="str">
        <f>_xlfn.XLOOKUP(A:A,Sheet1!A:A,Sheet1!H:H)</f>
        <v>English</v>
      </c>
      <c r="G554" s="8" t="str">
        <f>_xlfn.XLOOKUP(A:A,Sheet1!A:A,Sheet1!I:I)</f>
        <v>DevOps</v>
      </c>
      <c r="H554" s="8">
        <f>_xlfn.XLOOKUP(A:A,Sheet1!A:A,Sheet1!K:K)</f>
        <v>0</v>
      </c>
      <c r="I554" s="9">
        <f>_xlfn.XLOOKUP(A:A,Sheet1!A:A,Sheet1!M:M)</f>
        <v>100</v>
      </c>
      <c r="J554" s="10">
        <f>_xlfn.XLOOKUP(A:A,Sheet1!A:A,Sheet1!O:O)</f>
        <v>1.2</v>
      </c>
      <c r="K554" t="str">
        <f>_xlfn.XLOOKUP(A:A,Sheet1!A:A,Sheet1!P:P)</f>
        <v>No</v>
      </c>
      <c r="L554" s="12">
        <f>_xlfn.XLOOKUP(A:A,Sheet1!A:A,Sheet1!S:S)</f>
        <v>0.87</v>
      </c>
    </row>
    <row r="555" spans="1:12" x14ac:dyDescent="0.35">
      <c r="A555" s="8" t="s">
        <v>1135</v>
      </c>
      <c r="B555" s="2" t="str">
        <f>_xlfn.XLOOKUP(A555,Sheet1!A:A,Sheet1!B:B)</f>
        <v>Wayne Barnes</v>
      </c>
      <c r="C555" s="2" t="str">
        <f>_xlfn.XLOOKUP(A:A,Sheet1!A:A,Sheet1!D:D)</f>
        <v>Male</v>
      </c>
      <c r="D555" s="8">
        <f>_xlfn.XLOOKUP(A:A,Sheet1!A:A,Sheet1!F:F)</f>
        <v>57</v>
      </c>
      <c r="E555" s="2" t="str">
        <f>_xlfn.XLOOKUP(A:A,Sheet1!A:A,Sheet1!G:G)</f>
        <v>Italy</v>
      </c>
      <c r="F555" s="8" t="str">
        <f>_xlfn.XLOOKUP(A:A,Sheet1!A:A,Sheet1!H:H)</f>
        <v>Italian</v>
      </c>
      <c r="G555" s="8" t="str">
        <f>_xlfn.XLOOKUP(A:A,Sheet1!A:A,Sheet1!I:I)</f>
        <v>Blockchain Development</v>
      </c>
      <c r="H555" s="8">
        <f>_xlfn.XLOOKUP(A:A,Sheet1!A:A,Sheet1!K:K)</f>
        <v>7</v>
      </c>
      <c r="I555" s="9">
        <f>_xlfn.XLOOKUP(A:A,Sheet1!A:A,Sheet1!M:M)</f>
        <v>30</v>
      </c>
      <c r="J555" s="10">
        <f>_xlfn.XLOOKUP(A:A,Sheet1!A:A,Sheet1!O:O)</f>
        <v>1.6</v>
      </c>
      <c r="K555" t="str">
        <f>_xlfn.XLOOKUP(A:A,Sheet1!A:A,Sheet1!P:P)</f>
        <v>No</v>
      </c>
      <c r="L555" s="12">
        <f>_xlfn.XLOOKUP(A:A,Sheet1!A:A,Sheet1!S:S)</f>
        <v>0.79269417475728277</v>
      </c>
    </row>
    <row r="556" spans="1:12" x14ac:dyDescent="0.35">
      <c r="A556" s="8" t="s">
        <v>1137</v>
      </c>
      <c r="B556" s="2" t="str">
        <f>_xlfn.XLOOKUP(A556,Sheet1!A:A,Sheet1!B:B)</f>
        <v>James Hinton</v>
      </c>
      <c r="C556" s="2" t="str">
        <f>_xlfn.XLOOKUP(A:A,Sheet1!A:A,Sheet1!D:D)</f>
        <v>Male</v>
      </c>
      <c r="D556" s="8">
        <f>_xlfn.XLOOKUP(A:A,Sheet1!A:A,Sheet1!F:F)</f>
        <v>47</v>
      </c>
      <c r="E556" s="2" t="str">
        <f>_xlfn.XLOOKUP(A:A,Sheet1!A:A,Sheet1!G:G)</f>
        <v>Turkey</v>
      </c>
      <c r="F556" s="8" t="str">
        <f>_xlfn.XLOOKUP(A:A,Sheet1!A:A,Sheet1!H:H)</f>
        <v>Turkish</v>
      </c>
      <c r="G556" s="8" t="str">
        <f>_xlfn.XLOOKUP(A:A,Sheet1!A:A,Sheet1!I:I)</f>
        <v>DevOps</v>
      </c>
      <c r="H556" s="8">
        <f>_xlfn.XLOOKUP(A:A,Sheet1!A:A,Sheet1!K:K)</f>
        <v>1</v>
      </c>
      <c r="I556" s="9">
        <f>_xlfn.XLOOKUP(A:A,Sheet1!A:A,Sheet1!M:M)</f>
        <v>50</v>
      </c>
      <c r="J556" s="10">
        <f>_xlfn.XLOOKUP(A:A,Sheet1!A:A,Sheet1!O:O)</f>
        <v>3.9</v>
      </c>
      <c r="K556" t="str">
        <f>_xlfn.XLOOKUP(A:A,Sheet1!A:A,Sheet1!P:P)</f>
        <v>Yes</v>
      </c>
      <c r="L556" s="12">
        <f>_xlfn.XLOOKUP(A:A,Sheet1!A:A,Sheet1!S:S)</f>
        <v>0.88</v>
      </c>
    </row>
    <row r="557" spans="1:12" x14ac:dyDescent="0.35">
      <c r="A557" s="8" t="s">
        <v>1139</v>
      </c>
      <c r="B557" s="2" t="str">
        <f>_xlfn.XLOOKUP(A557,Sheet1!A:A,Sheet1!B:B)</f>
        <v>David Spence</v>
      </c>
      <c r="C557" s="2" t="str">
        <f>_xlfn.XLOOKUP(A:A,Sheet1!A:A,Sheet1!D:D)</f>
        <v>Male</v>
      </c>
      <c r="D557" s="8">
        <f>_xlfn.XLOOKUP(A:A,Sheet1!A:A,Sheet1!F:F)</f>
        <v>48</v>
      </c>
      <c r="E557" s="2" t="str">
        <f>_xlfn.XLOOKUP(A:A,Sheet1!A:A,Sheet1!G:G)</f>
        <v>South Korea</v>
      </c>
      <c r="F557" s="8" t="str">
        <f>_xlfn.XLOOKUP(A:A,Sheet1!A:A,Sheet1!H:H)</f>
        <v>Korean</v>
      </c>
      <c r="G557" s="8" t="str">
        <f>_xlfn.XLOOKUP(A:A,Sheet1!A:A,Sheet1!I:I)</f>
        <v>Cybersecurity</v>
      </c>
      <c r="H557" s="8">
        <f>_xlfn.XLOOKUP(A:A,Sheet1!A:A,Sheet1!K:K)</f>
        <v>21</v>
      </c>
      <c r="I557" s="9">
        <f>_xlfn.XLOOKUP(A:A,Sheet1!A:A,Sheet1!M:M)</f>
        <v>40</v>
      </c>
      <c r="J557" s="11">
        <v>0</v>
      </c>
      <c r="K557" t="str">
        <f>_xlfn.XLOOKUP(A:A,Sheet1!A:A,Sheet1!P:P)</f>
        <v>Yes</v>
      </c>
      <c r="L557" s="12">
        <f>_xlfn.XLOOKUP(A:A,Sheet1!A:A,Sheet1!S:S)</f>
        <v>0.79269417475728277</v>
      </c>
    </row>
    <row r="558" spans="1:12" x14ac:dyDescent="0.35">
      <c r="A558" s="8" t="s">
        <v>1141</v>
      </c>
      <c r="B558" s="2" t="str">
        <f>_xlfn.XLOOKUP(A558,Sheet1!A:A,Sheet1!B:B)</f>
        <v>Tyler Cooper</v>
      </c>
      <c r="C558" s="2" t="str">
        <f>_xlfn.XLOOKUP(A:A,Sheet1!A:A,Sheet1!D:D)</f>
        <v>Male</v>
      </c>
      <c r="D558" s="8">
        <f>_xlfn.XLOOKUP(A:A,Sheet1!A:A,Sheet1!F:F)</f>
        <v>28</v>
      </c>
      <c r="E558" s="2" t="str">
        <f>_xlfn.XLOOKUP(A:A,Sheet1!A:A,Sheet1!G:G)</f>
        <v>United States</v>
      </c>
      <c r="F558" s="8" t="str">
        <f>_xlfn.XLOOKUP(A:A,Sheet1!A:A,Sheet1!H:H)</f>
        <v>English</v>
      </c>
      <c r="G558" s="8" t="str">
        <f>_xlfn.XLOOKUP(A:A,Sheet1!A:A,Sheet1!I:I)</f>
        <v>UI/UX Design</v>
      </c>
      <c r="H558" s="8">
        <f>_xlfn.XLOOKUP(A:A,Sheet1!A:A,Sheet1!K:K)</f>
        <v>1</v>
      </c>
      <c r="I558" s="9">
        <f>_xlfn.XLOOKUP(A:A,Sheet1!A:A,Sheet1!M:M)</f>
        <v>20</v>
      </c>
      <c r="J558" s="10">
        <f>_xlfn.XLOOKUP(A:A,Sheet1!A:A,Sheet1!O:O)</f>
        <v>4.7</v>
      </c>
      <c r="K558" t="str">
        <f>_xlfn.XLOOKUP(A:A,Sheet1!A:A,Sheet1!P:P)</f>
        <v>No</v>
      </c>
      <c r="L558" s="12">
        <f>_xlfn.XLOOKUP(A:A,Sheet1!A:A,Sheet1!S:S)</f>
        <v>0.93</v>
      </c>
    </row>
    <row r="559" spans="1:12" x14ac:dyDescent="0.35">
      <c r="A559" s="8" t="s">
        <v>1143</v>
      </c>
      <c r="B559" s="2" t="str">
        <f>_xlfn.XLOOKUP(A559,Sheet1!A:A,Sheet1!B:B)</f>
        <v>Sean Martinez</v>
      </c>
      <c r="C559" s="2" t="str">
        <f>_xlfn.XLOOKUP(A:A,Sheet1!A:A,Sheet1!D:D)</f>
        <v>Male</v>
      </c>
      <c r="D559" s="8">
        <f>_xlfn.XLOOKUP(A:A,Sheet1!A:A,Sheet1!F:F)</f>
        <v>41</v>
      </c>
      <c r="E559" s="2" t="str">
        <f>_xlfn.XLOOKUP(A:A,Sheet1!A:A,Sheet1!G:G)</f>
        <v>Turkey</v>
      </c>
      <c r="F559" s="8" t="str">
        <f>_xlfn.XLOOKUP(A:A,Sheet1!A:A,Sheet1!H:H)</f>
        <v>Turkish</v>
      </c>
      <c r="G559" s="8" t="str">
        <f>_xlfn.XLOOKUP(A:A,Sheet1!A:A,Sheet1!I:I)</f>
        <v>Graphic Design</v>
      </c>
      <c r="H559" s="8">
        <f>_xlfn.XLOOKUP(A:A,Sheet1!A:A,Sheet1!K:K)</f>
        <v>15</v>
      </c>
      <c r="I559" s="9">
        <f>_xlfn.XLOOKUP(A:A,Sheet1!A:A,Sheet1!M:M)</f>
        <v>40</v>
      </c>
      <c r="J559" s="10">
        <f>_xlfn.XLOOKUP(A:A,Sheet1!A:A,Sheet1!O:O)</f>
        <v>3.8</v>
      </c>
      <c r="K559" t="str">
        <f>_xlfn.XLOOKUP(A:A,Sheet1!A:A,Sheet1!P:P)</f>
        <v>Yes</v>
      </c>
      <c r="L559" s="12">
        <f>_xlfn.XLOOKUP(A:A,Sheet1!A:A,Sheet1!S:S)</f>
        <v>0.79269417475728277</v>
      </c>
    </row>
    <row r="560" spans="1:12" x14ac:dyDescent="0.35">
      <c r="A560" s="8" t="s">
        <v>1145</v>
      </c>
      <c r="B560" s="2" t="str">
        <f>_xlfn.XLOOKUP(A560,Sheet1!A:A,Sheet1!B:B)</f>
        <v>Janet Barron</v>
      </c>
      <c r="C560" s="2" t="str">
        <f>_xlfn.XLOOKUP(A:A,Sheet1!A:A,Sheet1!D:D)</f>
        <v>Female</v>
      </c>
      <c r="D560" s="8">
        <f>_xlfn.XLOOKUP(A:A,Sheet1!A:A,Sheet1!F:F)</f>
        <v>57</v>
      </c>
      <c r="E560" s="2" t="str">
        <f>_xlfn.XLOOKUP(A:A,Sheet1!A:A,Sheet1!G:G)</f>
        <v>South Africa</v>
      </c>
      <c r="F560" s="8" t="str">
        <f>_xlfn.XLOOKUP(A:A,Sheet1!A:A,Sheet1!H:H)</f>
        <v>Afrikaans</v>
      </c>
      <c r="G560" s="8" t="str">
        <f>_xlfn.XLOOKUP(A:A,Sheet1!A:A,Sheet1!I:I)</f>
        <v>Cybersecurity</v>
      </c>
      <c r="H560" s="8">
        <f>_xlfn.XLOOKUP(A:A,Sheet1!A:A,Sheet1!K:K)</f>
        <v>33</v>
      </c>
      <c r="I560" s="9">
        <f>_xlfn.XLOOKUP(A:A,Sheet1!A:A,Sheet1!M:M)</f>
        <v>100</v>
      </c>
      <c r="J560" s="10">
        <f>_xlfn.XLOOKUP(A:A,Sheet1!A:A,Sheet1!O:O)</f>
        <v>3.5</v>
      </c>
      <c r="K560" t="str">
        <f>_xlfn.XLOOKUP(A:A,Sheet1!A:A,Sheet1!P:P)</f>
        <v>No</v>
      </c>
      <c r="L560" s="12">
        <f>_xlfn.XLOOKUP(A:A,Sheet1!A:A,Sheet1!S:S)</f>
        <v>0.74</v>
      </c>
    </row>
    <row r="561" spans="1:12" x14ac:dyDescent="0.35">
      <c r="A561" s="8" t="s">
        <v>1147</v>
      </c>
      <c r="B561" s="2" t="str">
        <f>_xlfn.XLOOKUP(A561,Sheet1!A:A,Sheet1!B:B)</f>
        <v>Rodney Wilson</v>
      </c>
      <c r="C561" s="2" t="str">
        <f>_xlfn.XLOOKUP(A:A,Sheet1!A:A,Sheet1!D:D)</f>
        <v>Male</v>
      </c>
      <c r="D561" s="8">
        <f>_xlfn.XLOOKUP(A:A,Sheet1!A:A,Sheet1!F:F)</f>
        <v>60</v>
      </c>
      <c r="E561" s="2" t="str">
        <f>_xlfn.XLOOKUP(A:A,Sheet1!A:A,Sheet1!G:G)</f>
        <v>Argentina</v>
      </c>
      <c r="F561" s="8" t="str">
        <f>_xlfn.XLOOKUP(A:A,Sheet1!A:A,Sheet1!H:H)</f>
        <v>Spanish</v>
      </c>
      <c r="G561" s="8" t="str">
        <f>_xlfn.XLOOKUP(A:A,Sheet1!A:A,Sheet1!I:I)</f>
        <v>Graphic Design</v>
      </c>
      <c r="H561" s="8">
        <f>_xlfn.XLOOKUP(A:A,Sheet1!A:A,Sheet1!K:K)</f>
        <v>39</v>
      </c>
      <c r="I561" s="9">
        <f>_xlfn.XLOOKUP(A:A,Sheet1!A:A,Sheet1!M:M)</f>
        <v>75</v>
      </c>
      <c r="J561" s="10">
        <f>_xlfn.XLOOKUP(A:A,Sheet1!A:A,Sheet1!O:O)</f>
        <v>4</v>
      </c>
      <c r="K561" t="str">
        <f>_xlfn.XLOOKUP(A:A,Sheet1!A:A,Sheet1!P:P)</f>
        <v>No</v>
      </c>
      <c r="L561" s="12">
        <f>_xlfn.XLOOKUP(A:A,Sheet1!A:A,Sheet1!S:S)</f>
        <v>0.7</v>
      </c>
    </row>
    <row r="562" spans="1:12" x14ac:dyDescent="0.35">
      <c r="A562" s="8" t="s">
        <v>1149</v>
      </c>
      <c r="B562" s="2" t="str">
        <f>_xlfn.XLOOKUP(A562,Sheet1!A:A,Sheet1!B:B)</f>
        <v>Kimberly Fitzgerald</v>
      </c>
      <c r="C562" s="2" t="str">
        <f>_xlfn.XLOOKUP(A:A,Sheet1!A:A,Sheet1!D:D)</f>
        <v>Female</v>
      </c>
      <c r="D562" s="8">
        <f>_xlfn.XLOOKUP(A:A,Sheet1!A:A,Sheet1!F:F)</f>
        <v>48</v>
      </c>
      <c r="E562" s="2" t="str">
        <f>_xlfn.XLOOKUP(A:A,Sheet1!A:A,Sheet1!G:G)</f>
        <v>Egypt</v>
      </c>
      <c r="F562" s="8" t="str">
        <f>_xlfn.XLOOKUP(A:A,Sheet1!A:A,Sheet1!H:H)</f>
        <v>Arabic</v>
      </c>
      <c r="G562" s="8" t="str">
        <f>_xlfn.XLOOKUP(A:A,Sheet1!A:A,Sheet1!I:I)</f>
        <v>Graphic Design</v>
      </c>
      <c r="H562" s="8">
        <f>_xlfn.XLOOKUP(A:A,Sheet1!A:A,Sheet1!K:K)</f>
        <v>21</v>
      </c>
      <c r="I562" s="9">
        <f>_xlfn.XLOOKUP(A:A,Sheet1!A:A,Sheet1!M:M)</f>
        <v>30</v>
      </c>
      <c r="J562" s="10">
        <f>_xlfn.XLOOKUP(A:A,Sheet1!A:A,Sheet1!O:O)</f>
        <v>1.6</v>
      </c>
      <c r="K562" t="str">
        <f>_xlfn.XLOOKUP(A:A,Sheet1!A:A,Sheet1!P:P)</f>
        <v>Yes</v>
      </c>
      <c r="L562" s="12">
        <f>_xlfn.XLOOKUP(A:A,Sheet1!A:A,Sheet1!S:S)</f>
        <v>0.67</v>
      </c>
    </row>
    <row r="563" spans="1:12" x14ac:dyDescent="0.35">
      <c r="A563" s="8" t="s">
        <v>1151</v>
      </c>
      <c r="B563" s="2" t="str">
        <f>_xlfn.XLOOKUP(A563,Sheet1!A:A,Sheet1!B:B)</f>
        <v>Nicole Davis</v>
      </c>
      <c r="C563" s="2" t="str">
        <f>_xlfn.XLOOKUP(A:A,Sheet1!A:A,Sheet1!D:D)</f>
        <v>Female</v>
      </c>
      <c r="D563" s="8">
        <f>_xlfn.XLOOKUP(A:A,Sheet1!A:A,Sheet1!F:F)</f>
        <v>24</v>
      </c>
      <c r="E563" s="2" t="str">
        <f>_xlfn.XLOOKUP(A:A,Sheet1!A:A,Sheet1!G:G)</f>
        <v>France</v>
      </c>
      <c r="F563" s="8" t="str">
        <f>_xlfn.XLOOKUP(A:A,Sheet1!A:A,Sheet1!H:H)</f>
        <v>French</v>
      </c>
      <c r="G563" s="8" t="str">
        <f>_xlfn.XLOOKUP(A:A,Sheet1!A:A,Sheet1!I:I)</f>
        <v>Cybersecurity</v>
      </c>
      <c r="H563" s="8">
        <f>_xlfn.XLOOKUP(A:A,Sheet1!A:A,Sheet1!K:K)</f>
        <v>5</v>
      </c>
      <c r="I563" s="9">
        <f>_xlfn.XLOOKUP(A:A,Sheet1!A:A,Sheet1!M:M)</f>
        <v>40</v>
      </c>
      <c r="J563" s="10">
        <f>_xlfn.XLOOKUP(A:A,Sheet1!A:A,Sheet1!O:O)</f>
        <v>3</v>
      </c>
      <c r="K563" t="str">
        <f>_xlfn.XLOOKUP(A:A,Sheet1!A:A,Sheet1!P:P)</f>
        <v>No</v>
      </c>
      <c r="L563" s="12">
        <f>_xlfn.XLOOKUP(A:A,Sheet1!A:A,Sheet1!S:S)</f>
        <v>0.86</v>
      </c>
    </row>
    <row r="564" spans="1:12" x14ac:dyDescent="0.35">
      <c r="A564" s="8" t="s">
        <v>1153</v>
      </c>
      <c r="B564" s="2" t="str">
        <f>_xlfn.XLOOKUP(A564,Sheet1!A:A,Sheet1!B:B)</f>
        <v>Elizabeth Hayes</v>
      </c>
      <c r="C564" s="2" t="str">
        <f>_xlfn.XLOOKUP(A:A,Sheet1!A:A,Sheet1!D:D)</f>
        <v>Female</v>
      </c>
      <c r="D564" s="8">
        <f>_xlfn.XLOOKUP(A:A,Sheet1!A:A,Sheet1!F:F)</f>
        <v>33</v>
      </c>
      <c r="E564" s="2" t="str">
        <f>_xlfn.XLOOKUP(A:A,Sheet1!A:A,Sheet1!G:G)</f>
        <v>Mexico</v>
      </c>
      <c r="F564" s="8" t="str">
        <f>_xlfn.XLOOKUP(A:A,Sheet1!A:A,Sheet1!H:H)</f>
        <v>Spanish</v>
      </c>
      <c r="G564" s="8" t="str">
        <f>_xlfn.XLOOKUP(A:A,Sheet1!A:A,Sheet1!I:I)</f>
        <v>DevOps</v>
      </c>
      <c r="H564" s="8">
        <f>_xlfn.XLOOKUP(A:A,Sheet1!A:A,Sheet1!K:K)</f>
        <v>11</v>
      </c>
      <c r="I564" s="9">
        <f>_xlfn.XLOOKUP(A:A,Sheet1!A:A,Sheet1!M:M)</f>
        <v>50</v>
      </c>
      <c r="J564" s="10">
        <f>_xlfn.XLOOKUP(A:A,Sheet1!A:A,Sheet1!O:O)</f>
        <v>5</v>
      </c>
      <c r="K564" t="str">
        <f>_xlfn.XLOOKUP(A:A,Sheet1!A:A,Sheet1!P:P)</f>
        <v>Yes</v>
      </c>
      <c r="L564" s="12">
        <f>_xlfn.XLOOKUP(A:A,Sheet1!A:A,Sheet1!S:S)</f>
        <v>0.69</v>
      </c>
    </row>
    <row r="565" spans="1:12" x14ac:dyDescent="0.35">
      <c r="A565" s="8" t="s">
        <v>1155</v>
      </c>
      <c r="B565" s="2" t="str">
        <f>_xlfn.XLOOKUP(A565,Sheet1!A:A,Sheet1!B:B)</f>
        <v>Kathy Faulkner</v>
      </c>
      <c r="C565" s="2" t="str">
        <f>_xlfn.XLOOKUP(A:A,Sheet1!A:A,Sheet1!D:D)</f>
        <v>Female</v>
      </c>
      <c r="D565" s="8">
        <f>_xlfn.XLOOKUP(A:A,Sheet1!A:A,Sheet1!F:F)</f>
        <v>20</v>
      </c>
      <c r="E565" s="2" t="str">
        <f>_xlfn.XLOOKUP(A:A,Sheet1!A:A,Sheet1!G:G)</f>
        <v>Turkey</v>
      </c>
      <c r="F565" s="8" t="str">
        <f>_xlfn.XLOOKUP(A:A,Sheet1!A:A,Sheet1!H:H)</f>
        <v>Turkish</v>
      </c>
      <c r="G565" s="8" t="str">
        <f>_xlfn.XLOOKUP(A:A,Sheet1!A:A,Sheet1!I:I)</f>
        <v>Graphic Design</v>
      </c>
      <c r="H565" s="8">
        <f>_xlfn.XLOOKUP(A:A,Sheet1!A:A,Sheet1!K:K)</f>
        <v>0</v>
      </c>
      <c r="I565" s="9">
        <f>_xlfn.XLOOKUP(A:A,Sheet1!A:A,Sheet1!M:M)</f>
        <v>30</v>
      </c>
      <c r="J565" s="10">
        <f>_xlfn.XLOOKUP(A:A,Sheet1!A:A,Sheet1!O:O)</f>
        <v>4.8</v>
      </c>
      <c r="K565" t="str">
        <f>_xlfn.XLOOKUP(A:A,Sheet1!A:A,Sheet1!P:P)</f>
        <v>Yes</v>
      </c>
      <c r="L565" s="12">
        <f>_xlfn.XLOOKUP(A:A,Sheet1!A:A,Sheet1!S:S)</f>
        <v>0.68</v>
      </c>
    </row>
    <row r="566" spans="1:12" x14ac:dyDescent="0.35">
      <c r="A566" s="8" t="s">
        <v>1157</v>
      </c>
      <c r="B566" s="2" t="str">
        <f>_xlfn.XLOOKUP(A566,Sheet1!A:A,Sheet1!B:B)</f>
        <v>John Gonzales</v>
      </c>
      <c r="C566" s="2" t="str">
        <f>_xlfn.XLOOKUP(A:A,Sheet1!A:A,Sheet1!D:D)</f>
        <v>Male</v>
      </c>
      <c r="D566" s="8">
        <f>_xlfn.XLOOKUP(A:A,Sheet1!A:A,Sheet1!F:F)</f>
        <v>59</v>
      </c>
      <c r="E566" s="2" t="str">
        <f>_xlfn.XLOOKUP(A:A,Sheet1!A:A,Sheet1!G:G)</f>
        <v>United Kingdom</v>
      </c>
      <c r="F566" s="8" t="str">
        <f>_xlfn.XLOOKUP(A:A,Sheet1!A:A,Sheet1!H:H)</f>
        <v>English</v>
      </c>
      <c r="G566" s="8" t="str">
        <f>_xlfn.XLOOKUP(A:A,Sheet1!A:A,Sheet1!I:I)</f>
        <v>DevOps</v>
      </c>
      <c r="H566" s="8">
        <f>_xlfn.XLOOKUP(A:A,Sheet1!A:A,Sheet1!K:K)</f>
        <v>15</v>
      </c>
      <c r="I566" s="9">
        <f>_xlfn.XLOOKUP(A:A,Sheet1!A:A,Sheet1!M:M)</f>
        <v>50</v>
      </c>
      <c r="J566" s="10">
        <f>_xlfn.XLOOKUP(A:A,Sheet1!A:A,Sheet1!O:O)</f>
        <v>2.5125695216907653</v>
      </c>
      <c r="K566" t="str">
        <f>_xlfn.XLOOKUP(A:A,Sheet1!A:A,Sheet1!P:P)</f>
        <v>No</v>
      </c>
      <c r="L566" s="12">
        <f>_xlfn.XLOOKUP(A:A,Sheet1!A:A,Sheet1!S:S)</f>
        <v>0.79269417475728277</v>
      </c>
    </row>
    <row r="567" spans="1:12" x14ac:dyDescent="0.35">
      <c r="A567" s="8" t="s">
        <v>1159</v>
      </c>
      <c r="B567" s="2" t="str">
        <f>_xlfn.XLOOKUP(A567,Sheet1!A:A,Sheet1!B:B)</f>
        <v>Shannon Luna</v>
      </c>
      <c r="C567" s="2" t="str">
        <f>_xlfn.XLOOKUP(A:A,Sheet1!A:A,Sheet1!D:D)</f>
        <v>Female</v>
      </c>
      <c r="D567" s="8">
        <f>_xlfn.XLOOKUP(A:A,Sheet1!A:A,Sheet1!F:F)</f>
        <v>42</v>
      </c>
      <c r="E567" s="2" t="str">
        <f>_xlfn.XLOOKUP(A:A,Sheet1!A:A,Sheet1!G:G)</f>
        <v>China</v>
      </c>
      <c r="F567" s="8" t="str">
        <f>_xlfn.XLOOKUP(A:A,Sheet1!A:A,Sheet1!H:H)</f>
        <v>Mandarin</v>
      </c>
      <c r="G567" s="8" t="str">
        <f>_xlfn.XLOOKUP(A:A,Sheet1!A:A,Sheet1!I:I)</f>
        <v>DevOps</v>
      </c>
      <c r="H567" s="8">
        <f>_xlfn.XLOOKUP(A:A,Sheet1!A:A,Sheet1!K:K)</f>
        <v>22</v>
      </c>
      <c r="I567" s="9">
        <f>_xlfn.XLOOKUP(A:A,Sheet1!A:A,Sheet1!M:M)</f>
        <v>40</v>
      </c>
      <c r="J567" s="10">
        <f>_xlfn.XLOOKUP(A:A,Sheet1!A:A,Sheet1!O:O)</f>
        <v>2.9</v>
      </c>
      <c r="K567" t="str">
        <f>_xlfn.XLOOKUP(A:A,Sheet1!A:A,Sheet1!P:P)</f>
        <v>No</v>
      </c>
      <c r="L567" s="12">
        <f>_xlfn.XLOOKUP(A:A,Sheet1!A:A,Sheet1!S:S)</f>
        <v>0.61</v>
      </c>
    </row>
    <row r="568" spans="1:12" x14ac:dyDescent="0.35">
      <c r="A568" s="8" t="s">
        <v>1161</v>
      </c>
      <c r="B568" s="2" t="str">
        <f>_xlfn.XLOOKUP(A568,Sheet1!A:A,Sheet1!B:B)</f>
        <v>Stephanie Burton</v>
      </c>
      <c r="C568" s="2" t="str">
        <f>_xlfn.XLOOKUP(A:A,Sheet1!A:A,Sheet1!D:D)</f>
        <v>Female</v>
      </c>
      <c r="D568" s="8">
        <f>_xlfn.XLOOKUP(A:A,Sheet1!A:A,Sheet1!F:F)</f>
        <v>22</v>
      </c>
      <c r="E568" s="2" t="str">
        <f>_xlfn.XLOOKUP(A:A,Sheet1!A:A,Sheet1!G:G)</f>
        <v>Turkey</v>
      </c>
      <c r="F568" s="8" t="str">
        <f>_xlfn.XLOOKUP(A:A,Sheet1!A:A,Sheet1!H:H)</f>
        <v>Turkish</v>
      </c>
      <c r="G568" s="8" t="str">
        <f>_xlfn.XLOOKUP(A:A,Sheet1!A:A,Sheet1!I:I)</f>
        <v>UI/UX Design</v>
      </c>
      <c r="H568" s="8">
        <f>_xlfn.XLOOKUP(A:A,Sheet1!A:A,Sheet1!K:K)</f>
        <v>3</v>
      </c>
      <c r="I568" s="9">
        <f>_xlfn.XLOOKUP(A:A,Sheet1!A:A,Sheet1!M:M)</f>
        <v>40</v>
      </c>
      <c r="J568" s="10">
        <f>_xlfn.XLOOKUP(A:A,Sheet1!A:A,Sheet1!O:O)</f>
        <v>3</v>
      </c>
      <c r="K568" t="str">
        <f>_xlfn.XLOOKUP(A:A,Sheet1!A:A,Sheet1!P:P)</f>
        <v>Yes</v>
      </c>
      <c r="L568" s="12">
        <f>_xlfn.XLOOKUP(A:A,Sheet1!A:A,Sheet1!S:S)</f>
        <v>0.96</v>
      </c>
    </row>
    <row r="569" spans="1:12" x14ac:dyDescent="0.35">
      <c r="A569" s="8" t="s">
        <v>1163</v>
      </c>
      <c r="B569" s="2" t="str">
        <f>_xlfn.XLOOKUP(A569,Sheet1!A:A,Sheet1!B:B)</f>
        <v>Kevin Gonzales</v>
      </c>
      <c r="C569" s="2" t="str">
        <f>_xlfn.XLOOKUP(A:A,Sheet1!A:A,Sheet1!D:D)</f>
        <v>Male</v>
      </c>
      <c r="D569" s="8">
        <f>_xlfn.XLOOKUP(A:A,Sheet1!A:A,Sheet1!F:F)</f>
        <v>41</v>
      </c>
      <c r="E569" s="2" t="str">
        <f>_xlfn.XLOOKUP(A:A,Sheet1!A:A,Sheet1!G:G)</f>
        <v>Canada</v>
      </c>
      <c r="F569" s="8" t="str">
        <f>_xlfn.XLOOKUP(A:A,Sheet1!A:A,Sheet1!H:H)</f>
        <v>English</v>
      </c>
      <c r="G569" s="8" t="str">
        <f>_xlfn.XLOOKUP(A:A,Sheet1!A:A,Sheet1!I:I)</f>
        <v>Cybersecurity</v>
      </c>
      <c r="H569" s="8">
        <f>_xlfn.XLOOKUP(A:A,Sheet1!A:A,Sheet1!K:K)</f>
        <v>11</v>
      </c>
      <c r="I569" s="9">
        <f>_xlfn.XLOOKUP(A:A,Sheet1!A:A,Sheet1!M:M)</f>
        <v>50</v>
      </c>
      <c r="J569" s="10">
        <f>_xlfn.XLOOKUP(A:A,Sheet1!A:A,Sheet1!O:O)</f>
        <v>3.5</v>
      </c>
      <c r="K569" t="str">
        <f>_xlfn.XLOOKUP(A:A,Sheet1!A:A,Sheet1!P:P)</f>
        <v>Yes</v>
      </c>
      <c r="L569" s="12">
        <f>_xlfn.XLOOKUP(A:A,Sheet1!A:A,Sheet1!S:S)</f>
        <v>0.68</v>
      </c>
    </row>
    <row r="570" spans="1:12" x14ac:dyDescent="0.35">
      <c r="A570" s="8" t="s">
        <v>1165</v>
      </c>
      <c r="B570" s="2" t="str">
        <f>_xlfn.XLOOKUP(A570,Sheet1!A:A,Sheet1!B:B)</f>
        <v>Dawn Hardy</v>
      </c>
      <c r="C570" s="2" t="str">
        <f>_xlfn.XLOOKUP(A:A,Sheet1!A:A,Sheet1!D:D)</f>
        <v>Female</v>
      </c>
      <c r="D570" s="8">
        <f>_xlfn.XLOOKUP(A:A,Sheet1!A:A,Sheet1!F:F)</f>
        <v>25</v>
      </c>
      <c r="E570" s="2" t="str">
        <f>_xlfn.XLOOKUP(A:A,Sheet1!A:A,Sheet1!G:G)</f>
        <v>Argentina</v>
      </c>
      <c r="F570" s="8" t="str">
        <f>_xlfn.XLOOKUP(A:A,Sheet1!A:A,Sheet1!H:H)</f>
        <v>Spanish</v>
      </c>
      <c r="G570" s="8" t="str">
        <f>_xlfn.XLOOKUP(A:A,Sheet1!A:A,Sheet1!I:I)</f>
        <v>Web Development</v>
      </c>
      <c r="H570" s="8">
        <f>_xlfn.XLOOKUP(A:A,Sheet1!A:A,Sheet1!K:K)</f>
        <v>5</v>
      </c>
      <c r="I570" s="9">
        <f>_xlfn.XLOOKUP(A:A,Sheet1!A:A,Sheet1!M:M)</f>
        <v>40</v>
      </c>
      <c r="J570" s="10">
        <f>_xlfn.XLOOKUP(A:A,Sheet1!A:A,Sheet1!O:O)</f>
        <v>2.5125695216907653</v>
      </c>
      <c r="K570" t="str">
        <f>_xlfn.XLOOKUP(A:A,Sheet1!A:A,Sheet1!P:P)</f>
        <v>Yes</v>
      </c>
      <c r="L570" s="12">
        <f>_xlfn.XLOOKUP(A:A,Sheet1!A:A,Sheet1!S:S)</f>
        <v>0.75</v>
      </c>
    </row>
    <row r="571" spans="1:12" x14ac:dyDescent="0.35">
      <c r="A571" s="8" t="s">
        <v>1167</v>
      </c>
      <c r="B571" s="2" t="str">
        <f>_xlfn.XLOOKUP(A571,Sheet1!A:A,Sheet1!B:B)</f>
        <v>Margaret Perkins</v>
      </c>
      <c r="C571" s="2" t="str">
        <f>_xlfn.XLOOKUP(A:A,Sheet1!A:A,Sheet1!D:D)</f>
        <v>Female</v>
      </c>
      <c r="D571" s="8">
        <f>_xlfn.XLOOKUP(A:A,Sheet1!A:A,Sheet1!F:F)</f>
        <v>38</v>
      </c>
      <c r="E571" s="2" t="str">
        <f>_xlfn.XLOOKUP(A:A,Sheet1!A:A,Sheet1!G:G)</f>
        <v>Canada</v>
      </c>
      <c r="F571" s="8" t="str">
        <f>_xlfn.XLOOKUP(A:A,Sheet1!A:A,Sheet1!H:H)</f>
        <v>English</v>
      </c>
      <c r="G571" s="8" t="str">
        <f>_xlfn.XLOOKUP(A:A,Sheet1!A:A,Sheet1!I:I)</f>
        <v>UI/UX Design</v>
      </c>
      <c r="H571" s="8">
        <f>_xlfn.XLOOKUP(A:A,Sheet1!A:A,Sheet1!K:K)</f>
        <v>3</v>
      </c>
      <c r="I571" s="9">
        <f>_xlfn.XLOOKUP(A:A,Sheet1!A:A,Sheet1!M:M)</f>
        <v>40</v>
      </c>
      <c r="J571" s="10">
        <f>_xlfn.XLOOKUP(A:A,Sheet1!A:A,Sheet1!O:O)</f>
        <v>4.7</v>
      </c>
      <c r="K571" t="str">
        <f>_xlfn.XLOOKUP(A:A,Sheet1!A:A,Sheet1!P:P)</f>
        <v>No</v>
      </c>
      <c r="L571" s="12">
        <f>_xlfn.XLOOKUP(A:A,Sheet1!A:A,Sheet1!S:S)</f>
        <v>0.69</v>
      </c>
    </row>
    <row r="572" spans="1:12" x14ac:dyDescent="0.35">
      <c r="A572" s="8" t="s">
        <v>1169</v>
      </c>
      <c r="B572" s="2" t="str">
        <f>_xlfn.XLOOKUP(A572,Sheet1!A:A,Sheet1!B:B)</f>
        <v>Amanda Vargas</v>
      </c>
      <c r="C572" s="2" t="str">
        <f>_xlfn.XLOOKUP(A:A,Sheet1!A:A,Sheet1!D:D)</f>
        <v>Female</v>
      </c>
      <c r="D572" s="8">
        <f>_xlfn.XLOOKUP(A:A,Sheet1!A:A,Sheet1!F:F)</f>
        <v>43</v>
      </c>
      <c r="E572" s="2" t="str">
        <f>_xlfn.XLOOKUP(A:A,Sheet1!A:A,Sheet1!G:G)</f>
        <v>United States</v>
      </c>
      <c r="F572" s="8" t="str">
        <f>_xlfn.XLOOKUP(A:A,Sheet1!A:A,Sheet1!H:H)</f>
        <v>English</v>
      </c>
      <c r="G572" s="8" t="str">
        <f>_xlfn.XLOOKUP(A:A,Sheet1!A:A,Sheet1!I:I)</f>
        <v>DevOps</v>
      </c>
      <c r="H572" s="8">
        <f>_xlfn.XLOOKUP(A:A,Sheet1!A:A,Sheet1!K:K)</f>
        <v>1</v>
      </c>
      <c r="I572" s="9">
        <f>_xlfn.XLOOKUP(A:A,Sheet1!A:A,Sheet1!M:M)</f>
        <v>40</v>
      </c>
      <c r="J572" s="10">
        <f>_xlfn.XLOOKUP(A:A,Sheet1!A:A,Sheet1!O:O)</f>
        <v>2.9</v>
      </c>
      <c r="K572" t="str">
        <f>_xlfn.XLOOKUP(A:A,Sheet1!A:A,Sheet1!P:P)</f>
        <v>No</v>
      </c>
      <c r="L572" s="12">
        <f>_xlfn.XLOOKUP(A:A,Sheet1!A:A,Sheet1!S:S)</f>
        <v>0.78</v>
      </c>
    </row>
    <row r="573" spans="1:12" x14ac:dyDescent="0.35">
      <c r="A573" s="8" t="s">
        <v>1171</v>
      </c>
      <c r="B573" s="2" t="str">
        <f>_xlfn.XLOOKUP(A573,Sheet1!A:A,Sheet1!B:B)</f>
        <v>Tonya Gonzalez</v>
      </c>
      <c r="C573" s="2" t="str">
        <f>_xlfn.XLOOKUP(A:A,Sheet1!A:A,Sheet1!D:D)</f>
        <v>Female</v>
      </c>
      <c r="D573" s="8">
        <f>_xlfn.XLOOKUP(A:A,Sheet1!A:A,Sheet1!F:F)</f>
        <v>54</v>
      </c>
      <c r="E573" s="2" t="str">
        <f>_xlfn.XLOOKUP(A:A,Sheet1!A:A,Sheet1!G:G)</f>
        <v>Mexico</v>
      </c>
      <c r="F573" s="8" t="str">
        <f>_xlfn.XLOOKUP(A:A,Sheet1!A:A,Sheet1!H:H)</f>
        <v>Spanish</v>
      </c>
      <c r="G573" s="8" t="str">
        <f>_xlfn.XLOOKUP(A:A,Sheet1!A:A,Sheet1!I:I)</f>
        <v>AI</v>
      </c>
      <c r="H573" s="8">
        <f>_xlfn.XLOOKUP(A:A,Sheet1!A:A,Sheet1!K:K)</f>
        <v>1</v>
      </c>
      <c r="I573" s="9">
        <f>_xlfn.XLOOKUP(A:A,Sheet1!A:A,Sheet1!M:M)</f>
        <v>75</v>
      </c>
      <c r="J573" s="10">
        <f>_xlfn.XLOOKUP(A:A,Sheet1!A:A,Sheet1!O:O)</f>
        <v>4.4000000000000004</v>
      </c>
      <c r="K573" t="str">
        <f>_xlfn.XLOOKUP(A:A,Sheet1!A:A,Sheet1!P:P)</f>
        <v>Yes</v>
      </c>
      <c r="L573" s="12">
        <f>_xlfn.XLOOKUP(A:A,Sheet1!A:A,Sheet1!S:S)</f>
        <v>0.79269417475728277</v>
      </c>
    </row>
    <row r="574" spans="1:12" x14ac:dyDescent="0.35">
      <c r="A574" s="8" t="s">
        <v>1173</v>
      </c>
      <c r="B574" s="2" t="str">
        <f>_xlfn.XLOOKUP(A574,Sheet1!A:A,Sheet1!B:B)</f>
        <v>Elizabeth Bowman</v>
      </c>
      <c r="C574" s="2" t="str">
        <f>_xlfn.XLOOKUP(A:A,Sheet1!A:A,Sheet1!D:D)</f>
        <v>Female</v>
      </c>
      <c r="D574" s="8">
        <f>_xlfn.XLOOKUP(A:A,Sheet1!A:A,Sheet1!F:F)</f>
        <v>31</v>
      </c>
      <c r="E574" s="2" t="str">
        <f>_xlfn.XLOOKUP(A:A,Sheet1!A:A,Sheet1!G:G)</f>
        <v>Indonesia</v>
      </c>
      <c r="F574" s="8" t="str">
        <f>_xlfn.XLOOKUP(A:A,Sheet1!A:A,Sheet1!H:H)</f>
        <v>Indonesian</v>
      </c>
      <c r="G574" s="8" t="str">
        <f>_xlfn.XLOOKUP(A:A,Sheet1!A:A,Sheet1!I:I)</f>
        <v>Mobile Apps</v>
      </c>
      <c r="H574" s="8">
        <f>_xlfn.XLOOKUP(A:A,Sheet1!A:A,Sheet1!K:K)</f>
        <v>2</v>
      </c>
      <c r="I574" s="9">
        <f>_xlfn.XLOOKUP(A:A,Sheet1!A:A,Sheet1!M:M)</f>
        <v>40</v>
      </c>
      <c r="J574" s="10">
        <f>_xlfn.XLOOKUP(A:A,Sheet1!A:A,Sheet1!O:O)</f>
        <v>2.2999999999999998</v>
      </c>
      <c r="K574" t="str">
        <f>_xlfn.XLOOKUP(A:A,Sheet1!A:A,Sheet1!P:P)</f>
        <v>No</v>
      </c>
      <c r="L574" s="12">
        <f>_xlfn.XLOOKUP(A:A,Sheet1!A:A,Sheet1!S:S)</f>
        <v>0.98</v>
      </c>
    </row>
    <row r="575" spans="1:12" x14ac:dyDescent="0.35">
      <c r="A575" s="8" t="s">
        <v>1175</v>
      </c>
      <c r="B575" s="2" t="str">
        <f>_xlfn.XLOOKUP(A575,Sheet1!A:A,Sheet1!B:B)</f>
        <v>Ariana Pittman</v>
      </c>
      <c r="C575" s="2" t="str">
        <f>_xlfn.XLOOKUP(A:A,Sheet1!A:A,Sheet1!D:D)</f>
        <v>Female</v>
      </c>
      <c r="D575" s="8">
        <f>_xlfn.XLOOKUP(A:A,Sheet1!A:A,Sheet1!F:F)</f>
        <v>56</v>
      </c>
      <c r="E575" s="2" t="str">
        <f>_xlfn.XLOOKUP(A:A,Sheet1!A:A,Sheet1!G:G)</f>
        <v>Mexico</v>
      </c>
      <c r="F575" s="8" t="str">
        <f>_xlfn.XLOOKUP(A:A,Sheet1!A:A,Sheet1!H:H)</f>
        <v>Spanish</v>
      </c>
      <c r="G575" s="8" t="str">
        <f>_xlfn.XLOOKUP(A:A,Sheet1!A:A,Sheet1!I:I)</f>
        <v>AI</v>
      </c>
      <c r="H575" s="8">
        <f>_xlfn.XLOOKUP(A:A,Sheet1!A:A,Sheet1!K:K)</f>
        <v>3</v>
      </c>
      <c r="I575" s="9">
        <f>_xlfn.XLOOKUP(A:A,Sheet1!A:A,Sheet1!M:M)</f>
        <v>30</v>
      </c>
      <c r="J575" s="10">
        <f>_xlfn.XLOOKUP(A:A,Sheet1!A:A,Sheet1!O:O)</f>
        <v>3.7</v>
      </c>
      <c r="K575" t="str">
        <f>_xlfn.XLOOKUP(A:A,Sheet1!A:A,Sheet1!P:P)</f>
        <v>No</v>
      </c>
      <c r="L575" s="12">
        <f>_xlfn.XLOOKUP(A:A,Sheet1!A:A,Sheet1!S:S)</f>
        <v>0.83</v>
      </c>
    </row>
    <row r="576" spans="1:12" x14ac:dyDescent="0.35">
      <c r="A576" s="8" t="s">
        <v>1177</v>
      </c>
      <c r="B576" s="2" t="str">
        <f>_xlfn.XLOOKUP(A576,Sheet1!A:A,Sheet1!B:B)</f>
        <v>Antonio Johnson</v>
      </c>
      <c r="C576" s="2" t="str">
        <f>_xlfn.XLOOKUP(A:A,Sheet1!A:A,Sheet1!D:D)</f>
        <v>Male</v>
      </c>
      <c r="D576" s="8">
        <f>_xlfn.XLOOKUP(A:A,Sheet1!A:A,Sheet1!F:F)</f>
        <v>46</v>
      </c>
      <c r="E576" s="2" t="str">
        <f>_xlfn.XLOOKUP(A:A,Sheet1!A:A,Sheet1!G:G)</f>
        <v>Mexico</v>
      </c>
      <c r="F576" s="8" t="str">
        <f>_xlfn.XLOOKUP(A:A,Sheet1!A:A,Sheet1!H:H)</f>
        <v>Spanish</v>
      </c>
      <c r="G576" s="8" t="str">
        <f>_xlfn.XLOOKUP(A:A,Sheet1!A:A,Sheet1!I:I)</f>
        <v>Graphic Design</v>
      </c>
      <c r="H576" s="8">
        <f>_xlfn.XLOOKUP(A:A,Sheet1!A:A,Sheet1!K:K)</f>
        <v>11</v>
      </c>
      <c r="I576" s="9">
        <f>_xlfn.XLOOKUP(A:A,Sheet1!A:A,Sheet1!M:M)</f>
        <v>40</v>
      </c>
      <c r="J576" s="10">
        <f>_xlfn.XLOOKUP(A:A,Sheet1!A:A,Sheet1!O:O)</f>
        <v>1.8</v>
      </c>
      <c r="K576" t="str">
        <f>_xlfn.XLOOKUP(A:A,Sheet1!A:A,Sheet1!P:P)</f>
        <v>Yes</v>
      </c>
      <c r="L576" s="12">
        <f>_xlfn.XLOOKUP(A:A,Sheet1!A:A,Sheet1!S:S)</f>
        <v>0.91</v>
      </c>
    </row>
    <row r="577" spans="1:12" x14ac:dyDescent="0.35">
      <c r="A577" s="8" t="s">
        <v>1179</v>
      </c>
      <c r="B577" s="2" t="str">
        <f>_xlfn.XLOOKUP(A577,Sheet1!A:A,Sheet1!B:B)</f>
        <v>Justin Lang</v>
      </c>
      <c r="C577" s="2" t="str">
        <f>_xlfn.XLOOKUP(A:A,Sheet1!A:A,Sheet1!D:D)</f>
        <v>Male</v>
      </c>
      <c r="D577" s="8">
        <f>_xlfn.XLOOKUP(A:A,Sheet1!A:A,Sheet1!F:F)</f>
        <v>60</v>
      </c>
      <c r="E577" s="2" t="str">
        <f>_xlfn.XLOOKUP(A:A,Sheet1!A:A,Sheet1!G:G)</f>
        <v>Egypt</v>
      </c>
      <c r="F577" s="8" t="str">
        <f>_xlfn.XLOOKUP(A:A,Sheet1!A:A,Sheet1!H:H)</f>
        <v>Arabic</v>
      </c>
      <c r="G577" s="8" t="str">
        <f>_xlfn.XLOOKUP(A:A,Sheet1!A:A,Sheet1!I:I)</f>
        <v>AI</v>
      </c>
      <c r="H577" s="8">
        <f>_xlfn.XLOOKUP(A:A,Sheet1!A:A,Sheet1!K:K)</f>
        <v>9</v>
      </c>
      <c r="I577" s="9">
        <f>_xlfn.XLOOKUP(A:A,Sheet1!A:A,Sheet1!M:M)</f>
        <v>100</v>
      </c>
      <c r="J577" s="11">
        <v>0</v>
      </c>
      <c r="K577" t="str">
        <f>_xlfn.XLOOKUP(A:A,Sheet1!A:A,Sheet1!P:P)</f>
        <v>Yes</v>
      </c>
      <c r="L577" s="12">
        <f>_xlfn.XLOOKUP(A:A,Sheet1!A:A,Sheet1!S:S)</f>
        <v>0.96</v>
      </c>
    </row>
    <row r="578" spans="1:12" x14ac:dyDescent="0.35">
      <c r="A578" s="8" t="s">
        <v>1181</v>
      </c>
      <c r="B578" s="2" t="str">
        <f>_xlfn.XLOOKUP(A578,Sheet1!A:A,Sheet1!B:B)</f>
        <v>Kelli Ramirez</v>
      </c>
      <c r="C578" s="2" t="str">
        <f>_xlfn.XLOOKUP(A:A,Sheet1!A:A,Sheet1!D:D)</f>
        <v>Female</v>
      </c>
      <c r="D578" s="8">
        <f>_xlfn.XLOOKUP(A:A,Sheet1!A:A,Sheet1!F:F)</f>
        <v>28</v>
      </c>
      <c r="E578" s="2" t="str">
        <f>_xlfn.XLOOKUP(A:A,Sheet1!A:A,Sheet1!G:G)</f>
        <v>South Korea</v>
      </c>
      <c r="F578" s="8" t="str">
        <f>_xlfn.XLOOKUP(A:A,Sheet1!A:A,Sheet1!H:H)</f>
        <v>Korean</v>
      </c>
      <c r="G578" s="8" t="str">
        <f>_xlfn.XLOOKUP(A:A,Sheet1!A:A,Sheet1!I:I)</f>
        <v>Graphic Design</v>
      </c>
      <c r="H578" s="8">
        <f>_xlfn.XLOOKUP(A:A,Sheet1!A:A,Sheet1!K:K)</f>
        <v>2</v>
      </c>
      <c r="I578" s="9">
        <f>_xlfn.XLOOKUP(A:A,Sheet1!A:A,Sheet1!M:M)</f>
        <v>50</v>
      </c>
      <c r="J578" s="10">
        <f>_xlfn.XLOOKUP(A:A,Sheet1!A:A,Sheet1!O:O)</f>
        <v>2.5125695216907653</v>
      </c>
      <c r="K578" t="str">
        <f>_xlfn.XLOOKUP(A:A,Sheet1!A:A,Sheet1!P:P)</f>
        <v>Yes</v>
      </c>
      <c r="L578" s="12">
        <f>_xlfn.XLOOKUP(A:A,Sheet1!A:A,Sheet1!S:S)</f>
        <v>0.85</v>
      </c>
    </row>
    <row r="579" spans="1:12" x14ac:dyDescent="0.35">
      <c r="A579" s="8" t="s">
        <v>1183</v>
      </c>
      <c r="B579" s="2" t="str">
        <f>_xlfn.XLOOKUP(A579,Sheet1!A:A,Sheet1!B:B)</f>
        <v>Deborah Torres</v>
      </c>
      <c r="C579" s="2" t="str">
        <f>_xlfn.XLOOKUP(A:A,Sheet1!A:A,Sheet1!D:D)</f>
        <v>Female</v>
      </c>
      <c r="D579" s="8">
        <f>_xlfn.XLOOKUP(A:A,Sheet1!A:A,Sheet1!F:F)</f>
        <v>43</v>
      </c>
      <c r="E579" s="2" t="str">
        <f>_xlfn.XLOOKUP(A:A,Sheet1!A:A,Sheet1!G:G)</f>
        <v>Indonesia</v>
      </c>
      <c r="F579" s="8" t="str">
        <f>_xlfn.XLOOKUP(A:A,Sheet1!A:A,Sheet1!H:H)</f>
        <v>Indonesian</v>
      </c>
      <c r="G579" s="8" t="str">
        <f>_xlfn.XLOOKUP(A:A,Sheet1!A:A,Sheet1!I:I)</f>
        <v>Web Development</v>
      </c>
      <c r="H579" s="8">
        <f>_xlfn.XLOOKUP(A:A,Sheet1!A:A,Sheet1!K:K)</f>
        <v>20</v>
      </c>
      <c r="I579" s="9">
        <f>_xlfn.XLOOKUP(A:A,Sheet1!A:A,Sheet1!M:M)</f>
        <v>30</v>
      </c>
      <c r="J579" s="10">
        <f>_xlfn.XLOOKUP(A:A,Sheet1!A:A,Sheet1!O:O)</f>
        <v>2.7</v>
      </c>
      <c r="K579" t="str">
        <f>_xlfn.XLOOKUP(A:A,Sheet1!A:A,Sheet1!P:P)</f>
        <v>No</v>
      </c>
      <c r="L579" s="12">
        <f>_xlfn.XLOOKUP(A:A,Sheet1!A:A,Sheet1!S:S)</f>
        <v>0.72</v>
      </c>
    </row>
    <row r="580" spans="1:12" x14ac:dyDescent="0.35">
      <c r="A580" s="8" t="s">
        <v>1185</v>
      </c>
      <c r="B580" s="2" t="str">
        <f>_xlfn.XLOOKUP(A580,Sheet1!A:A,Sheet1!B:B)</f>
        <v>Joseph Horn</v>
      </c>
      <c r="C580" s="2" t="str">
        <f>_xlfn.XLOOKUP(A:A,Sheet1!A:A,Sheet1!D:D)</f>
        <v>Male</v>
      </c>
      <c r="D580" s="8">
        <f>_xlfn.XLOOKUP(A:A,Sheet1!A:A,Sheet1!F:F)</f>
        <v>41</v>
      </c>
      <c r="E580" s="2" t="str">
        <f>_xlfn.XLOOKUP(A:A,Sheet1!A:A,Sheet1!G:G)</f>
        <v>France</v>
      </c>
      <c r="F580" s="8" t="str">
        <f>_xlfn.XLOOKUP(A:A,Sheet1!A:A,Sheet1!H:H)</f>
        <v>French</v>
      </c>
      <c r="G580" s="8" t="str">
        <f>_xlfn.XLOOKUP(A:A,Sheet1!A:A,Sheet1!I:I)</f>
        <v>Web Development</v>
      </c>
      <c r="H580" s="8">
        <f>_xlfn.XLOOKUP(A:A,Sheet1!A:A,Sheet1!K:K)</f>
        <v>11</v>
      </c>
      <c r="I580" s="9">
        <f>_xlfn.XLOOKUP(A:A,Sheet1!A:A,Sheet1!M:M)</f>
        <v>20</v>
      </c>
      <c r="J580" s="10">
        <f>_xlfn.XLOOKUP(A:A,Sheet1!A:A,Sheet1!O:O)</f>
        <v>4.7</v>
      </c>
      <c r="K580" t="str">
        <f>_xlfn.XLOOKUP(A:A,Sheet1!A:A,Sheet1!P:P)</f>
        <v>No</v>
      </c>
      <c r="L580" s="12">
        <f>_xlfn.XLOOKUP(A:A,Sheet1!A:A,Sheet1!S:S)</f>
        <v>0.69</v>
      </c>
    </row>
    <row r="581" spans="1:12" x14ac:dyDescent="0.35">
      <c r="A581" s="8" t="s">
        <v>1187</v>
      </c>
      <c r="B581" s="2" t="str">
        <f>_xlfn.XLOOKUP(A581,Sheet1!A:A,Sheet1!B:B)</f>
        <v>Christopher Robinson</v>
      </c>
      <c r="C581" s="2" t="str">
        <f>_xlfn.XLOOKUP(A:A,Sheet1!A:A,Sheet1!D:D)</f>
        <v>Male</v>
      </c>
      <c r="D581" s="8">
        <f>_xlfn.XLOOKUP(A:A,Sheet1!A:A,Sheet1!F:F)</f>
        <v>41</v>
      </c>
      <c r="E581" s="2" t="str">
        <f>_xlfn.XLOOKUP(A:A,Sheet1!A:A,Sheet1!G:G)</f>
        <v>United Kingdom</v>
      </c>
      <c r="F581" s="8" t="str">
        <f>_xlfn.XLOOKUP(A:A,Sheet1!A:A,Sheet1!H:H)</f>
        <v>English</v>
      </c>
      <c r="G581" s="8" t="str">
        <f>_xlfn.XLOOKUP(A:A,Sheet1!A:A,Sheet1!I:I)</f>
        <v>DevOps</v>
      </c>
      <c r="H581" s="8">
        <f>_xlfn.XLOOKUP(A:A,Sheet1!A:A,Sheet1!K:K)</f>
        <v>0</v>
      </c>
      <c r="I581" s="9">
        <f>_xlfn.XLOOKUP(A:A,Sheet1!A:A,Sheet1!M:M)</f>
        <v>20</v>
      </c>
      <c r="J581" s="10">
        <f>_xlfn.XLOOKUP(A:A,Sheet1!A:A,Sheet1!O:O)</f>
        <v>3.1</v>
      </c>
      <c r="K581" t="str">
        <f>_xlfn.XLOOKUP(A:A,Sheet1!A:A,Sheet1!P:P)</f>
        <v>No</v>
      </c>
      <c r="L581" s="12">
        <f>_xlfn.XLOOKUP(A:A,Sheet1!A:A,Sheet1!S:S)</f>
        <v>0.9</v>
      </c>
    </row>
    <row r="582" spans="1:12" x14ac:dyDescent="0.35">
      <c r="A582" s="8" t="s">
        <v>1189</v>
      </c>
      <c r="B582" s="2" t="str">
        <f>_xlfn.XLOOKUP(A582,Sheet1!A:A,Sheet1!B:B)</f>
        <v>Sandra Mccormick</v>
      </c>
      <c r="C582" s="2" t="str">
        <f>_xlfn.XLOOKUP(A:A,Sheet1!A:A,Sheet1!D:D)</f>
        <v>Female</v>
      </c>
      <c r="D582" s="8">
        <f>_xlfn.XLOOKUP(A:A,Sheet1!A:A,Sheet1!F:F)</f>
        <v>40</v>
      </c>
      <c r="E582" s="2" t="str">
        <f>_xlfn.XLOOKUP(A:A,Sheet1!A:A,Sheet1!G:G)</f>
        <v>United Kingdom</v>
      </c>
      <c r="F582" s="8" t="str">
        <f>_xlfn.XLOOKUP(A:A,Sheet1!A:A,Sheet1!H:H)</f>
        <v>English</v>
      </c>
      <c r="G582" s="8" t="str">
        <f>_xlfn.XLOOKUP(A:A,Sheet1!A:A,Sheet1!I:I)</f>
        <v>Mobile Apps</v>
      </c>
      <c r="H582" s="8">
        <f>_xlfn.XLOOKUP(A:A,Sheet1!A:A,Sheet1!K:K)</f>
        <v>20</v>
      </c>
      <c r="I582" s="9">
        <f>_xlfn.XLOOKUP(A:A,Sheet1!A:A,Sheet1!M:M)</f>
        <v>20</v>
      </c>
      <c r="J582" s="10">
        <f>_xlfn.XLOOKUP(A:A,Sheet1!A:A,Sheet1!O:O)</f>
        <v>2.2999999999999998</v>
      </c>
      <c r="K582" t="str">
        <f>_xlfn.XLOOKUP(A:A,Sheet1!A:A,Sheet1!P:P)</f>
        <v>No</v>
      </c>
      <c r="L582" s="12">
        <f>_xlfn.XLOOKUP(A:A,Sheet1!A:A,Sheet1!S:S)</f>
        <v>0.92</v>
      </c>
    </row>
    <row r="583" spans="1:12" x14ac:dyDescent="0.35">
      <c r="A583" s="8" t="s">
        <v>1191</v>
      </c>
      <c r="B583" s="2" t="str">
        <f>_xlfn.XLOOKUP(A583,Sheet1!A:A,Sheet1!B:B)</f>
        <v>Michael Holland</v>
      </c>
      <c r="C583" s="2" t="str">
        <f>_xlfn.XLOOKUP(A:A,Sheet1!A:A,Sheet1!D:D)</f>
        <v>Male</v>
      </c>
      <c r="D583" s="8">
        <f>_xlfn.XLOOKUP(A:A,Sheet1!A:A,Sheet1!F:F)</f>
        <v>45</v>
      </c>
      <c r="E583" s="2" t="str">
        <f>_xlfn.XLOOKUP(A:A,Sheet1!A:A,Sheet1!G:G)</f>
        <v>Germany</v>
      </c>
      <c r="F583" s="8" t="str">
        <f>_xlfn.XLOOKUP(A:A,Sheet1!A:A,Sheet1!H:H)</f>
        <v>German</v>
      </c>
      <c r="G583" s="8" t="str">
        <f>_xlfn.XLOOKUP(A:A,Sheet1!A:A,Sheet1!I:I)</f>
        <v>DevOps</v>
      </c>
      <c r="H583" s="8">
        <f>_xlfn.XLOOKUP(A:A,Sheet1!A:A,Sheet1!K:K)</f>
        <v>3</v>
      </c>
      <c r="I583" s="9">
        <f>_xlfn.XLOOKUP(A:A,Sheet1!A:A,Sheet1!M:M)</f>
        <v>20</v>
      </c>
      <c r="J583" s="10">
        <f>_xlfn.XLOOKUP(A:A,Sheet1!A:A,Sheet1!O:O)</f>
        <v>1.3</v>
      </c>
      <c r="K583" t="str">
        <f>_xlfn.XLOOKUP(A:A,Sheet1!A:A,Sheet1!P:P)</f>
        <v>Yes</v>
      </c>
      <c r="L583" s="12">
        <f>_xlfn.XLOOKUP(A:A,Sheet1!A:A,Sheet1!S:S)</f>
        <v>0.91</v>
      </c>
    </row>
    <row r="584" spans="1:12" x14ac:dyDescent="0.35">
      <c r="A584" s="8" t="s">
        <v>1193</v>
      </c>
      <c r="B584" s="2" t="str">
        <f>_xlfn.XLOOKUP(A584,Sheet1!A:A,Sheet1!B:B)</f>
        <v>Kenneth Stevenson</v>
      </c>
      <c r="C584" s="2" t="str">
        <f>_xlfn.XLOOKUP(A:A,Sheet1!A:A,Sheet1!D:D)</f>
        <v>Male</v>
      </c>
      <c r="D584" s="8">
        <f>_xlfn.XLOOKUP(A:A,Sheet1!A:A,Sheet1!F:F)</f>
        <v>47</v>
      </c>
      <c r="E584" s="2" t="str">
        <f>_xlfn.XLOOKUP(A:A,Sheet1!A:A,Sheet1!G:G)</f>
        <v>Egypt</v>
      </c>
      <c r="F584" s="8" t="str">
        <f>_xlfn.XLOOKUP(A:A,Sheet1!A:A,Sheet1!H:H)</f>
        <v>Arabic</v>
      </c>
      <c r="G584" s="8" t="str">
        <f>_xlfn.XLOOKUP(A:A,Sheet1!A:A,Sheet1!I:I)</f>
        <v>DevOps</v>
      </c>
      <c r="H584" s="8">
        <f>_xlfn.XLOOKUP(A:A,Sheet1!A:A,Sheet1!K:K)</f>
        <v>28</v>
      </c>
      <c r="I584" s="9">
        <f>_xlfn.XLOOKUP(A:A,Sheet1!A:A,Sheet1!M:M)</f>
        <v>50</v>
      </c>
      <c r="J584" s="10">
        <f>_xlfn.XLOOKUP(A:A,Sheet1!A:A,Sheet1!O:O)</f>
        <v>2.9</v>
      </c>
      <c r="K584" t="str">
        <f>_xlfn.XLOOKUP(A:A,Sheet1!A:A,Sheet1!P:P)</f>
        <v>Yes</v>
      </c>
      <c r="L584" s="12">
        <f>_xlfn.XLOOKUP(A:A,Sheet1!A:A,Sheet1!S:S)</f>
        <v>0.79269417475728277</v>
      </c>
    </row>
    <row r="585" spans="1:12" x14ac:dyDescent="0.35">
      <c r="A585" s="8" t="s">
        <v>1195</v>
      </c>
      <c r="B585" s="2" t="str">
        <f>_xlfn.XLOOKUP(A585,Sheet1!A:A,Sheet1!B:B)</f>
        <v>Timothy Bennett</v>
      </c>
      <c r="C585" s="2" t="str">
        <f>_xlfn.XLOOKUP(A:A,Sheet1!A:A,Sheet1!D:D)</f>
        <v>Male</v>
      </c>
      <c r="D585" s="8">
        <f>_xlfn.XLOOKUP(A:A,Sheet1!A:A,Sheet1!F:F)</f>
        <v>34</v>
      </c>
      <c r="E585" s="2" t="str">
        <f>_xlfn.XLOOKUP(A:A,Sheet1!A:A,Sheet1!G:G)</f>
        <v>India</v>
      </c>
      <c r="F585" s="8" t="str">
        <f>_xlfn.XLOOKUP(A:A,Sheet1!A:A,Sheet1!H:H)</f>
        <v>Hindi</v>
      </c>
      <c r="G585" s="8" t="str">
        <f>_xlfn.XLOOKUP(A:A,Sheet1!A:A,Sheet1!I:I)</f>
        <v>Data Analysis</v>
      </c>
      <c r="H585" s="8">
        <f>_xlfn.XLOOKUP(A:A,Sheet1!A:A,Sheet1!K:K)</f>
        <v>0</v>
      </c>
      <c r="I585" s="9">
        <f>_xlfn.XLOOKUP(A:A,Sheet1!A:A,Sheet1!M:M)</f>
        <v>40</v>
      </c>
      <c r="J585" s="10">
        <f>_xlfn.XLOOKUP(A:A,Sheet1!A:A,Sheet1!O:O)</f>
        <v>3.3</v>
      </c>
      <c r="K585" t="str">
        <f>_xlfn.XLOOKUP(A:A,Sheet1!A:A,Sheet1!P:P)</f>
        <v>No</v>
      </c>
      <c r="L585" s="12">
        <f>_xlfn.XLOOKUP(A:A,Sheet1!A:A,Sheet1!S:S)</f>
        <v>0.98</v>
      </c>
    </row>
    <row r="586" spans="1:12" x14ac:dyDescent="0.35">
      <c r="A586" s="8" t="s">
        <v>1197</v>
      </c>
      <c r="B586" s="2" t="str">
        <f>_xlfn.XLOOKUP(A586,Sheet1!A:A,Sheet1!B:B)</f>
        <v>Gregory Randall</v>
      </c>
      <c r="C586" s="2" t="str">
        <f>_xlfn.XLOOKUP(A:A,Sheet1!A:A,Sheet1!D:D)</f>
        <v>Male</v>
      </c>
      <c r="D586" s="8">
        <f>_xlfn.XLOOKUP(A:A,Sheet1!A:A,Sheet1!F:F)</f>
        <v>47</v>
      </c>
      <c r="E586" s="2" t="str">
        <f>_xlfn.XLOOKUP(A:A,Sheet1!A:A,Sheet1!G:G)</f>
        <v>United States</v>
      </c>
      <c r="F586" s="8" t="str">
        <f>_xlfn.XLOOKUP(A:A,Sheet1!A:A,Sheet1!H:H)</f>
        <v>English</v>
      </c>
      <c r="G586" s="8" t="str">
        <f>_xlfn.XLOOKUP(A:A,Sheet1!A:A,Sheet1!I:I)</f>
        <v>UI/UX Design</v>
      </c>
      <c r="H586" s="8">
        <f>_xlfn.XLOOKUP(A:A,Sheet1!A:A,Sheet1!K:K)</f>
        <v>4</v>
      </c>
      <c r="I586" s="9">
        <f>_xlfn.XLOOKUP(A:A,Sheet1!A:A,Sheet1!M:M)</f>
        <v>20</v>
      </c>
      <c r="J586" s="10">
        <f>_xlfn.XLOOKUP(A:A,Sheet1!A:A,Sheet1!O:O)</f>
        <v>4.2</v>
      </c>
      <c r="K586" t="str">
        <f>_xlfn.XLOOKUP(A:A,Sheet1!A:A,Sheet1!P:P)</f>
        <v>No</v>
      </c>
      <c r="L586" s="12">
        <f>_xlfn.XLOOKUP(A:A,Sheet1!A:A,Sheet1!S:S)</f>
        <v>0.82</v>
      </c>
    </row>
    <row r="587" spans="1:12" x14ac:dyDescent="0.35">
      <c r="A587" s="8" t="s">
        <v>1199</v>
      </c>
      <c r="B587" s="2" t="str">
        <f>_xlfn.XLOOKUP(A587,Sheet1!A:A,Sheet1!B:B)</f>
        <v>Charles Martinez</v>
      </c>
      <c r="C587" s="2" t="str">
        <f>_xlfn.XLOOKUP(A:A,Sheet1!A:A,Sheet1!D:D)</f>
        <v>Male</v>
      </c>
      <c r="D587" s="8">
        <f>_xlfn.XLOOKUP(A:A,Sheet1!A:A,Sheet1!F:F)</f>
        <v>32</v>
      </c>
      <c r="E587" s="2" t="str">
        <f>_xlfn.XLOOKUP(A:A,Sheet1!A:A,Sheet1!G:G)</f>
        <v>Mexico</v>
      </c>
      <c r="F587" s="8" t="str">
        <f>_xlfn.XLOOKUP(A:A,Sheet1!A:A,Sheet1!H:H)</f>
        <v>Spanish</v>
      </c>
      <c r="G587" s="8" t="str">
        <f>_xlfn.XLOOKUP(A:A,Sheet1!A:A,Sheet1!I:I)</f>
        <v>UI/UX Design</v>
      </c>
      <c r="H587" s="8">
        <f>_xlfn.XLOOKUP(A:A,Sheet1!A:A,Sheet1!K:K)</f>
        <v>9</v>
      </c>
      <c r="I587" s="9">
        <f>_xlfn.XLOOKUP(A:A,Sheet1!A:A,Sheet1!M:M)</f>
        <v>40</v>
      </c>
      <c r="J587" s="10">
        <f>_xlfn.XLOOKUP(A:A,Sheet1!A:A,Sheet1!O:O)</f>
        <v>1.3</v>
      </c>
      <c r="K587" t="str">
        <f>_xlfn.XLOOKUP(A:A,Sheet1!A:A,Sheet1!P:P)</f>
        <v>Yes</v>
      </c>
      <c r="L587" s="12">
        <f>_xlfn.XLOOKUP(A:A,Sheet1!A:A,Sheet1!S:S)</f>
        <v>0.83</v>
      </c>
    </row>
    <row r="588" spans="1:12" x14ac:dyDescent="0.35">
      <c r="A588" s="8" t="s">
        <v>1201</v>
      </c>
      <c r="B588" s="2" t="str">
        <f>_xlfn.XLOOKUP(A588,Sheet1!A:A,Sheet1!B:B)</f>
        <v>James Hall</v>
      </c>
      <c r="C588" s="2" t="str">
        <f>_xlfn.XLOOKUP(A:A,Sheet1!A:A,Sheet1!D:D)</f>
        <v>Male</v>
      </c>
      <c r="D588" s="8">
        <f>_xlfn.XLOOKUP(A:A,Sheet1!A:A,Sheet1!F:F)</f>
        <v>28</v>
      </c>
      <c r="E588" s="2" t="str">
        <f>_xlfn.XLOOKUP(A:A,Sheet1!A:A,Sheet1!G:G)</f>
        <v>United Kingdom</v>
      </c>
      <c r="F588" s="8" t="str">
        <f>_xlfn.XLOOKUP(A:A,Sheet1!A:A,Sheet1!H:H)</f>
        <v>English</v>
      </c>
      <c r="G588" s="8" t="str">
        <f>_xlfn.XLOOKUP(A:A,Sheet1!A:A,Sheet1!I:I)</f>
        <v>Mobile Apps</v>
      </c>
      <c r="H588" s="8">
        <f>_xlfn.XLOOKUP(A:A,Sheet1!A:A,Sheet1!K:K)</f>
        <v>2</v>
      </c>
      <c r="I588" s="9">
        <f>_xlfn.XLOOKUP(A:A,Sheet1!A:A,Sheet1!M:M)</f>
        <v>100</v>
      </c>
      <c r="J588" s="10">
        <f>_xlfn.XLOOKUP(A:A,Sheet1!A:A,Sheet1!O:O)</f>
        <v>4.4000000000000004</v>
      </c>
      <c r="K588" t="str">
        <f>_xlfn.XLOOKUP(A:A,Sheet1!A:A,Sheet1!P:P)</f>
        <v>Yes</v>
      </c>
      <c r="L588" s="12">
        <f>_xlfn.XLOOKUP(A:A,Sheet1!A:A,Sheet1!S:S)</f>
        <v>0.79269417475728277</v>
      </c>
    </row>
    <row r="589" spans="1:12" x14ac:dyDescent="0.35">
      <c r="A589" s="8" t="s">
        <v>1203</v>
      </c>
      <c r="B589" s="2" t="str">
        <f>_xlfn.XLOOKUP(A589,Sheet1!A:A,Sheet1!B:B)</f>
        <v>Michael Garcia</v>
      </c>
      <c r="C589" s="2" t="str">
        <f>_xlfn.XLOOKUP(A:A,Sheet1!A:A,Sheet1!D:D)</f>
        <v>Male</v>
      </c>
      <c r="D589" s="8">
        <f>_xlfn.XLOOKUP(A:A,Sheet1!A:A,Sheet1!F:F)</f>
        <v>32</v>
      </c>
      <c r="E589" s="2" t="str">
        <f>_xlfn.XLOOKUP(A:A,Sheet1!A:A,Sheet1!G:G)</f>
        <v>Australia</v>
      </c>
      <c r="F589" s="8" t="str">
        <f>_xlfn.XLOOKUP(A:A,Sheet1!A:A,Sheet1!H:H)</f>
        <v>English</v>
      </c>
      <c r="G589" s="8" t="str">
        <f>_xlfn.XLOOKUP(A:A,Sheet1!A:A,Sheet1!I:I)</f>
        <v>DevOps</v>
      </c>
      <c r="H589" s="8">
        <f>_xlfn.XLOOKUP(A:A,Sheet1!A:A,Sheet1!K:K)</f>
        <v>1</v>
      </c>
      <c r="I589" s="9">
        <f>_xlfn.XLOOKUP(A:A,Sheet1!A:A,Sheet1!M:M)</f>
        <v>100</v>
      </c>
      <c r="J589" s="10">
        <f>_xlfn.XLOOKUP(A:A,Sheet1!A:A,Sheet1!O:O)</f>
        <v>3.4</v>
      </c>
      <c r="K589" t="str">
        <f>_xlfn.XLOOKUP(A:A,Sheet1!A:A,Sheet1!P:P)</f>
        <v>Yes</v>
      </c>
      <c r="L589" s="12">
        <f>_xlfn.XLOOKUP(A:A,Sheet1!A:A,Sheet1!S:S)</f>
        <v>0.79269417475728277</v>
      </c>
    </row>
    <row r="590" spans="1:12" x14ac:dyDescent="0.35">
      <c r="A590" s="8" t="s">
        <v>1205</v>
      </c>
      <c r="B590" s="2" t="str">
        <f>_xlfn.XLOOKUP(A590,Sheet1!A:A,Sheet1!B:B)</f>
        <v>Michele Duran</v>
      </c>
      <c r="C590" s="2" t="str">
        <f>_xlfn.XLOOKUP(A:A,Sheet1!A:A,Sheet1!D:D)</f>
        <v>Female</v>
      </c>
      <c r="D590" s="8">
        <f>_xlfn.XLOOKUP(A:A,Sheet1!A:A,Sheet1!F:F)</f>
        <v>49</v>
      </c>
      <c r="E590" s="2" t="str">
        <f>_xlfn.XLOOKUP(A:A,Sheet1!A:A,Sheet1!G:G)</f>
        <v>Netherlands</v>
      </c>
      <c r="F590" s="8" t="str">
        <f>_xlfn.XLOOKUP(A:A,Sheet1!A:A,Sheet1!H:H)</f>
        <v>Dutch</v>
      </c>
      <c r="G590" s="8" t="str">
        <f>_xlfn.XLOOKUP(A:A,Sheet1!A:A,Sheet1!I:I)</f>
        <v>AI</v>
      </c>
      <c r="H590" s="8">
        <f>_xlfn.XLOOKUP(A:A,Sheet1!A:A,Sheet1!K:K)</f>
        <v>2</v>
      </c>
      <c r="I590" s="9">
        <f>_xlfn.XLOOKUP(A:A,Sheet1!A:A,Sheet1!M:M)</f>
        <v>100</v>
      </c>
      <c r="J590" s="10">
        <f>_xlfn.XLOOKUP(A:A,Sheet1!A:A,Sheet1!O:O)</f>
        <v>3.4</v>
      </c>
      <c r="K590" t="str">
        <f>_xlfn.XLOOKUP(A:A,Sheet1!A:A,Sheet1!P:P)</f>
        <v>Yes</v>
      </c>
      <c r="L590" s="12">
        <f>_xlfn.XLOOKUP(A:A,Sheet1!A:A,Sheet1!S:S)</f>
        <v>0.85</v>
      </c>
    </row>
    <row r="591" spans="1:12" x14ac:dyDescent="0.35">
      <c r="A591" s="8" t="s">
        <v>1207</v>
      </c>
      <c r="B591" s="2" t="str">
        <f>_xlfn.XLOOKUP(A591,Sheet1!A:A,Sheet1!B:B)</f>
        <v>Jessica Gray</v>
      </c>
      <c r="C591" s="2" t="str">
        <f>_xlfn.XLOOKUP(A:A,Sheet1!A:A,Sheet1!D:D)</f>
        <v>Female</v>
      </c>
      <c r="D591" s="8">
        <f>_xlfn.XLOOKUP(A:A,Sheet1!A:A,Sheet1!F:F)</f>
        <v>36</v>
      </c>
      <c r="E591" s="2" t="str">
        <f>_xlfn.XLOOKUP(A:A,Sheet1!A:A,Sheet1!G:G)</f>
        <v>Argentina</v>
      </c>
      <c r="F591" s="8" t="str">
        <f>_xlfn.XLOOKUP(A:A,Sheet1!A:A,Sheet1!H:H)</f>
        <v>Spanish</v>
      </c>
      <c r="G591" s="8" t="str">
        <f>_xlfn.XLOOKUP(A:A,Sheet1!A:A,Sheet1!I:I)</f>
        <v>Mobile Apps</v>
      </c>
      <c r="H591" s="8">
        <f>_xlfn.XLOOKUP(A:A,Sheet1!A:A,Sheet1!K:K)</f>
        <v>16</v>
      </c>
      <c r="I591" s="9">
        <f>_xlfn.XLOOKUP(A:A,Sheet1!A:A,Sheet1!M:M)</f>
        <v>20</v>
      </c>
      <c r="J591" s="10">
        <f>_xlfn.XLOOKUP(A:A,Sheet1!A:A,Sheet1!O:O)</f>
        <v>3.2</v>
      </c>
      <c r="K591" t="str">
        <f>_xlfn.XLOOKUP(A:A,Sheet1!A:A,Sheet1!P:P)</f>
        <v>No</v>
      </c>
      <c r="L591" s="12">
        <f>_xlfn.XLOOKUP(A:A,Sheet1!A:A,Sheet1!S:S)</f>
        <v>0.79269417475728277</v>
      </c>
    </row>
    <row r="592" spans="1:12" x14ac:dyDescent="0.35">
      <c r="A592" s="8" t="s">
        <v>1209</v>
      </c>
      <c r="B592" s="2" t="str">
        <f>_xlfn.XLOOKUP(A592,Sheet1!A:A,Sheet1!B:B)</f>
        <v>Keith Shaffer</v>
      </c>
      <c r="C592" s="2" t="str">
        <f>_xlfn.XLOOKUP(A:A,Sheet1!A:A,Sheet1!D:D)</f>
        <v>Male</v>
      </c>
      <c r="D592" s="8">
        <f>_xlfn.XLOOKUP(A:A,Sheet1!A:A,Sheet1!F:F)</f>
        <v>59</v>
      </c>
      <c r="E592" s="2" t="str">
        <f>_xlfn.XLOOKUP(A:A,Sheet1!A:A,Sheet1!G:G)</f>
        <v>Mexico</v>
      </c>
      <c r="F592" s="8" t="str">
        <f>_xlfn.XLOOKUP(A:A,Sheet1!A:A,Sheet1!H:H)</f>
        <v>Spanish</v>
      </c>
      <c r="G592" s="8" t="str">
        <f>_xlfn.XLOOKUP(A:A,Sheet1!A:A,Sheet1!I:I)</f>
        <v>Blockchain Development</v>
      </c>
      <c r="H592" s="8">
        <f>_xlfn.XLOOKUP(A:A,Sheet1!A:A,Sheet1!K:K)</f>
        <v>22</v>
      </c>
      <c r="I592" s="9">
        <f>_xlfn.XLOOKUP(A:A,Sheet1!A:A,Sheet1!M:M)</f>
        <v>20</v>
      </c>
      <c r="J592" s="10">
        <f>_xlfn.XLOOKUP(A:A,Sheet1!A:A,Sheet1!O:O)</f>
        <v>3.6</v>
      </c>
      <c r="K592" t="str">
        <f>_xlfn.XLOOKUP(A:A,Sheet1!A:A,Sheet1!P:P)</f>
        <v>No</v>
      </c>
      <c r="L592" s="12">
        <f>_xlfn.XLOOKUP(A:A,Sheet1!A:A,Sheet1!S:S)</f>
        <v>0.63</v>
      </c>
    </row>
    <row r="593" spans="1:12" x14ac:dyDescent="0.35">
      <c r="A593" s="8" t="s">
        <v>1211</v>
      </c>
      <c r="B593" s="2" t="str">
        <f>_xlfn.XLOOKUP(A593,Sheet1!A:A,Sheet1!B:B)</f>
        <v>Jessica Decker</v>
      </c>
      <c r="C593" s="2" t="str">
        <f>_xlfn.XLOOKUP(A:A,Sheet1!A:A,Sheet1!D:D)</f>
        <v>Female</v>
      </c>
      <c r="D593" s="8">
        <f>_xlfn.XLOOKUP(A:A,Sheet1!A:A,Sheet1!F:F)</f>
        <v>52</v>
      </c>
      <c r="E593" s="2" t="str">
        <f>_xlfn.XLOOKUP(A:A,Sheet1!A:A,Sheet1!G:G)</f>
        <v>Canada</v>
      </c>
      <c r="F593" s="8" t="str">
        <f>_xlfn.XLOOKUP(A:A,Sheet1!A:A,Sheet1!H:H)</f>
        <v>English</v>
      </c>
      <c r="G593" s="8" t="str">
        <f>_xlfn.XLOOKUP(A:A,Sheet1!A:A,Sheet1!I:I)</f>
        <v>Cybersecurity</v>
      </c>
      <c r="H593" s="8">
        <f>_xlfn.XLOOKUP(A:A,Sheet1!A:A,Sheet1!K:K)</f>
        <v>22</v>
      </c>
      <c r="I593" s="9">
        <f>_xlfn.XLOOKUP(A:A,Sheet1!A:A,Sheet1!M:M)</f>
        <v>20</v>
      </c>
      <c r="J593" s="11">
        <v>0</v>
      </c>
      <c r="K593" t="str">
        <f>_xlfn.XLOOKUP(A:A,Sheet1!A:A,Sheet1!P:P)</f>
        <v>No</v>
      </c>
      <c r="L593" s="12">
        <f>_xlfn.XLOOKUP(A:A,Sheet1!A:A,Sheet1!S:S)</f>
        <v>0.79269417475728277</v>
      </c>
    </row>
    <row r="594" spans="1:12" x14ac:dyDescent="0.35">
      <c r="A594" s="8" t="s">
        <v>1213</v>
      </c>
      <c r="B594" s="2" t="str">
        <f>_xlfn.XLOOKUP(A594,Sheet1!A:A,Sheet1!B:B)</f>
        <v>Brianna Pittman</v>
      </c>
      <c r="C594" s="2" t="str">
        <f>_xlfn.XLOOKUP(A:A,Sheet1!A:A,Sheet1!D:D)</f>
        <v>Female</v>
      </c>
      <c r="D594" s="8">
        <f>_xlfn.XLOOKUP(A:A,Sheet1!A:A,Sheet1!F:F)</f>
        <v>24</v>
      </c>
      <c r="E594" s="2" t="str">
        <f>_xlfn.XLOOKUP(A:A,Sheet1!A:A,Sheet1!G:G)</f>
        <v>China</v>
      </c>
      <c r="F594" s="8" t="str">
        <f>_xlfn.XLOOKUP(A:A,Sheet1!A:A,Sheet1!H:H)</f>
        <v>Mandarin</v>
      </c>
      <c r="G594" s="8" t="str">
        <f>_xlfn.XLOOKUP(A:A,Sheet1!A:A,Sheet1!I:I)</f>
        <v>Blockchain Development</v>
      </c>
      <c r="H594" s="8">
        <f>_xlfn.XLOOKUP(A:A,Sheet1!A:A,Sheet1!K:K)</f>
        <v>5</v>
      </c>
      <c r="I594" s="9">
        <f>_xlfn.XLOOKUP(A:A,Sheet1!A:A,Sheet1!M:M)</f>
        <v>40</v>
      </c>
      <c r="J594" s="10">
        <f>_xlfn.XLOOKUP(A:A,Sheet1!A:A,Sheet1!O:O)</f>
        <v>1.8</v>
      </c>
      <c r="K594" t="str">
        <f>_xlfn.XLOOKUP(A:A,Sheet1!A:A,Sheet1!P:P)</f>
        <v>Yes</v>
      </c>
      <c r="L594" s="12">
        <f>_xlfn.XLOOKUP(A:A,Sheet1!A:A,Sheet1!S:S)</f>
        <v>0.86</v>
      </c>
    </row>
    <row r="595" spans="1:12" x14ac:dyDescent="0.35">
      <c r="A595" s="8" t="s">
        <v>1215</v>
      </c>
      <c r="B595" s="2" t="str">
        <f>_xlfn.XLOOKUP(A595,Sheet1!A:A,Sheet1!B:B)</f>
        <v>Kimberly Hunter</v>
      </c>
      <c r="C595" s="2" t="str">
        <f>_xlfn.XLOOKUP(A:A,Sheet1!A:A,Sheet1!D:D)</f>
        <v>Female</v>
      </c>
      <c r="D595" s="8">
        <f>_xlfn.XLOOKUP(A:A,Sheet1!A:A,Sheet1!F:F)</f>
        <v>26</v>
      </c>
      <c r="E595" s="2" t="str">
        <f>_xlfn.XLOOKUP(A:A,Sheet1!A:A,Sheet1!G:G)</f>
        <v>Australia</v>
      </c>
      <c r="F595" s="8" t="str">
        <f>_xlfn.XLOOKUP(A:A,Sheet1!A:A,Sheet1!H:H)</f>
        <v>English</v>
      </c>
      <c r="G595" s="8" t="str">
        <f>_xlfn.XLOOKUP(A:A,Sheet1!A:A,Sheet1!I:I)</f>
        <v>Graphic Design</v>
      </c>
      <c r="H595" s="8">
        <f>_xlfn.XLOOKUP(A:A,Sheet1!A:A,Sheet1!K:K)</f>
        <v>2</v>
      </c>
      <c r="I595" s="9">
        <f>_xlfn.XLOOKUP(A:A,Sheet1!A:A,Sheet1!M:M)</f>
        <v>75</v>
      </c>
      <c r="J595" s="10">
        <f>_xlfn.XLOOKUP(A:A,Sheet1!A:A,Sheet1!O:O)</f>
        <v>2.5</v>
      </c>
      <c r="K595" t="str">
        <f>_xlfn.XLOOKUP(A:A,Sheet1!A:A,Sheet1!P:P)</f>
        <v>Yes</v>
      </c>
      <c r="L595" s="12">
        <f>_xlfn.XLOOKUP(A:A,Sheet1!A:A,Sheet1!S:S)</f>
        <v>0.6</v>
      </c>
    </row>
    <row r="596" spans="1:12" x14ac:dyDescent="0.35">
      <c r="A596" s="8" t="s">
        <v>1217</v>
      </c>
      <c r="B596" s="2" t="str">
        <f>_xlfn.XLOOKUP(A596,Sheet1!A:A,Sheet1!B:B)</f>
        <v>Daniel Martin</v>
      </c>
      <c r="C596" s="2" t="str">
        <f>_xlfn.XLOOKUP(A:A,Sheet1!A:A,Sheet1!D:D)</f>
        <v>Male</v>
      </c>
      <c r="D596" s="8">
        <f>_xlfn.XLOOKUP(A:A,Sheet1!A:A,Sheet1!F:F)</f>
        <v>55</v>
      </c>
      <c r="E596" s="2" t="str">
        <f>_xlfn.XLOOKUP(A:A,Sheet1!A:A,Sheet1!G:G)</f>
        <v>Canada</v>
      </c>
      <c r="F596" s="8" t="str">
        <f>_xlfn.XLOOKUP(A:A,Sheet1!A:A,Sheet1!H:H)</f>
        <v>English</v>
      </c>
      <c r="G596" s="8" t="str">
        <f>_xlfn.XLOOKUP(A:A,Sheet1!A:A,Sheet1!I:I)</f>
        <v>Cybersecurity</v>
      </c>
      <c r="H596" s="8">
        <f>_xlfn.XLOOKUP(A:A,Sheet1!A:A,Sheet1!K:K)</f>
        <v>24</v>
      </c>
      <c r="I596" s="9">
        <f>_xlfn.XLOOKUP(A:A,Sheet1!A:A,Sheet1!M:M)</f>
        <v>40</v>
      </c>
      <c r="J596" s="10">
        <f>_xlfn.XLOOKUP(A:A,Sheet1!A:A,Sheet1!O:O)</f>
        <v>2</v>
      </c>
      <c r="K596" t="str">
        <f>_xlfn.XLOOKUP(A:A,Sheet1!A:A,Sheet1!P:P)</f>
        <v>Yes</v>
      </c>
      <c r="L596" s="12">
        <f>_xlfn.XLOOKUP(A:A,Sheet1!A:A,Sheet1!S:S)</f>
        <v>0.88</v>
      </c>
    </row>
    <row r="597" spans="1:12" x14ac:dyDescent="0.35">
      <c r="A597" s="8" t="s">
        <v>1219</v>
      </c>
      <c r="B597" s="2" t="str">
        <f>_xlfn.XLOOKUP(A597,Sheet1!A:A,Sheet1!B:B)</f>
        <v>Rachel Smith</v>
      </c>
      <c r="C597" s="2" t="str">
        <f>_xlfn.XLOOKUP(A:A,Sheet1!A:A,Sheet1!D:D)</f>
        <v>Female</v>
      </c>
      <c r="D597" s="8">
        <f>_xlfn.XLOOKUP(A:A,Sheet1!A:A,Sheet1!F:F)</f>
        <v>56</v>
      </c>
      <c r="E597" s="2" t="str">
        <f>_xlfn.XLOOKUP(A:A,Sheet1!A:A,Sheet1!G:G)</f>
        <v>Italy</v>
      </c>
      <c r="F597" s="8" t="str">
        <f>_xlfn.XLOOKUP(A:A,Sheet1!A:A,Sheet1!H:H)</f>
        <v>Italian</v>
      </c>
      <c r="G597" s="8" t="str">
        <f>_xlfn.XLOOKUP(A:A,Sheet1!A:A,Sheet1!I:I)</f>
        <v>Mobile Apps</v>
      </c>
      <c r="H597" s="8">
        <f>_xlfn.XLOOKUP(A:A,Sheet1!A:A,Sheet1!K:K)</f>
        <v>37</v>
      </c>
      <c r="I597" s="9">
        <f>_xlfn.XLOOKUP(A:A,Sheet1!A:A,Sheet1!M:M)</f>
        <v>40</v>
      </c>
      <c r="J597" s="11">
        <v>0</v>
      </c>
      <c r="K597" t="str">
        <f>_xlfn.XLOOKUP(A:A,Sheet1!A:A,Sheet1!P:P)</f>
        <v>No</v>
      </c>
      <c r="L597" s="12">
        <f>_xlfn.XLOOKUP(A:A,Sheet1!A:A,Sheet1!S:S)</f>
        <v>0.7</v>
      </c>
    </row>
    <row r="598" spans="1:12" x14ac:dyDescent="0.35">
      <c r="A598" s="8" t="s">
        <v>1221</v>
      </c>
      <c r="B598" s="2" t="str">
        <f>_xlfn.XLOOKUP(A598,Sheet1!A:A,Sheet1!B:B)</f>
        <v>Michael Miller</v>
      </c>
      <c r="C598" s="2" t="str">
        <f>_xlfn.XLOOKUP(A:A,Sheet1!A:A,Sheet1!D:D)</f>
        <v>Male</v>
      </c>
      <c r="D598" s="8">
        <f>_xlfn.XLOOKUP(A:A,Sheet1!A:A,Sheet1!F:F)</f>
        <v>36</v>
      </c>
      <c r="E598" s="2" t="str">
        <f>_xlfn.XLOOKUP(A:A,Sheet1!A:A,Sheet1!G:G)</f>
        <v>France</v>
      </c>
      <c r="F598" s="8" t="str">
        <f>_xlfn.XLOOKUP(A:A,Sheet1!A:A,Sheet1!H:H)</f>
        <v>French</v>
      </c>
      <c r="G598" s="8" t="str">
        <f>_xlfn.XLOOKUP(A:A,Sheet1!A:A,Sheet1!I:I)</f>
        <v>Graphic Design</v>
      </c>
      <c r="H598" s="8">
        <f>_xlfn.XLOOKUP(A:A,Sheet1!A:A,Sheet1!K:K)</f>
        <v>3</v>
      </c>
      <c r="I598" s="9">
        <f>_xlfn.XLOOKUP(A:A,Sheet1!A:A,Sheet1!M:M)</f>
        <v>50</v>
      </c>
      <c r="J598" s="10">
        <f>_xlfn.XLOOKUP(A:A,Sheet1!A:A,Sheet1!O:O)</f>
        <v>1.3</v>
      </c>
      <c r="K598" t="str">
        <f>_xlfn.XLOOKUP(A:A,Sheet1!A:A,Sheet1!P:P)</f>
        <v>Yes</v>
      </c>
      <c r="L598" s="12">
        <f>_xlfn.XLOOKUP(A:A,Sheet1!A:A,Sheet1!S:S)</f>
        <v>0.77</v>
      </c>
    </row>
    <row r="599" spans="1:12" x14ac:dyDescent="0.35">
      <c r="A599" s="8" t="s">
        <v>1223</v>
      </c>
      <c r="B599" s="2" t="str">
        <f>_xlfn.XLOOKUP(A599,Sheet1!A:A,Sheet1!B:B)</f>
        <v>Willie Clark</v>
      </c>
      <c r="C599" s="2" t="str">
        <f>_xlfn.XLOOKUP(A:A,Sheet1!A:A,Sheet1!D:D)</f>
        <v>Male</v>
      </c>
      <c r="D599" s="8">
        <f>_xlfn.XLOOKUP(A:A,Sheet1!A:A,Sheet1!F:F)</f>
        <v>48</v>
      </c>
      <c r="E599" s="2" t="str">
        <f>_xlfn.XLOOKUP(A:A,Sheet1!A:A,Sheet1!G:G)</f>
        <v>Argentina</v>
      </c>
      <c r="F599" s="8" t="str">
        <f>_xlfn.XLOOKUP(A:A,Sheet1!A:A,Sheet1!H:H)</f>
        <v>Spanish</v>
      </c>
      <c r="G599" s="8" t="str">
        <f>_xlfn.XLOOKUP(A:A,Sheet1!A:A,Sheet1!I:I)</f>
        <v>Web Development</v>
      </c>
      <c r="H599" s="8">
        <f>_xlfn.XLOOKUP(A:A,Sheet1!A:A,Sheet1!K:K)</f>
        <v>18</v>
      </c>
      <c r="I599" s="9">
        <f>_xlfn.XLOOKUP(A:A,Sheet1!A:A,Sheet1!M:M)</f>
        <v>75</v>
      </c>
      <c r="J599" s="11">
        <v>0</v>
      </c>
      <c r="K599" t="str">
        <f>_xlfn.XLOOKUP(A:A,Sheet1!A:A,Sheet1!P:P)</f>
        <v>No</v>
      </c>
      <c r="L599" s="12">
        <f>_xlfn.XLOOKUP(A:A,Sheet1!A:A,Sheet1!S:S)</f>
        <v>0.8</v>
      </c>
    </row>
    <row r="600" spans="1:12" x14ac:dyDescent="0.35">
      <c r="A600" s="8" t="s">
        <v>1225</v>
      </c>
      <c r="B600" s="2" t="str">
        <f>_xlfn.XLOOKUP(A600,Sheet1!A:A,Sheet1!B:B)</f>
        <v>Jeremy Hernandez</v>
      </c>
      <c r="C600" s="2" t="str">
        <f>_xlfn.XLOOKUP(A:A,Sheet1!A:A,Sheet1!D:D)</f>
        <v>Male</v>
      </c>
      <c r="D600" s="8">
        <f>_xlfn.XLOOKUP(A:A,Sheet1!A:A,Sheet1!F:F)</f>
        <v>55</v>
      </c>
      <c r="E600" s="2" t="str">
        <f>_xlfn.XLOOKUP(A:A,Sheet1!A:A,Sheet1!G:G)</f>
        <v>Egypt</v>
      </c>
      <c r="F600" s="8" t="str">
        <f>_xlfn.XLOOKUP(A:A,Sheet1!A:A,Sheet1!H:H)</f>
        <v>Arabic</v>
      </c>
      <c r="G600" s="8" t="str">
        <f>_xlfn.XLOOKUP(A:A,Sheet1!A:A,Sheet1!I:I)</f>
        <v>Machine Learning</v>
      </c>
      <c r="H600" s="8">
        <f>_xlfn.XLOOKUP(A:A,Sheet1!A:A,Sheet1!K:K)</f>
        <v>6</v>
      </c>
      <c r="I600" s="9">
        <f>_xlfn.XLOOKUP(A:A,Sheet1!A:A,Sheet1!M:M)</f>
        <v>40</v>
      </c>
      <c r="J600" s="10">
        <f>_xlfn.XLOOKUP(A:A,Sheet1!A:A,Sheet1!O:O)</f>
        <v>3.6</v>
      </c>
      <c r="K600" t="str">
        <f>_xlfn.XLOOKUP(A:A,Sheet1!A:A,Sheet1!P:P)</f>
        <v>Yes</v>
      </c>
      <c r="L600" s="12">
        <f>_xlfn.XLOOKUP(A:A,Sheet1!A:A,Sheet1!S:S)</f>
        <v>0.79269417475728277</v>
      </c>
    </row>
    <row r="601" spans="1:12" x14ac:dyDescent="0.35">
      <c r="A601" s="8" t="s">
        <v>1227</v>
      </c>
      <c r="B601" s="2" t="str">
        <f>_xlfn.XLOOKUP(A601,Sheet1!A:A,Sheet1!B:B)</f>
        <v>Tina Shelton</v>
      </c>
      <c r="C601" s="2" t="str">
        <f>_xlfn.XLOOKUP(A:A,Sheet1!A:A,Sheet1!D:D)</f>
        <v>Female</v>
      </c>
      <c r="D601" s="8">
        <f>_xlfn.XLOOKUP(A:A,Sheet1!A:A,Sheet1!F:F)</f>
        <v>56</v>
      </c>
      <c r="E601" s="2" t="str">
        <f>_xlfn.XLOOKUP(A:A,Sheet1!A:A,Sheet1!G:G)</f>
        <v>Spain</v>
      </c>
      <c r="F601" s="8" t="str">
        <f>_xlfn.XLOOKUP(A:A,Sheet1!A:A,Sheet1!H:H)</f>
        <v>Spanish</v>
      </c>
      <c r="G601" s="8" t="str">
        <f>_xlfn.XLOOKUP(A:A,Sheet1!A:A,Sheet1!I:I)</f>
        <v>DevOps</v>
      </c>
      <c r="H601" s="8">
        <f>_xlfn.XLOOKUP(A:A,Sheet1!A:A,Sheet1!K:K)</f>
        <v>17</v>
      </c>
      <c r="I601" s="9">
        <f>_xlfn.XLOOKUP(A:A,Sheet1!A:A,Sheet1!M:M)</f>
        <v>40</v>
      </c>
      <c r="J601" s="10">
        <f>_xlfn.XLOOKUP(A:A,Sheet1!A:A,Sheet1!O:O)</f>
        <v>1.3</v>
      </c>
      <c r="K601" t="str">
        <f>_xlfn.XLOOKUP(A:A,Sheet1!A:A,Sheet1!P:P)</f>
        <v>No</v>
      </c>
      <c r="L601" s="12">
        <f>_xlfn.XLOOKUP(A:A,Sheet1!A:A,Sheet1!S:S)</f>
        <v>0.87</v>
      </c>
    </row>
    <row r="602" spans="1:12" x14ac:dyDescent="0.35">
      <c r="A602" s="8" t="s">
        <v>1229</v>
      </c>
      <c r="B602" s="2" t="str">
        <f>_xlfn.XLOOKUP(A602,Sheet1!A:A,Sheet1!B:B)</f>
        <v xml:space="preserve"> Pamela Larson</v>
      </c>
      <c r="C602" s="2" t="str">
        <f>_xlfn.XLOOKUP(A:A,Sheet1!A:A,Sheet1!D:D)</f>
        <v>Female</v>
      </c>
      <c r="D602" s="8">
        <f>_xlfn.XLOOKUP(A:A,Sheet1!A:A,Sheet1!F:F)</f>
        <v>28</v>
      </c>
      <c r="E602" s="2" t="str">
        <f>_xlfn.XLOOKUP(A:A,Sheet1!A:A,Sheet1!G:G)</f>
        <v>Canada</v>
      </c>
      <c r="F602" s="8" t="str">
        <f>_xlfn.XLOOKUP(A:A,Sheet1!A:A,Sheet1!H:H)</f>
        <v>English</v>
      </c>
      <c r="G602" s="8" t="str">
        <f>_xlfn.XLOOKUP(A:A,Sheet1!A:A,Sheet1!I:I)</f>
        <v>Blockchain Development</v>
      </c>
      <c r="H602" s="8">
        <f>_xlfn.XLOOKUP(A:A,Sheet1!A:A,Sheet1!K:K)</f>
        <v>1</v>
      </c>
      <c r="I602" s="9">
        <f>_xlfn.XLOOKUP(A:A,Sheet1!A:A,Sheet1!M:M)</f>
        <v>75</v>
      </c>
      <c r="J602" s="10">
        <f>_xlfn.XLOOKUP(A:A,Sheet1!A:A,Sheet1!O:O)</f>
        <v>2.7</v>
      </c>
      <c r="K602" t="str">
        <f>_xlfn.XLOOKUP(A:A,Sheet1!A:A,Sheet1!P:P)</f>
        <v>Yes</v>
      </c>
      <c r="L602" s="12">
        <f>_xlfn.XLOOKUP(A:A,Sheet1!A:A,Sheet1!S:S)</f>
        <v>0.93</v>
      </c>
    </row>
    <row r="603" spans="1:12" x14ac:dyDescent="0.35">
      <c r="A603" s="8" t="s">
        <v>1230</v>
      </c>
      <c r="B603" s="2" t="str">
        <f>_xlfn.XLOOKUP(A603,Sheet1!A:A,Sheet1!B:B)</f>
        <v>Ryan Ewing</v>
      </c>
      <c r="C603" s="2" t="str">
        <f>_xlfn.XLOOKUP(A:A,Sheet1!A:A,Sheet1!D:D)</f>
        <v>Male</v>
      </c>
      <c r="D603" s="8">
        <f>_xlfn.XLOOKUP(A:A,Sheet1!A:A,Sheet1!F:F)</f>
        <v>60</v>
      </c>
      <c r="E603" s="2" t="str">
        <f>_xlfn.XLOOKUP(A:A,Sheet1!A:A,Sheet1!G:G)</f>
        <v>United States</v>
      </c>
      <c r="F603" s="8" t="str">
        <f>_xlfn.XLOOKUP(A:A,Sheet1!A:A,Sheet1!H:H)</f>
        <v>English</v>
      </c>
      <c r="G603" s="8" t="str">
        <f>_xlfn.XLOOKUP(A:A,Sheet1!A:A,Sheet1!I:I)</f>
        <v>AI</v>
      </c>
      <c r="H603" s="8">
        <f>_xlfn.XLOOKUP(A:A,Sheet1!A:A,Sheet1!K:K)</f>
        <v>39</v>
      </c>
      <c r="I603" s="9">
        <f>_xlfn.XLOOKUP(A:A,Sheet1!A:A,Sheet1!M:M)</f>
        <v>100</v>
      </c>
      <c r="J603" s="10">
        <f>_xlfn.XLOOKUP(A:A,Sheet1!A:A,Sheet1!O:O)</f>
        <v>1.5</v>
      </c>
      <c r="K603" t="str">
        <f>_xlfn.XLOOKUP(A:A,Sheet1!A:A,Sheet1!P:P)</f>
        <v>No</v>
      </c>
      <c r="L603" s="12">
        <f>_xlfn.XLOOKUP(A:A,Sheet1!A:A,Sheet1!S:S)</f>
        <v>0.88</v>
      </c>
    </row>
    <row r="604" spans="1:12" x14ac:dyDescent="0.35">
      <c r="A604" s="8" t="s">
        <v>1232</v>
      </c>
      <c r="B604" s="2" t="str">
        <f>_xlfn.XLOOKUP(A604,Sheet1!A:A,Sheet1!B:B)</f>
        <v>Mark Cochran</v>
      </c>
      <c r="C604" s="2" t="str">
        <f>_xlfn.XLOOKUP(A:A,Sheet1!A:A,Sheet1!D:D)</f>
        <v>Male</v>
      </c>
      <c r="D604" s="8">
        <f>_xlfn.XLOOKUP(A:A,Sheet1!A:A,Sheet1!F:F)</f>
        <v>34</v>
      </c>
      <c r="E604" s="2" t="str">
        <f>_xlfn.XLOOKUP(A:A,Sheet1!A:A,Sheet1!G:G)</f>
        <v>South Korea</v>
      </c>
      <c r="F604" s="8" t="str">
        <f>_xlfn.XLOOKUP(A:A,Sheet1!A:A,Sheet1!H:H)</f>
        <v>Korean</v>
      </c>
      <c r="G604" s="8" t="str">
        <f>_xlfn.XLOOKUP(A:A,Sheet1!A:A,Sheet1!I:I)</f>
        <v>Blockchain Development</v>
      </c>
      <c r="H604" s="8">
        <f>_xlfn.XLOOKUP(A:A,Sheet1!A:A,Sheet1!K:K)</f>
        <v>15</v>
      </c>
      <c r="I604" s="9">
        <f>_xlfn.XLOOKUP(A:A,Sheet1!A:A,Sheet1!M:M)</f>
        <v>20</v>
      </c>
      <c r="J604" s="11">
        <v>0</v>
      </c>
      <c r="K604" t="str">
        <f>_xlfn.XLOOKUP(A:A,Sheet1!A:A,Sheet1!P:P)</f>
        <v>No</v>
      </c>
      <c r="L604" s="12">
        <f>_xlfn.XLOOKUP(A:A,Sheet1!A:A,Sheet1!S:S)</f>
        <v>1</v>
      </c>
    </row>
    <row r="605" spans="1:12" x14ac:dyDescent="0.35">
      <c r="A605" s="8" t="s">
        <v>1234</v>
      </c>
      <c r="B605" s="2" t="str">
        <f>_xlfn.XLOOKUP(A605,Sheet1!A:A,Sheet1!B:B)</f>
        <v>Martha Carson</v>
      </c>
      <c r="C605" s="2" t="str">
        <f>_xlfn.XLOOKUP(A:A,Sheet1!A:A,Sheet1!D:D)</f>
        <v>Female</v>
      </c>
      <c r="D605" s="8">
        <f>_xlfn.XLOOKUP(A:A,Sheet1!A:A,Sheet1!F:F)</f>
        <v>38</v>
      </c>
      <c r="E605" s="2" t="str">
        <f>_xlfn.XLOOKUP(A:A,Sheet1!A:A,Sheet1!G:G)</f>
        <v>Indonesia</v>
      </c>
      <c r="F605" s="8" t="str">
        <f>_xlfn.XLOOKUP(A:A,Sheet1!A:A,Sheet1!H:H)</f>
        <v>Indonesian</v>
      </c>
      <c r="G605" s="8" t="str">
        <f>_xlfn.XLOOKUP(A:A,Sheet1!A:A,Sheet1!I:I)</f>
        <v>AI</v>
      </c>
      <c r="H605" s="8">
        <f>_xlfn.XLOOKUP(A:A,Sheet1!A:A,Sheet1!K:K)</f>
        <v>13</v>
      </c>
      <c r="I605" s="9">
        <f>_xlfn.XLOOKUP(A:A,Sheet1!A:A,Sheet1!M:M)</f>
        <v>40</v>
      </c>
      <c r="J605" s="11">
        <v>0</v>
      </c>
      <c r="K605" t="str">
        <f>_xlfn.XLOOKUP(A:A,Sheet1!A:A,Sheet1!P:P)</f>
        <v>Yes</v>
      </c>
      <c r="L605" s="12">
        <f>_xlfn.XLOOKUP(A:A,Sheet1!A:A,Sheet1!S:S)</f>
        <v>0.61</v>
      </c>
    </row>
    <row r="606" spans="1:12" x14ac:dyDescent="0.35">
      <c r="A606" s="8" t="s">
        <v>1236</v>
      </c>
      <c r="B606" s="2" t="str">
        <f>_xlfn.XLOOKUP(A606,Sheet1!A:A,Sheet1!B:B)</f>
        <v>Heather Jackson</v>
      </c>
      <c r="C606" s="2" t="str">
        <f>_xlfn.XLOOKUP(A:A,Sheet1!A:A,Sheet1!D:D)</f>
        <v>Female</v>
      </c>
      <c r="D606" s="8">
        <f>_xlfn.XLOOKUP(A:A,Sheet1!A:A,Sheet1!F:F)</f>
        <v>51</v>
      </c>
      <c r="E606" s="2" t="str">
        <f>_xlfn.XLOOKUP(A:A,Sheet1!A:A,Sheet1!G:G)</f>
        <v>South Korea</v>
      </c>
      <c r="F606" s="8" t="str">
        <f>_xlfn.XLOOKUP(A:A,Sheet1!A:A,Sheet1!H:H)</f>
        <v>Korean</v>
      </c>
      <c r="G606" s="8" t="str">
        <f>_xlfn.XLOOKUP(A:A,Sheet1!A:A,Sheet1!I:I)</f>
        <v>Web Development</v>
      </c>
      <c r="H606" s="8">
        <f>_xlfn.XLOOKUP(A:A,Sheet1!A:A,Sheet1!K:K)</f>
        <v>17</v>
      </c>
      <c r="I606" s="9">
        <f>_xlfn.XLOOKUP(A:A,Sheet1!A:A,Sheet1!M:M)</f>
        <v>100</v>
      </c>
      <c r="J606" s="10">
        <f>_xlfn.XLOOKUP(A:A,Sheet1!A:A,Sheet1!O:O)</f>
        <v>3</v>
      </c>
      <c r="K606" t="str">
        <f>_xlfn.XLOOKUP(A:A,Sheet1!A:A,Sheet1!P:P)</f>
        <v>No</v>
      </c>
      <c r="L606" s="12">
        <f>_xlfn.XLOOKUP(A:A,Sheet1!A:A,Sheet1!S:S)</f>
        <v>0.79</v>
      </c>
    </row>
    <row r="607" spans="1:12" x14ac:dyDescent="0.35">
      <c r="A607" s="8" t="s">
        <v>1238</v>
      </c>
      <c r="B607" s="2" t="str">
        <f>_xlfn.XLOOKUP(A607,Sheet1!A:A,Sheet1!B:B)</f>
        <v>Megan Young</v>
      </c>
      <c r="C607" s="2" t="str">
        <f>_xlfn.XLOOKUP(A:A,Sheet1!A:A,Sheet1!D:D)</f>
        <v>Female</v>
      </c>
      <c r="D607" s="8">
        <f>_xlfn.XLOOKUP(A:A,Sheet1!A:A,Sheet1!F:F)</f>
        <v>21</v>
      </c>
      <c r="E607" s="2" t="str">
        <f>_xlfn.XLOOKUP(A:A,Sheet1!A:A,Sheet1!G:G)</f>
        <v>Japan</v>
      </c>
      <c r="F607" s="8" t="str">
        <f>_xlfn.XLOOKUP(A:A,Sheet1!A:A,Sheet1!H:H)</f>
        <v>Japanese</v>
      </c>
      <c r="G607" s="8" t="str">
        <f>_xlfn.XLOOKUP(A:A,Sheet1!A:A,Sheet1!I:I)</f>
        <v>Mobile Apps</v>
      </c>
      <c r="H607" s="8">
        <f>_xlfn.XLOOKUP(A:A,Sheet1!A:A,Sheet1!K:K)</f>
        <v>1</v>
      </c>
      <c r="I607" s="9">
        <f>_xlfn.XLOOKUP(A:A,Sheet1!A:A,Sheet1!M:M)</f>
        <v>30</v>
      </c>
      <c r="J607" s="10">
        <f>_xlfn.XLOOKUP(A:A,Sheet1!A:A,Sheet1!O:O)</f>
        <v>1.2</v>
      </c>
      <c r="K607" t="str">
        <f>_xlfn.XLOOKUP(A:A,Sheet1!A:A,Sheet1!P:P)</f>
        <v>No</v>
      </c>
      <c r="L607" s="12">
        <f>_xlfn.XLOOKUP(A:A,Sheet1!A:A,Sheet1!S:S)</f>
        <v>0.73</v>
      </c>
    </row>
    <row r="608" spans="1:12" x14ac:dyDescent="0.35">
      <c r="A608" s="8" t="s">
        <v>1240</v>
      </c>
      <c r="B608" s="2" t="str">
        <f>_xlfn.XLOOKUP(A608,Sheet1!A:A,Sheet1!B:B)</f>
        <v>Thomas Davis</v>
      </c>
      <c r="C608" s="2" t="str">
        <f>_xlfn.XLOOKUP(A:A,Sheet1!A:A,Sheet1!D:D)</f>
        <v>Male</v>
      </c>
      <c r="D608" s="8">
        <f>_xlfn.XLOOKUP(A:A,Sheet1!A:A,Sheet1!F:F)</f>
        <v>35</v>
      </c>
      <c r="E608" s="2" t="str">
        <f>_xlfn.XLOOKUP(A:A,Sheet1!A:A,Sheet1!G:G)</f>
        <v>Italy</v>
      </c>
      <c r="F608" s="8" t="str">
        <f>_xlfn.XLOOKUP(A:A,Sheet1!A:A,Sheet1!H:H)</f>
        <v>Italian</v>
      </c>
      <c r="G608" s="8" t="str">
        <f>_xlfn.XLOOKUP(A:A,Sheet1!A:A,Sheet1!I:I)</f>
        <v>UI/UX Design</v>
      </c>
      <c r="H608" s="8">
        <f>_xlfn.XLOOKUP(A:A,Sheet1!A:A,Sheet1!K:K)</f>
        <v>16</v>
      </c>
      <c r="I608" s="9">
        <f>_xlfn.XLOOKUP(A:A,Sheet1!A:A,Sheet1!M:M)</f>
        <v>40</v>
      </c>
      <c r="J608" s="10">
        <f>_xlfn.XLOOKUP(A:A,Sheet1!A:A,Sheet1!O:O)</f>
        <v>1.3</v>
      </c>
      <c r="K608" t="str">
        <f>_xlfn.XLOOKUP(A:A,Sheet1!A:A,Sheet1!P:P)</f>
        <v>Yes</v>
      </c>
      <c r="L608" s="12">
        <f>_xlfn.XLOOKUP(A:A,Sheet1!A:A,Sheet1!S:S)</f>
        <v>0.64</v>
      </c>
    </row>
    <row r="609" spans="1:12" x14ac:dyDescent="0.35">
      <c r="A609" s="8" t="s">
        <v>1242</v>
      </c>
      <c r="B609" s="2" t="str">
        <f>_xlfn.XLOOKUP(A609,Sheet1!A:A,Sheet1!B:B)</f>
        <v>Thomas Mooney</v>
      </c>
      <c r="C609" s="2" t="str">
        <f>_xlfn.XLOOKUP(A:A,Sheet1!A:A,Sheet1!D:D)</f>
        <v>Male</v>
      </c>
      <c r="D609" s="8">
        <f>_xlfn.XLOOKUP(A:A,Sheet1!A:A,Sheet1!F:F)</f>
        <v>27</v>
      </c>
      <c r="E609" s="2" t="str">
        <f>_xlfn.XLOOKUP(A:A,Sheet1!A:A,Sheet1!G:G)</f>
        <v>Brazil</v>
      </c>
      <c r="F609" s="8" t="str">
        <f>_xlfn.XLOOKUP(A:A,Sheet1!A:A,Sheet1!H:H)</f>
        <v>Portuguese</v>
      </c>
      <c r="G609" s="8" t="str">
        <f>_xlfn.XLOOKUP(A:A,Sheet1!A:A,Sheet1!I:I)</f>
        <v>Web Development</v>
      </c>
      <c r="H609" s="8">
        <f>_xlfn.XLOOKUP(A:A,Sheet1!A:A,Sheet1!K:K)</f>
        <v>9</v>
      </c>
      <c r="I609" s="9">
        <f>_xlfn.XLOOKUP(A:A,Sheet1!A:A,Sheet1!M:M)</f>
        <v>100</v>
      </c>
      <c r="J609" s="10">
        <f>_xlfn.XLOOKUP(A:A,Sheet1!A:A,Sheet1!O:O)</f>
        <v>2.5125695216907653</v>
      </c>
      <c r="K609" t="str">
        <f>_xlfn.XLOOKUP(A:A,Sheet1!A:A,Sheet1!P:P)</f>
        <v>Yes</v>
      </c>
      <c r="L609" s="12">
        <f>_xlfn.XLOOKUP(A:A,Sheet1!A:A,Sheet1!S:S)</f>
        <v>0.79269417475728277</v>
      </c>
    </row>
    <row r="610" spans="1:12" x14ac:dyDescent="0.35">
      <c r="A610" s="8" t="s">
        <v>1244</v>
      </c>
      <c r="B610" s="2" t="str">
        <f>_xlfn.XLOOKUP(A610,Sheet1!A:A,Sheet1!B:B)</f>
        <v>Susan Smith</v>
      </c>
      <c r="C610" s="2" t="str">
        <f>_xlfn.XLOOKUP(A:A,Sheet1!A:A,Sheet1!D:D)</f>
        <v>Female</v>
      </c>
      <c r="D610" s="8">
        <f>_xlfn.XLOOKUP(A:A,Sheet1!A:A,Sheet1!F:F)</f>
        <v>42</v>
      </c>
      <c r="E610" s="2" t="str">
        <f>_xlfn.XLOOKUP(A:A,Sheet1!A:A,Sheet1!G:G)</f>
        <v>Turkey</v>
      </c>
      <c r="F610" s="8" t="str">
        <f>_xlfn.XLOOKUP(A:A,Sheet1!A:A,Sheet1!H:H)</f>
        <v>Turkish</v>
      </c>
      <c r="G610" s="8" t="str">
        <f>_xlfn.XLOOKUP(A:A,Sheet1!A:A,Sheet1!I:I)</f>
        <v>Mobile Apps</v>
      </c>
      <c r="H610" s="8">
        <f>_xlfn.XLOOKUP(A:A,Sheet1!A:A,Sheet1!K:K)</f>
        <v>20</v>
      </c>
      <c r="I610" s="9">
        <f>_xlfn.XLOOKUP(A:A,Sheet1!A:A,Sheet1!M:M)</f>
        <v>50</v>
      </c>
      <c r="J610" s="10">
        <f>_xlfn.XLOOKUP(A:A,Sheet1!A:A,Sheet1!O:O)</f>
        <v>3.8</v>
      </c>
      <c r="K610" t="str">
        <f>_xlfn.XLOOKUP(A:A,Sheet1!A:A,Sheet1!P:P)</f>
        <v>No</v>
      </c>
      <c r="L610" s="12">
        <f>_xlfn.XLOOKUP(A:A,Sheet1!A:A,Sheet1!S:S)</f>
        <v>0.93</v>
      </c>
    </row>
    <row r="611" spans="1:12" x14ac:dyDescent="0.35">
      <c r="A611" s="8" t="s">
        <v>1246</v>
      </c>
      <c r="B611" s="2" t="str">
        <f>_xlfn.XLOOKUP(A611,Sheet1!A:A,Sheet1!B:B)</f>
        <v>Brianna Orr</v>
      </c>
      <c r="C611" s="2" t="str">
        <f>_xlfn.XLOOKUP(A:A,Sheet1!A:A,Sheet1!D:D)</f>
        <v>Female</v>
      </c>
      <c r="D611" s="8">
        <f>_xlfn.XLOOKUP(A:A,Sheet1!A:A,Sheet1!F:F)</f>
        <v>52</v>
      </c>
      <c r="E611" s="2" t="str">
        <f>_xlfn.XLOOKUP(A:A,Sheet1!A:A,Sheet1!G:G)</f>
        <v>Canada</v>
      </c>
      <c r="F611" s="8" t="str">
        <f>_xlfn.XLOOKUP(A:A,Sheet1!A:A,Sheet1!H:H)</f>
        <v>English</v>
      </c>
      <c r="G611" s="8" t="str">
        <f>_xlfn.XLOOKUP(A:A,Sheet1!A:A,Sheet1!I:I)</f>
        <v>Blockchain Development</v>
      </c>
      <c r="H611" s="8">
        <f>_xlfn.XLOOKUP(A:A,Sheet1!A:A,Sheet1!K:K)</f>
        <v>29</v>
      </c>
      <c r="I611" s="9">
        <f>_xlfn.XLOOKUP(A:A,Sheet1!A:A,Sheet1!M:M)</f>
        <v>30</v>
      </c>
      <c r="J611" s="10">
        <f>_xlfn.XLOOKUP(A:A,Sheet1!A:A,Sheet1!O:O)</f>
        <v>3.8</v>
      </c>
      <c r="K611" t="str">
        <f>_xlfn.XLOOKUP(A:A,Sheet1!A:A,Sheet1!P:P)</f>
        <v>No</v>
      </c>
      <c r="L611" s="12">
        <f>_xlfn.XLOOKUP(A:A,Sheet1!A:A,Sheet1!S:S)</f>
        <v>0.68</v>
      </c>
    </row>
    <row r="612" spans="1:12" x14ac:dyDescent="0.35">
      <c r="A612" s="8" t="s">
        <v>1248</v>
      </c>
      <c r="B612" s="2" t="str">
        <f>_xlfn.XLOOKUP(A612,Sheet1!A:A,Sheet1!B:B)</f>
        <v>Dustin Smith</v>
      </c>
      <c r="C612" s="2" t="str">
        <f>_xlfn.XLOOKUP(A:A,Sheet1!A:A,Sheet1!D:D)</f>
        <v>Male</v>
      </c>
      <c r="D612" s="8">
        <f>_xlfn.XLOOKUP(A:A,Sheet1!A:A,Sheet1!F:F)</f>
        <v>53</v>
      </c>
      <c r="E612" s="2" t="str">
        <f>_xlfn.XLOOKUP(A:A,Sheet1!A:A,Sheet1!G:G)</f>
        <v>South Korea</v>
      </c>
      <c r="F612" s="8" t="str">
        <f>_xlfn.XLOOKUP(A:A,Sheet1!A:A,Sheet1!H:H)</f>
        <v>Korean</v>
      </c>
      <c r="G612" s="8" t="str">
        <f>_xlfn.XLOOKUP(A:A,Sheet1!A:A,Sheet1!I:I)</f>
        <v>Web Development</v>
      </c>
      <c r="H612" s="8">
        <f>_xlfn.XLOOKUP(A:A,Sheet1!A:A,Sheet1!K:K)</f>
        <v>21</v>
      </c>
      <c r="I612" s="9">
        <f>_xlfn.XLOOKUP(A:A,Sheet1!A:A,Sheet1!M:M)</f>
        <v>40</v>
      </c>
      <c r="J612" s="10">
        <f>_xlfn.XLOOKUP(A:A,Sheet1!A:A,Sheet1!O:O)</f>
        <v>4.7</v>
      </c>
      <c r="K612" t="str">
        <f>_xlfn.XLOOKUP(A:A,Sheet1!A:A,Sheet1!P:P)</f>
        <v>Yes</v>
      </c>
      <c r="L612" s="12">
        <f>_xlfn.XLOOKUP(A:A,Sheet1!A:A,Sheet1!S:S)</f>
        <v>0.62</v>
      </c>
    </row>
    <row r="613" spans="1:12" x14ac:dyDescent="0.35">
      <c r="A613" s="8" t="s">
        <v>1250</v>
      </c>
      <c r="B613" s="2" t="str">
        <f>_xlfn.XLOOKUP(A613,Sheet1!A:A,Sheet1!B:B)</f>
        <v>Sarah White</v>
      </c>
      <c r="C613" s="2" t="str">
        <f>_xlfn.XLOOKUP(A:A,Sheet1!A:A,Sheet1!D:D)</f>
        <v>Female</v>
      </c>
      <c r="D613" s="8">
        <f>_xlfn.XLOOKUP(A:A,Sheet1!A:A,Sheet1!F:F)</f>
        <v>54</v>
      </c>
      <c r="E613" s="2" t="str">
        <f>_xlfn.XLOOKUP(A:A,Sheet1!A:A,Sheet1!G:G)</f>
        <v>Italy</v>
      </c>
      <c r="F613" s="8" t="str">
        <f>_xlfn.XLOOKUP(A:A,Sheet1!A:A,Sheet1!H:H)</f>
        <v>Italian</v>
      </c>
      <c r="G613" s="8" t="str">
        <f>_xlfn.XLOOKUP(A:A,Sheet1!A:A,Sheet1!I:I)</f>
        <v>Mobile Apps</v>
      </c>
      <c r="H613" s="8">
        <f>_xlfn.XLOOKUP(A:A,Sheet1!A:A,Sheet1!K:K)</f>
        <v>28</v>
      </c>
      <c r="I613" s="9">
        <f>_xlfn.XLOOKUP(A:A,Sheet1!A:A,Sheet1!M:M)</f>
        <v>40</v>
      </c>
      <c r="J613" s="10">
        <f>_xlfn.XLOOKUP(A:A,Sheet1!A:A,Sheet1!O:O)</f>
        <v>1.1000000000000001</v>
      </c>
      <c r="K613" t="str">
        <f>_xlfn.XLOOKUP(A:A,Sheet1!A:A,Sheet1!P:P)</f>
        <v>No</v>
      </c>
      <c r="L613" s="12">
        <f>_xlfn.XLOOKUP(A:A,Sheet1!A:A,Sheet1!S:S)</f>
        <v>0.79269417475728277</v>
      </c>
    </row>
    <row r="614" spans="1:12" x14ac:dyDescent="0.35">
      <c r="A614" s="8" t="s">
        <v>1252</v>
      </c>
      <c r="B614" s="2" t="str">
        <f>_xlfn.XLOOKUP(A614,Sheet1!A:A,Sheet1!B:B)</f>
        <v>Michael Davis</v>
      </c>
      <c r="C614" s="2" t="str">
        <f>_xlfn.XLOOKUP(A:A,Sheet1!A:A,Sheet1!D:D)</f>
        <v>Male</v>
      </c>
      <c r="D614" s="8">
        <f>_xlfn.XLOOKUP(A:A,Sheet1!A:A,Sheet1!F:F)</f>
        <v>51</v>
      </c>
      <c r="E614" s="2" t="str">
        <f>_xlfn.XLOOKUP(A:A,Sheet1!A:A,Sheet1!G:G)</f>
        <v>Japan</v>
      </c>
      <c r="F614" s="8" t="str">
        <f>_xlfn.XLOOKUP(A:A,Sheet1!A:A,Sheet1!H:H)</f>
        <v>Japanese</v>
      </c>
      <c r="G614" s="8" t="str">
        <f>_xlfn.XLOOKUP(A:A,Sheet1!A:A,Sheet1!I:I)</f>
        <v>Graphic Design</v>
      </c>
      <c r="H614" s="8">
        <f>_xlfn.XLOOKUP(A:A,Sheet1!A:A,Sheet1!K:K)</f>
        <v>5</v>
      </c>
      <c r="I614" s="9">
        <f>_xlfn.XLOOKUP(A:A,Sheet1!A:A,Sheet1!M:M)</f>
        <v>50</v>
      </c>
      <c r="J614" s="10">
        <f>_xlfn.XLOOKUP(A:A,Sheet1!A:A,Sheet1!O:O)</f>
        <v>4.2</v>
      </c>
      <c r="K614" t="str">
        <f>_xlfn.XLOOKUP(A:A,Sheet1!A:A,Sheet1!P:P)</f>
        <v>Yes</v>
      </c>
      <c r="L614" s="12">
        <f>_xlfn.XLOOKUP(A:A,Sheet1!A:A,Sheet1!S:S)</f>
        <v>0.82</v>
      </c>
    </row>
    <row r="615" spans="1:12" x14ac:dyDescent="0.35">
      <c r="A615" s="8" t="s">
        <v>1254</v>
      </c>
      <c r="B615" s="2" t="str">
        <f>_xlfn.XLOOKUP(A615,Sheet1!A:A,Sheet1!B:B)</f>
        <v>Jennifer Phillips</v>
      </c>
      <c r="C615" s="2" t="str">
        <f>_xlfn.XLOOKUP(A:A,Sheet1!A:A,Sheet1!D:D)</f>
        <v>Female</v>
      </c>
      <c r="D615" s="8">
        <f>_xlfn.XLOOKUP(A:A,Sheet1!A:A,Sheet1!F:F)</f>
        <v>30</v>
      </c>
      <c r="E615" s="2" t="str">
        <f>_xlfn.XLOOKUP(A:A,Sheet1!A:A,Sheet1!G:G)</f>
        <v>South Korea</v>
      </c>
      <c r="F615" s="8" t="str">
        <f>_xlfn.XLOOKUP(A:A,Sheet1!A:A,Sheet1!H:H)</f>
        <v>Korean</v>
      </c>
      <c r="G615" s="8" t="str">
        <f>_xlfn.XLOOKUP(A:A,Sheet1!A:A,Sheet1!I:I)</f>
        <v>Web Development</v>
      </c>
      <c r="H615" s="8">
        <f>_xlfn.XLOOKUP(A:A,Sheet1!A:A,Sheet1!K:K)</f>
        <v>0</v>
      </c>
      <c r="I615" s="9">
        <f>_xlfn.XLOOKUP(A:A,Sheet1!A:A,Sheet1!M:M)</f>
        <v>40</v>
      </c>
      <c r="J615" s="11">
        <v>0</v>
      </c>
      <c r="K615" t="str">
        <f>_xlfn.XLOOKUP(A:A,Sheet1!A:A,Sheet1!P:P)</f>
        <v>No</v>
      </c>
      <c r="L615" s="12">
        <f>_xlfn.XLOOKUP(A:A,Sheet1!A:A,Sheet1!S:S)</f>
        <v>0.79269417475728277</v>
      </c>
    </row>
    <row r="616" spans="1:12" x14ac:dyDescent="0.35">
      <c r="A616" s="8" t="s">
        <v>1256</v>
      </c>
      <c r="B616" s="2" t="str">
        <f>_xlfn.XLOOKUP(A616,Sheet1!A:A,Sheet1!B:B)</f>
        <v>Dana Sanders</v>
      </c>
      <c r="C616" s="2" t="str">
        <f>_xlfn.XLOOKUP(A:A,Sheet1!A:A,Sheet1!D:D)</f>
        <v>Female</v>
      </c>
      <c r="D616" s="8">
        <f>_xlfn.XLOOKUP(A:A,Sheet1!A:A,Sheet1!F:F)</f>
        <v>45</v>
      </c>
      <c r="E616" s="2" t="str">
        <f>_xlfn.XLOOKUP(A:A,Sheet1!A:A,Sheet1!G:G)</f>
        <v>Netherlands</v>
      </c>
      <c r="F616" s="8" t="str">
        <f>_xlfn.XLOOKUP(A:A,Sheet1!A:A,Sheet1!H:H)</f>
        <v>Dutch</v>
      </c>
      <c r="G616" s="8" t="str">
        <f>_xlfn.XLOOKUP(A:A,Sheet1!A:A,Sheet1!I:I)</f>
        <v>Machine Learning</v>
      </c>
      <c r="H616" s="8">
        <f>_xlfn.XLOOKUP(A:A,Sheet1!A:A,Sheet1!K:K)</f>
        <v>27</v>
      </c>
      <c r="I616" s="9">
        <f>_xlfn.XLOOKUP(A:A,Sheet1!A:A,Sheet1!M:M)</f>
        <v>75</v>
      </c>
      <c r="J616" s="11">
        <v>0</v>
      </c>
      <c r="K616" t="str">
        <f>_xlfn.XLOOKUP(A:A,Sheet1!A:A,Sheet1!P:P)</f>
        <v>No</v>
      </c>
      <c r="L616" s="12">
        <f>_xlfn.XLOOKUP(A:A,Sheet1!A:A,Sheet1!S:S)</f>
        <v>0.85</v>
      </c>
    </row>
    <row r="617" spans="1:12" x14ac:dyDescent="0.35">
      <c r="A617" s="8" t="s">
        <v>1258</v>
      </c>
      <c r="B617" s="2" t="str">
        <f>_xlfn.XLOOKUP(A617,Sheet1!A:A,Sheet1!B:B)</f>
        <v>Daniel Quinn</v>
      </c>
      <c r="C617" s="2" t="str">
        <f>_xlfn.XLOOKUP(A:A,Sheet1!A:A,Sheet1!D:D)</f>
        <v>Male</v>
      </c>
      <c r="D617" s="8">
        <f>_xlfn.XLOOKUP(A:A,Sheet1!A:A,Sheet1!F:F)</f>
        <v>57</v>
      </c>
      <c r="E617" s="2" t="str">
        <f>_xlfn.XLOOKUP(A:A,Sheet1!A:A,Sheet1!G:G)</f>
        <v>Indonesia</v>
      </c>
      <c r="F617" s="8" t="str">
        <f>_xlfn.XLOOKUP(A:A,Sheet1!A:A,Sheet1!H:H)</f>
        <v>Indonesian</v>
      </c>
      <c r="G617" s="8" t="str">
        <f>_xlfn.XLOOKUP(A:A,Sheet1!A:A,Sheet1!I:I)</f>
        <v>Graphic Design</v>
      </c>
      <c r="H617" s="8">
        <f>_xlfn.XLOOKUP(A:A,Sheet1!A:A,Sheet1!K:K)</f>
        <v>26</v>
      </c>
      <c r="I617" s="9">
        <f>_xlfn.XLOOKUP(A:A,Sheet1!A:A,Sheet1!M:M)</f>
        <v>100</v>
      </c>
      <c r="J617" s="10">
        <f>_xlfn.XLOOKUP(A:A,Sheet1!A:A,Sheet1!O:O)</f>
        <v>2.4</v>
      </c>
      <c r="K617" t="str">
        <f>_xlfn.XLOOKUP(A:A,Sheet1!A:A,Sheet1!P:P)</f>
        <v>Yes</v>
      </c>
      <c r="L617" s="12">
        <f>_xlfn.XLOOKUP(A:A,Sheet1!A:A,Sheet1!S:S)</f>
        <v>0.78</v>
      </c>
    </row>
    <row r="618" spans="1:12" x14ac:dyDescent="0.35">
      <c r="A618" s="8" t="s">
        <v>1260</v>
      </c>
      <c r="B618" s="2" t="str">
        <f>_xlfn.XLOOKUP(A618,Sheet1!A:A,Sheet1!B:B)</f>
        <v>Matthew Steele</v>
      </c>
      <c r="C618" s="2" t="str">
        <f>_xlfn.XLOOKUP(A:A,Sheet1!A:A,Sheet1!D:D)</f>
        <v>Male</v>
      </c>
      <c r="D618" s="8">
        <f>_xlfn.XLOOKUP(A:A,Sheet1!A:A,Sheet1!F:F)</f>
        <v>38</v>
      </c>
      <c r="E618" s="2" t="str">
        <f>_xlfn.XLOOKUP(A:A,Sheet1!A:A,Sheet1!G:G)</f>
        <v>Turkey</v>
      </c>
      <c r="F618" s="8" t="str">
        <f>_xlfn.XLOOKUP(A:A,Sheet1!A:A,Sheet1!H:H)</f>
        <v>Turkish</v>
      </c>
      <c r="G618" s="8" t="str">
        <f>_xlfn.XLOOKUP(A:A,Sheet1!A:A,Sheet1!I:I)</f>
        <v>Blockchain Development</v>
      </c>
      <c r="H618" s="8">
        <f>_xlfn.XLOOKUP(A:A,Sheet1!A:A,Sheet1!K:K)</f>
        <v>19</v>
      </c>
      <c r="I618" s="9">
        <f>_xlfn.XLOOKUP(A:A,Sheet1!A:A,Sheet1!M:M)</f>
        <v>40</v>
      </c>
      <c r="J618" s="11">
        <v>0</v>
      </c>
      <c r="K618" t="str">
        <f>_xlfn.XLOOKUP(A:A,Sheet1!A:A,Sheet1!P:P)</f>
        <v>Yes</v>
      </c>
      <c r="L618" s="12">
        <f>_xlfn.XLOOKUP(A:A,Sheet1!A:A,Sheet1!S:S)</f>
        <v>0.86</v>
      </c>
    </row>
    <row r="619" spans="1:12" x14ac:dyDescent="0.35">
      <c r="A619" s="8" t="s">
        <v>1262</v>
      </c>
      <c r="B619" s="2" t="str">
        <f>_xlfn.XLOOKUP(A619,Sheet1!A:A,Sheet1!B:B)</f>
        <v>Michele Taylor</v>
      </c>
      <c r="C619" s="2" t="str">
        <f>_xlfn.XLOOKUP(A:A,Sheet1!A:A,Sheet1!D:D)</f>
        <v>Female</v>
      </c>
      <c r="D619" s="8">
        <f>_xlfn.XLOOKUP(A:A,Sheet1!A:A,Sheet1!F:F)</f>
        <v>42</v>
      </c>
      <c r="E619" s="2" t="str">
        <f>_xlfn.XLOOKUP(A:A,Sheet1!A:A,Sheet1!G:G)</f>
        <v>Russia</v>
      </c>
      <c r="F619" s="8" t="str">
        <f>_xlfn.XLOOKUP(A:A,Sheet1!A:A,Sheet1!H:H)</f>
        <v>Russian</v>
      </c>
      <c r="G619" s="8" t="str">
        <f>_xlfn.XLOOKUP(A:A,Sheet1!A:A,Sheet1!I:I)</f>
        <v>DevOps</v>
      </c>
      <c r="H619" s="8">
        <f>_xlfn.XLOOKUP(A:A,Sheet1!A:A,Sheet1!K:K)</f>
        <v>24</v>
      </c>
      <c r="I619" s="9">
        <f>_xlfn.XLOOKUP(A:A,Sheet1!A:A,Sheet1!M:M)</f>
        <v>40</v>
      </c>
      <c r="J619" s="10">
        <f>_xlfn.XLOOKUP(A:A,Sheet1!A:A,Sheet1!O:O)</f>
        <v>2.5125695216907653</v>
      </c>
      <c r="K619" t="str">
        <f>_xlfn.XLOOKUP(A:A,Sheet1!A:A,Sheet1!P:P)</f>
        <v>No</v>
      </c>
      <c r="L619" s="12">
        <f>_xlfn.XLOOKUP(A:A,Sheet1!A:A,Sheet1!S:S)</f>
        <v>0.88</v>
      </c>
    </row>
    <row r="620" spans="1:12" x14ac:dyDescent="0.35">
      <c r="A620" s="8" t="s">
        <v>1264</v>
      </c>
      <c r="B620" s="2" t="str">
        <f>_xlfn.XLOOKUP(A620,Sheet1!A:A,Sheet1!B:B)</f>
        <v>Ashley Hammond</v>
      </c>
      <c r="C620" s="2" t="str">
        <f>_xlfn.XLOOKUP(A:A,Sheet1!A:A,Sheet1!D:D)</f>
        <v>Female</v>
      </c>
      <c r="D620" s="8">
        <f>_xlfn.XLOOKUP(A:A,Sheet1!A:A,Sheet1!F:F)</f>
        <v>30</v>
      </c>
      <c r="E620" s="2" t="str">
        <f>_xlfn.XLOOKUP(A:A,Sheet1!A:A,Sheet1!G:G)</f>
        <v>South Africa</v>
      </c>
      <c r="F620" s="8" t="str">
        <f>_xlfn.XLOOKUP(A:A,Sheet1!A:A,Sheet1!H:H)</f>
        <v>Afrikaans</v>
      </c>
      <c r="G620" s="8" t="str">
        <f>_xlfn.XLOOKUP(A:A,Sheet1!A:A,Sheet1!I:I)</f>
        <v>DevOps</v>
      </c>
      <c r="H620" s="8">
        <f>_xlfn.XLOOKUP(A:A,Sheet1!A:A,Sheet1!K:K)</f>
        <v>7</v>
      </c>
      <c r="I620" s="9">
        <f>_xlfn.XLOOKUP(A:A,Sheet1!A:A,Sheet1!M:M)</f>
        <v>30</v>
      </c>
      <c r="J620" s="10">
        <f>_xlfn.XLOOKUP(A:A,Sheet1!A:A,Sheet1!O:O)</f>
        <v>3.3</v>
      </c>
      <c r="K620" t="str">
        <f>_xlfn.XLOOKUP(A:A,Sheet1!A:A,Sheet1!P:P)</f>
        <v>No</v>
      </c>
      <c r="L620" s="12">
        <f>_xlfn.XLOOKUP(A:A,Sheet1!A:A,Sheet1!S:S)</f>
        <v>0.68</v>
      </c>
    </row>
    <row r="621" spans="1:12" x14ac:dyDescent="0.35">
      <c r="A621" s="8" t="s">
        <v>1266</v>
      </c>
      <c r="B621" s="2" t="str">
        <f>_xlfn.XLOOKUP(A621,Sheet1!A:A,Sheet1!B:B)</f>
        <v>Nicole Taylor</v>
      </c>
      <c r="C621" s="2" t="str">
        <f>_xlfn.XLOOKUP(A:A,Sheet1!A:A,Sheet1!D:D)</f>
        <v>Female</v>
      </c>
      <c r="D621" s="8">
        <f>_xlfn.XLOOKUP(A:A,Sheet1!A:A,Sheet1!F:F)</f>
        <v>43</v>
      </c>
      <c r="E621" s="2" t="str">
        <f>_xlfn.XLOOKUP(A:A,Sheet1!A:A,Sheet1!G:G)</f>
        <v>Australia</v>
      </c>
      <c r="F621" s="8" t="str">
        <f>_xlfn.XLOOKUP(A:A,Sheet1!A:A,Sheet1!H:H)</f>
        <v>English</v>
      </c>
      <c r="G621" s="8" t="str">
        <f>_xlfn.XLOOKUP(A:A,Sheet1!A:A,Sheet1!I:I)</f>
        <v>Web Development</v>
      </c>
      <c r="H621" s="8">
        <f>_xlfn.XLOOKUP(A:A,Sheet1!A:A,Sheet1!K:K)</f>
        <v>13</v>
      </c>
      <c r="I621" s="9">
        <f>_xlfn.XLOOKUP(A:A,Sheet1!A:A,Sheet1!M:M)</f>
        <v>100</v>
      </c>
      <c r="J621" s="10">
        <f>_xlfn.XLOOKUP(A:A,Sheet1!A:A,Sheet1!O:O)</f>
        <v>1.4</v>
      </c>
      <c r="K621" t="str">
        <f>_xlfn.XLOOKUP(A:A,Sheet1!A:A,Sheet1!P:P)</f>
        <v>Yes</v>
      </c>
      <c r="L621" s="12">
        <f>_xlfn.XLOOKUP(A:A,Sheet1!A:A,Sheet1!S:S)</f>
        <v>0.97</v>
      </c>
    </row>
    <row r="622" spans="1:12" x14ac:dyDescent="0.35">
      <c r="A622" s="8" t="s">
        <v>1268</v>
      </c>
      <c r="B622" s="2" t="str">
        <f>_xlfn.XLOOKUP(A622,Sheet1!A:A,Sheet1!B:B)</f>
        <v>Casey Bush</v>
      </c>
      <c r="C622" s="2" t="str">
        <f>_xlfn.XLOOKUP(A:A,Sheet1!A:A,Sheet1!D:D)</f>
        <v>Male</v>
      </c>
      <c r="D622" s="8">
        <f>_xlfn.XLOOKUP(A:A,Sheet1!A:A,Sheet1!F:F)</f>
        <v>22</v>
      </c>
      <c r="E622" s="2" t="str">
        <f>_xlfn.XLOOKUP(A:A,Sheet1!A:A,Sheet1!G:G)</f>
        <v>Egypt</v>
      </c>
      <c r="F622" s="8" t="str">
        <f>_xlfn.XLOOKUP(A:A,Sheet1!A:A,Sheet1!H:H)</f>
        <v>Arabic</v>
      </c>
      <c r="G622" s="8" t="str">
        <f>_xlfn.XLOOKUP(A:A,Sheet1!A:A,Sheet1!I:I)</f>
        <v>UI/UX Design</v>
      </c>
      <c r="H622" s="8">
        <f>_xlfn.XLOOKUP(A:A,Sheet1!A:A,Sheet1!K:K)</f>
        <v>2</v>
      </c>
      <c r="I622" s="9">
        <f>_xlfn.XLOOKUP(A:A,Sheet1!A:A,Sheet1!M:M)</f>
        <v>75</v>
      </c>
      <c r="J622" s="10">
        <f>_xlfn.XLOOKUP(A:A,Sheet1!A:A,Sheet1!O:O)</f>
        <v>1.7</v>
      </c>
      <c r="K622" t="str">
        <f>_xlfn.XLOOKUP(A:A,Sheet1!A:A,Sheet1!P:P)</f>
        <v>No</v>
      </c>
      <c r="L622" s="12">
        <f>_xlfn.XLOOKUP(A:A,Sheet1!A:A,Sheet1!S:S)</f>
        <v>0.91</v>
      </c>
    </row>
    <row r="623" spans="1:12" x14ac:dyDescent="0.35">
      <c r="A623" s="8" t="s">
        <v>1270</v>
      </c>
      <c r="B623" s="2" t="str">
        <f>_xlfn.XLOOKUP(A623,Sheet1!A:A,Sheet1!B:B)</f>
        <v>Samuel Patterson</v>
      </c>
      <c r="C623" s="2" t="str">
        <f>_xlfn.XLOOKUP(A:A,Sheet1!A:A,Sheet1!D:D)</f>
        <v>Male</v>
      </c>
      <c r="D623" s="8">
        <f>_xlfn.XLOOKUP(A:A,Sheet1!A:A,Sheet1!F:F)</f>
        <v>57</v>
      </c>
      <c r="E623" s="2" t="str">
        <f>_xlfn.XLOOKUP(A:A,Sheet1!A:A,Sheet1!G:G)</f>
        <v>Mexico</v>
      </c>
      <c r="F623" s="8" t="str">
        <f>_xlfn.XLOOKUP(A:A,Sheet1!A:A,Sheet1!H:H)</f>
        <v>Spanish</v>
      </c>
      <c r="G623" s="8" t="str">
        <f>_xlfn.XLOOKUP(A:A,Sheet1!A:A,Sheet1!I:I)</f>
        <v>Machine Learning</v>
      </c>
      <c r="H623" s="8">
        <f>_xlfn.XLOOKUP(A:A,Sheet1!A:A,Sheet1!K:K)</f>
        <v>37</v>
      </c>
      <c r="I623" s="9">
        <f>_xlfn.XLOOKUP(A:A,Sheet1!A:A,Sheet1!M:M)</f>
        <v>30</v>
      </c>
      <c r="J623" s="10">
        <f>_xlfn.XLOOKUP(A:A,Sheet1!A:A,Sheet1!O:O)</f>
        <v>4.8</v>
      </c>
      <c r="K623" t="str">
        <f>_xlfn.XLOOKUP(A:A,Sheet1!A:A,Sheet1!P:P)</f>
        <v>No</v>
      </c>
      <c r="L623" s="12">
        <f>_xlfn.XLOOKUP(A:A,Sheet1!A:A,Sheet1!S:S)</f>
        <v>0.79269417475728277</v>
      </c>
    </row>
    <row r="624" spans="1:12" x14ac:dyDescent="0.35">
      <c r="A624" s="8" t="s">
        <v>1272</v>
      </c>
      <c r="B624" s="2" t="str">
        <f>_xlfn.XLOOKUP(A624,Sheet1!A:A,Sheet1!B:B)</f>
        <v>Craig Dennis</v>
      </c>
      <c r="C624" s="2" t="str">
        <f>_xlfn.XLOOKUP(A:A,Sheet1!A:A,Sheet1!D:D)</f>
        <v>Male</v>
      </c>
      <c r="D624" s="8">
        <f>_xlfn.XLOOKUP(A:A,Sheet1!A:A,Sheet1!F:F)</f>
        <v>44</v>
      </c>
      <c r="E624" s="2" t="str">
        <f>_xlfn.XLOOKUP(A:A,Sheet1!A:A,Sheet1!G:G)</f>
        <v>United Kingdom</v>
      </c>
      <c r="F624" s="8" t="str">
        <f>_xlfn.XLOOKUP(A:A,Sheet1!A:A,Sheet1!H:H)</f>
        <v>English</v>
      </c>
      <c r="G624" s="8" t="str">
        <f>_xlfn.XLOOKUP(A:A,Sheet1!A:A,Sheet1!I:I)</f>
        <v>Graphic Design</v>
      </c>
      <c r="H624" s="8">
        <f>_xlfn.XLOOKUP(A:A,Sheet1!A:A,Sheet1!K:K)</f>
        <v>1</v>
      </c>
      <c r="I624" s="9">
        <f>_xlfn.XLOOKUP(A:A,Sheet1!A:A,Sheet1!M:M)</f>
        <v>40</v>
      </c>
      <c r="J624" s="10">
        <f>_xlfn.XLOOKUP(A:A,Sheet1!A:A,Sheet1!O:O)</f>
        <v>4.8</v>
      </c>
      <c r="K624" t="str">
        <f>_xlfn.XLOOKUP(A:A,Sheet1!A:A,Sheet1!P:P)</f>
        <v>No</v>
      </c>
      <c r="L624" s="12">
        <f>_xlfn.XLOOKUP(A:A,Sheet1!A:A,Sheet1!S:S)</f>
        <v>0.97</v>
      </c>
    </row>
    <row r="625" spans="1:12" x14ac:dyDescent="0.35">
      <c r="A625" s="8" t="s">
        <v>1274</v>
      </c>
      <c r="B625" s="2" t="str">
        <f>_xlfn.XLOOKUP(A625,Sheet1!A:A,Sheet1!B:B)</f>
        <v>Heidi Dixon</v>
      </c>
      <c r="C625" s="2" t="str">
        <f>_xlfn.XLOOKUP(A:A,Sheet1!A:A,Sheet1!D:D)</f>
        <v>Female</v>
      </c>
      <c r="D625" s="8">
        <f>_xlfn.XLOOKUP(A:A,Sheet1!A:A,Sheet1!F:F)</f>
        <v>46</v>
      </c>
      <c r="E625" s="2" t="str">
        <f>_xlfn.XLOOKUP(A:A,Sheet1!A:A,Sheet1!G:G)</f>
        <v>China</v>
      </c>
      <c r="F625" s="8" t="str">
        <f>_xlfn.XLOOKUP(A:A,Sheet1!A:A,Sheet1!H:H)</f>
        <v>Mandarin</v>
      </c>
      <c r="G625" s="8" t="str">
        <f>_xlfn.XLOOKUP(A:A,Sheet1!A:A,Sheet1!I:I)</f>
        <v>DevOps</v>
      </c>
      <c r="H625" s="8">
        <f>_xlfn.XLOOKUP(A:A,Sheet1!A:A,Sheet1!K:K)</f>
        <v>5</v>
      </c>
      <c r="I625" s="9">
        <f>_xlfn.XLOOKUP(A:A,Sheet1!A:A,Sheet1!M:M)</f>
        <v>30</v>
      </c>
      <c r="J625" s="10">
        <f>_xlfn.XLOOKUP(A:A,Sheet1!A:A,Sheet1!O:O)</f>
        <v>2</v>
      </c>
      <c r="K625" t="str">
        <f>_xlfn.XLOOKUP(A:A,Sheet1!A:A,Sheet1!P:P)</f>
        <v>Yes</v>
      </c>
      <c r="L625" s="12">
        <f>_xlfn.XLOOKUP(A:A,Sheet1!A:A,Sheet1!S:S)</f>
        <v>0.64</v>
      </c>
    </row>
    <row r="626" spans="1:12" x14ac:dyDescent="0.35">
      <c r="A626" s="8" t="s">
        <v>1276</v>
      </c>
      <c r="B626" s="2" t="str">
        <f>_xlfn.XLOOKUP(A626,Sheet1!A:A,Sheet1!B:B)</f>
        <v>David Bishop</v>
      </c>
      <c r="C626" s="2" t="str">
        <f>_xlfn.XLOOKUP(A:A,Sheet1!A:A,Sheet1!D:D)</f>
        <v>Male</v>
      </c>
      <c r="D626" s="8">
        <f>_xlfn.XLOOKUP(A:A,Sheet1!A:A,Sheet1!F:F)</f>
        <v>41</v>
      </c>
      <c r="E626" s="2" t="str">
        <f>_xlfn.XLOOKUP(A:A,Sheet1!A:A,Sheet1!G:G)</f>
        <v>Spain</v>
      </c>
      <c r="F626" s="8" t="str">
        <f>_xlfn.XLOOKUP(A:A,Sheet1!A:A,Sheet1!H:H)</f>
        <v>Spanish</v>
      </c>
      <c r="G626" s="8" t="str">
        <f>_xlfn.XLOOKUP(A:A,Sheet1!A:A,Sheet1!I:I)</f>
        <v>Blockchain Development</v>
      </c>
      <c r="H626" s="8">
        <f>_xlfn.XLOOKUP(A:A,Sheet1!A:A,Sheet1!K:K)</f>
        <v>1</v>
      </c>
      <c r="I626" s="9">
        <f>_xlfn.XLOOKUP(A:A,Sheet1!A:A,Sheet1!M:M)</f>
        <v>50</v>
      </c>
      <c r="J626" s="10">
        <f>_xlfn.XLOOKUP(A:A,Sheet1!A:A,Sheet1!O:O)</f>
        <v>2.8</v>
      </c>
      <c r="K626" t="str">
        <f>_xlfn.XLOOKUP(A:A,Sheet1!A:A,Sheet1!P:P)</f>
        <v>No</v>
      </c>
      <c r="L626" s="12">
        <f>_xlfn.XLOOKUP(A:A,Sheet1!A:A,Sheet1!S:S)</f>
        <v>0.87</v>
      </c>
    </row>
    <row r="627" spans="1:12" x14ac:dyDescent="0.35">
      <c r="A627" s="8" t="s">
        <v>1278</v>
      </c>
      <c r="B627" s="2" t="str">
        <f>_xlfn.XLOOKUP(A627,Sheet1!A:A,Sheet1!B:B)</f>
        <v>Laura Butler</v>
      </c>
      <c r="C627" s="2" t="str">
        <f>_xlfn.XLOOKUP(A:A,Sheet1!A:A,Sheet1!D:D)</f>
        <v>Female</v>
      </c>
      <c r="D627" s="8">
        <f>_xlfn.XLOOKUP(A:A,Sheet1!A:A,Sheet1!F:F)</f>
        <v>34</v>
      </c>
      <c r="E627" s="2" t="str">
        <f>_xlfn.XLOOKUP(A:A,Sheet1!A:A,Sheet1!G:G)</f>
        <v>Australia</v>
      </c>
      <c r="F627" s="8" t="str">
        <f>_xlfn.XLOOKUP(A:A,Sheet1!A:A,Sheet1!H:H)</f>
        <v>English</v>
      </c>
      <c r="G627" s="8" t="str">
        <f>_xlfn.XLOOKUP(A:A,Sheet1!A:A,Sheet1!I:I)</f>
        <v>Data Analysis</v>
      </c>
      <c r="H627" s="8">
        <f>_xlfn.XLOOKUP(A:A,Sheet1!A:A,Sheet1!K:K)</f>
        <v>2</v>
      </c>
      <c r="I627" s="9">
        <f>_xlfn.XLOOKUP(A:A,Sheet1!A:A,Sheet1!M:M)</f>
        <v>100</v>
      </c>
      <c r="J627" s="11">
        <v>0</v>
      </c>
      <c r="K627" t="str">
        <f>_xlfn.XLOOKUP(A:A,Sheet1!A:A,Sheet1!P:P)</f>
        <v>No</v>
      </c>
      <c r="L627" s="12">
        <f>_xlfn.XLOOKUP(A:A,Sheet1!A:A,Sheet1!S:S)</f>
        <v>0.86</v>
      </c>
    </row>
    <row r="628" spans="1:12" x14ac:dyDescent="0.35">
      <c r="A628" s="8" t="s">
        <v>1280</v>
      </c>
      <c r="B628" s="2" t="str">
        <f>_xlfn.XLOOKUP(A628,Sheet1!A:A,Sheet1!B:B)</f>
        <v>Denise Erickson</v>
      </c>
      <c r="C628" s="2" t="str">
        <f>_xlfn.XLOOKUP(A:A,Sheet1!A:A,Sheet1!D:D)</f>
        <v>Female</v>
      </c>
      <c r="D628" s="8">
        <f>_xlfn.XLOOKUP(A:A,Sheet1!A:A,Sheet1!F:F)</f>
        <v>46</v>
      </c>
      <c r="E628" s="2" t="str">
        <f>_xlfn.XLOOKUP(A:A,Sheet1!A:A,Sheet1!G:G)</f>
        <v>Italy</v>
      </c>
      <c r="F628" s="8" t="str">
        <f>_xlfn.XLOOKUP(A:A,Sheet1!A:A,Sheet1!H:H)</f>
        <v>Italian</v>
      </c>
      <c r="G628" s="8" t="str">
        <f>_xlfn.XLOOKUP(A:A,Sheet1!A:A,Sheet1!I:I)</f>
        <v>Mobile Apps</v>
      </c>
      <c r="H628" s="8">
        <f>_xlfn.XLOOKUP(A:A,Sheet1!A:A,Sheet1!K:K)</f>
        <v>9</v>
      </c>
      <c r="I628" s="9">
        <f>_xlfn.XLOOKUP(A:A,Sheet1!A:A,Sheet1!M:M)</f>
        <v>100</v>
      </c>
      <c r="J628" s="10">
        <f>_xlfn.XLOOKUP(A:A,Sheet1!A:A,Sheet1!O:O)</f>
        <v>4.4000000000000004</v>
      </c>
      <c r="K628" t="str">
        <f>_xlfn.XLOOKUP(A:A,Sheet1!A:A,Sheet1!P:P)</f>
        <v>Yes</v>
      </c>
      <c r="L628" s="12">
        <f>_xlfn.XLOOKUP(A:A,Sheet1!A:A,Sheet1!S:S)</f>
        <v>0.97</v>
      </c>
    </row>
    <row r="629" spans="1:12" x14ac:dyDescent="0.35">
      <c r="A629" s="8" t="s">
        <v>1282</v>
      </c>
      <c r="B629" s="2" t="str">
        <f>_xlfn.XLOOKUP(A629,Sheet1!A:A,Sheet1!B:B)</f>
        <v>Nicole Austin</v>
      </c>
      <c r="C629" s="2" t="str">
        <f>_xlfn.XLOOKUP(A:A,Sheet1!A:A,Sheet1!D:D)</f>
        <v>Female</v>
      </c>
      <c r="D629" s="8">
        <f>_xlfn.XLOOKUP(A:A,Sheet1!A:A,Sheet1!F:F)</f>
        <v>22</v>
      </c>
      <c r="E629" s="2" t="str">
        <f>_xlfn.XLOOKUP(A:A,Sheet1!A:A,Sheet1!G:G)</f>
        <v>France</v>
      </c>
      <c r="F629" s="8" t="str">
        <f>_xlfn.XLOOKUP(A:A,Sheet1!A:A,Sheet1!H:H)</f>
        <v>French</v>
      </c>
      <c r="G629" s="8" t="str">
        <f>_xlfn.XLOOKUP(A:A,Sheet1!A:A,Sheet1!I:I)</f>
        <v>Blockchain Development</v>
      </c>
      <c r="H629" s="8">
        <f>_xlfn.XLOOKUP(A:A,Sheet1!A:A,Sheet1!K:K)</f>
        <v>0</v>
      </c>
      <c r="I629" s="9">
        <f>_xlfn.XLOOKUP(A:A,Sheet1!A:A,Sheet1!M:M)</f>
        <v>30</v>
      </c>
      <c r="J629" s="10">
        <f>_xlfn.XLOOKUP(A:A,Sheet1!A:A,Sheet1!O:O)</f>
        <v>4.9000000000000004</v>
      </c>
      <c r="K629" t="str">
        <f>_xlfn.XLOOKUP(A:A,Sheet1!A:A,Sheet1!P:P)</f>
        <v>No</v>
      </c>
      <c r="L629" s="12">
        <f>_xlfn.XLOOKUP(A:A,Sheet1!A:A,Sheet1!S:S)</f>
        <v>0.73</v>
      </c>
    </row>
    <row r="630" spans="1:12" x14ac:dyDescent="0.35">
      <c r="A630" s="8" t="s">
        <v>1284</v>
      </c>
      <c r="B630" s="2" t="str">
        <f>_xlfn.XLOOKUP(A630,Sheet1!A:A,Sheet1!B:B)</f>
        <v>Summer Williams</v>
      </c>
      <c r="C630" s="2" t="str">
        <f>_xlfn.XLOOKUP(A:A,Sheet1!A:A,Sheet1!D:D)</f>
        <v>Female</v>
      </c>
      <c r="D630" s="8">
        <f>_xlfn.XLOOKUP(A:A,Sheet1!A:A,Sheet1!F:F)</f>
        <v>23</v>
      </c>
      <c r="E630" s="2" t="str">
        <f>_xlfn.XLOOKUP(A:A,Sheet1!A:A,Sheet1!G:G)</f>
        <v>South Africa</v>
      </c>
      <c r="F630" s="8" t="str">
        <f>_xlfn.XLOOKUP(A:A,Sheet1!A:A,Sheet1!H:H)</f>
        <v>Afrikaans</v>
      </c>
      <c r="G630" s="8" t="str">
        <f>_xlfn.XLOOKUP(A:A,Sheet1!A:A,Sheet1!I:I)</f>
        <v>AI</v>
      </c>
      <c r="H630" s="8">
        <f>_xlfn.XLOOKUP(A:A,Sheet1!A:A,Sheet1!K:K)</f>
        <v>0</v>
      </c>
      <c r="I630" s="9">
        <f>_xlfn.XLOOKUP(A:A,Sheet1!A:A,Sheet1!M:M)</f>
        <v>75</v>
      </c>
      <c r="J630" s="10">
        <f>_xlfn.XLOOKUP(A:A,Sheet1!A:A,Sheet1!O:O)</f>
        <v>2.2999999999999998</v>
      </c>
      <c r="K630" t="str">
        <f>_xlfn.XLOOKUP(A:A,Sheet1!A:A,Sheet1!P:P)</f>
        <v>No</v>
      </c>
      <c r="L630" s="12">
        <f>_xlfn.XLOOKUP(A:A,Sheet1!A:A,Sheet1!S:S)</f>
        <v>0.6</v>
      </c>
    </row>
    <row r="631" spans="1:12" x14ac:dyDescent="0.35">
      <c r="A631" s="8" t="s">
        <v>1286</v>
      </c>
      <c r="B631" s="2" t="str">
        <f>_xlfn.XLOOKUP(A631,Sheet1!A:A,Sheet1!B:B)</f>
        <v>Angela Blackwell</v>
      </c>
      <c r="C631" s="2" t="str">
        <f>_xlfn.XLOOKUP(A:A,Sheet1!A:A,Sheet1!D:D)</f>
        <v>Female</v>
      </c>
      <c r="D631" s="8">
        <f>_xlfn.XLOOKUP(A:A,Sheet1!A:A,Sheet1!F:F)</f>
        <v>60</v>
      </c>
      <c r="E631" s="2" t="str">
        <f>_xlfn.XLOOKUP(A:A,Sheet1!A:A,Sheet1!G:G)</f>
        <v>Turkey</v>
      </c>
      <c r="F631" s="8" t="str">
        <f>_xlfn.XLOOKUP(A:A,Sheet1!A:A,Sheet1!H:H)</f>
        <v>Turkish</v>
      </c>
      <c r="G631" s="8" t="str">
        <f>_xlfn.XLOOKUP(A:A,Sheet1!A:A,Sheet1!I:I)</f>
        <v>Web Development</v>
      </c>
      <c r="H631" s="8">
        <f>_xlfn.XLOOKUP(A:A,Sheet1!A:A,Sheet1!K:K)</f>
        <v>41</v>
      </c>
      <c r="I631" s="9">
        <f>_xlfn.XLOOKUP(A:A,Sheet1!A:A,Sheet1!M:M)</f>
        <v>40</v>
      </c>
      <c r="J631" s="10">
        <f>_xlfn.XLOOKUP(A:A,Sheet1!A:A,Sheet1!O:O)</f>
        <v>4.9000000000000004</v>
      </c>
      <c r="K631" t="str">
        <f>_xlfn.XLOOKUP(A:A,Sheet1!A:A,Sheet1!P:P)</f>
        <v>Yes</v>
      </c>
      <c r="L631" s="12">
        <f>_xlfn.XLOOKUP(A:A,Sheet1!A:A,Sheet1!S:S)</f>
        <v>0.66</v>
      </c>
    </row>
    <row r="632" spans="1:12" x14ac:dyDescent="0.35">
      <c r="A632" s="8" t="s">
        <v>1288</v>
      </c>
      <c r="B632" s="2" t="str">
        <f>_xlfn.XLOOKUP(A632,Sheet1!A:A,Sheet1!B:B)</f>
        <v>Thomas Wall</v>
      </c>
      <c r="C632" s="2" t="str">
        <f>_xlfn.XLOOKUP(A:A,Sheet1!A:A,Sheet1!D:D)</f>
        <v>Male</v>
      </c>
      <c r="D632" s="8">
        <f>_xlfn.XLOOKUP(A:A,Sheet1!A:A,Sheet1!F:F)</f>
        <v>20</v>
      </c>
      <c r="E632" s="2" t="str">
        <f>_xlfn.XLOOKUP(A:A,Sheet1!A:A,Sheet1!G:G)</f>
        <v>Canada</v>
      </c>
      <c r="F632" s="8" t="str">
        <f>_xlfn.XLOOKUP(A:A,Sheet1!A:A,Sheet1!H:H)</f>
        <v>English</v>
      </c>
      <c r="G632" s="8" t="str">
        <f>_xlfn.XLOOKUP(A:A,Sheet1!A:A,Sheet1!I:I)</f>
        <v>DevOps</v>
      </c>
      <c r="H632" s="8">
        <f>_xlfn.XLOOKUP(A:A,Sheet1!A:A,Sheet1!K:K)</f>
        <v>9</v>
      </c>
      <c r="I632" s="9">
        <f>_xlfn.XLOOKUP(A:A,Sheet1!A:A,Sheet1!M:M)</f>
        <v>75</v>
      </c>
      <c r="J632" s="10">
        <f>_xlfn.XLOOKUP(A:A,Sheet1!A:A,Sheet1!O:O)</f>
        <v>4.3</v>
      </c>
      <c r="K632" t="str">
        <f>_xlfn.XLOOKUP(A:A,Sheet1!A:A,Sheet1!P:P)</f>
        <v>No</v>
      </c>
      <c r="L632" s="12">
        <f>_xlfn.XLOOKUP(A:A,Sheet1!A:A,Sheet1!S:S)</f>
        <v>0.9</v>
      </c>
    </row>
    <row r="633" spans="1:12" x14ac:dyDescent="0.35">
      <c r="A633" s="8" t="s">
        <v>1290</v>
      </c>
      <c r="B633" s="2" t="str">
        <f>_xlfn.XLOOKUP(A633,Sheet1!A:A,Sheet1!B:B)</f>
        <v>Sarah Anderson</v>
      </c>
      <c r="C633" s="2" t="str">
        <f>_xlfn.XLOOKUP(A:A,Sheet1!A:A,Sheet1!D:D)</f>
        <v>Female</v>
      </c>
      <c r="D633" s="8">
        <f>_xlfn.XLOOKUP(A:A,Sheet1!A:A,Sheet1!F:F)</f>
        <v>41</v>
      </c>
      <c r="E633" s="2" t="str">
        <f>_xlfn.XLOOKUP(A:A,Sheet1!A:A,Sheet1!G:G)</f>
        <v>South Korea</v>
      </c>
      <c r="F633" s="8" t="str">
        <f>_xlfn.XLOOKUP(A:A,Sheet1!A:A,Sheet1!H:H)</f>
        <v>Korean</v>
      </c>
      <c r="G633" s="8" t="str">
        <f>_xlfn.XLOOKUP(A:A,Sheet1!A:A,Sheet1!I:I)</f>
        <v>UI/UX Design</v>
      </c>
      <c r="H633" s="8">
        <f>_xlfn.XLOOKUP(A:A,Sheet1!A:A,Sheet1!K:K)</f>
        <v>23</v>
      </c>
      <c r="I633" s="9">
        <f>_xlfn.XLOOKUP(A:A,Sheet1!A:A,Sheet1!M:M)</f>
        <v>75</v>
      </c>
      <c r="J633" s="10">
        <f>_xlfn.XLOOKUP(A:A,Sheet1!A:A,Sheet1!O:O)</f>
        <v>1.4</v>
      </c>
      <c r="K633" t="str">
        <f>_xlfn.XLOOKUP(A:A,Sheet1!A:A,Sheet1!P:P)</f>
        <v>No</v>
      </c>
      <c r="L633" s="12">
        <f>_xlfn.XLOOKUP(A:A,Sheet1!A:A,Sheet1!S:S)</f>
        <v>0.79269417475728277</v>
      </c>
    </row>
    <row r="634" spans="1:12" x14ac:dyDescent="0.35">
      <c r="A634" s="8" t="s">
        <v>1292</v>
      </c>
      <c r="B634" s="2" t="str">
        <f>_xlfn.XLOOKUP(A634,Sheet1!A:A,Sheet1!B:B)</f>
        <v>Christian Lane</v>
      </c>
      <c r="C634" s="2" t="str">
        <f>_xlfn.XLOOKUP(A:A,Sheet1!A:A,Sheet1!D:D)</f>
        <v>Male</v>
      </c>
      <c r="D634" s="8">
        <f>_xlfn.XLOOKUP(A:A,Sheet1!A:A,Sheet1!F:F)</f>
        <v>24</v>
      </c>
      <c r="E634" s="2" t="str">
        <f>_xlfn.XLOOKUP(A:A,Sheet1!A:A,Sheet1!G:G)</f>
        <v>France</v>
      </c>
      <c r="F634" s="8" t="str">
        <f>_xlfn.XLOOKUP(A:A,Sheet1!A:A,Sheet1!H:H)</f>
        <v>French</v>
      </c>
      <c r="G634" s="8" t="str">
        <f>_xlfn.XLOOKUP(A:A,Sheet1!A:A,Sheet1!I:I)</f>
        <v>Mobile Apps</v>
      </c>
      <c r="H634" s="8">
        <f>_xlfn.XLOOKUP(A:A,Sheet1!A:A,Sheet1!K:K)</f>
        <v>0</v>
      </c>
      <c r="I634" s="9">
        <f>_xlfn.XLOOKUP(A:A,Sheet1!A:A,Sheet1!M:M)</f>
        <v>100</v>
      </c>
      <c r="J634" s="10">
        <f>_xlfn.XLOOKUP(A:A,Sheet1!A:A,Sheet1!O:O)</f>
        <v>2.5125695216907653</v>
      </c>
      <c r="K634" t="str">
        <f>_xlfn.XLOOKUP(A:A,Sheet1!A:A,Sheet1!P:P)</f>
        <v>No</v>
      </c>
      <c r="L634" s="12">
        <f>_xlfn.XLOOKUP(A:A,Sheet1!A:A,Sheet1!S:S)</f>
        <v>0.79269417475728277</v>
      </c>
    </row>
    <row r="635" spans="1:12" x14ac:dyDescent="0.35">
      <c r="A635" s="8" t="s">
        <v>1294</v>
      </c>
      <c r="B635" s="2" t="str">
        <f>_xlfn.XLOOKUP(A635,Sheet1!A:A,Sheet1!B:B)</f>
        <v>Todd Casey</v>
      </c>
      <c r="C635" s="2" t="str">
        <f>_xlfn.XLOOKUP(A:A,Sheet1!A:A,Sheet1!D:D)</f>
        <v>Male</v>
      </c>
      <c r="D635" s="8">
        <f>_xlfn.XLOOKUP(A:A,Sheet1!A:A,Sheet1!F:F)</f>
        <v>44</v>
      </c>
      <c r="E635" s="2" t="str">
        <f>_xlfn.XLOOKUP(A:A,Sheet1!A:A,Sheet1!G:G)</f>
        <v>Netherlands</v>
      </c>
      <c r="F635" s="8" t="str">
        <f>_xlfn.XLOOKUP(A:A,Sheet1!A:A,Sheet1!H:H)</f>
        <v>Dutch</v>
      </c>
      <c r="G635" s="8" t="str">
        <f>_xlfn.XLOOKUP(A:A,Sheet1!A:A,Sheet1!I:I)</f>
        <v>Machine Learning</v>
      </c>
      <c r="H635" s="8">
        <f>_xlfn.XLOOKUP(A:A,Sheet1!A:A,Sheet1!K:K)</f>
        <v>4</v>
      </c>
      <c r="I635" s="9">
        <f>_xlfn.XLOOKUP(A:A,Sheet1!A:A,Sheet1!M:M)</f>
        <v>40</v>
      </c>
      <c r="J635" s="10">
        <f>_xlfn.XLOOKUP(A:A,Sheet1!A:A,Sheet1!O:O)</f>
        <v>1.3</v>
      </c>
      <c r="K635" t="str">
        <f>_xlfn.XLOOKUP(A:A,Sheet1!A:A,Sheet1!P:P)</f>
        <v>Yes</v>
      </c>
      <c r="L635" s="12">
        <f>_xlfn.XLOOKUP(A:A,Sheet1!A:A,Sheet1!S:S)</f>
        <v>0.77</v>
      </c>
    </row>
    <row r="636" spans="1:12" x14ac:dyDescent="0.35">
      <c r="A636" s="8" t="s">
        <v>1296</v>
      </c>
      <c r="B636" s="2" t="str">
        <f>_xlfn.XLOOKUP(A636,Sheet1!A:A,Sheet1!B:B)</f>
        <v>David Martinez</v>
      </c>
      <c r="C636" s="2" t="str">
        <f>_xlfn.XLOOKUP(A:A,Sheet1!A:A,Sheet1!D:D)</f>
        <v>Male</v>
      </c>
      <c r="D636" s="8">
        <f>_xlfn.XLOOKUP(A:A,Sheet1!A:A,Sheet1!F:F)</f>
        <v>52</v>
      </c>
      <c r="E636" s="2" t="str">
        <f>_xlfn.XLOOKUP(A:A,Sheet1!A:A,Sheet1!G:G)</f>
        <v>China</v>
      </c>
      <c r="F636" s="8" t="str">
        <f>_xlfn.XLOOKUP(A:A,Sheet1!A:A,Sheet1!H:H)</f>
        <v>Mandarin</v>
      </c>
      <c r="G636" s="8" t="str">
        <f>_xlfn.XLOOKUP(A:A,Sheet1!A:A,Sheet1!I:I)</f>
        <v>UI/UX Design</v>
      </c>
      <c r="H636" s="8">
        <f>_xlfn.XLOOKUP(A:A,Sheet1!A:A,Sheet1!K:K)</f>
        <v>4</v>
      </c>
      <c r="I636" s="9">
        <f>_xlfn.XLOOKUP(A:A,Sheet1!A:A,Sheet1!M:M)</f>
        <v>75</v>
      </c>
      <c r="J636" s="10">
        <f>_xlfn.XLOOKUP(A:A,Sheet1!A:A,Sheet1!O:O)</f>
        <v>2.2999999999999998</v>
      </c>
      <c r="K636" t="str">
        <f>_xlfn.XLOOKUP(A:A,Sheet1!A:A,Sheet1!P:P)</f>
        <v>Yes</v>
      </c>
      <c r="L636" s="12">
        <f>_xlfn.XLOOKUP(A:A,Sheet1!A:A,Sheet1!S:S)</f>
        <v>0.79</v>
      </c>
    </row>
    <row r="637" spans="1:12" x14ac:dyDescent="0.35">
      <c r="A637" s="8" t="s">
        <v>1298</v>
      </c>
      <c r="B637" s="2" t="str">
        <f>_xlfn.XLOOKUP(A637,Sheet1!A:A,Sheet1!B:B)</f>
        <v>Donald Salas</v>
      </c>
      <c r="C637" s="2" t="str">
        <f>_xlfn.XLOOKUP(A:A,Sheet1!A:A,Sheet1!D:D)</f>
        <v>Male</v>
      </c>
      <c r="D637" s="8">
        <f>_xlfn.XLOOKUP(A:A,Sheet1!A:A,Sheet1!F:F)</f>
        <v>35</v>
      </c>
      <c r="E637" s="2" t="str">
        <f>_xlfn.XLOOKUP(A:A,Sheet1!A:A,Sheet1!G:G)</f>
        <v>Spain</v>
      </c>
      <c r="F637" s="8" t="str">
        <f>_xlfn.XLOOKUP(A:A,Sheet1!A:A,Sheet1!H:H)</f>
        <v>Spanish</v>
      </c>
      <c r="G637" s="8" t="str">
        <f>_xlfn.XLOOKUP(A:A,Sheet1!A:A,Sheet1!I:I)</f>
        <v>Machine Learning</v>
      </c>
      <c r="H637" s="8">
        <f>_xlfn.XLOOKUP(A:A,Sheet1!A:A,Sheet1!K:K)</f>
        <v>13</v>
      </c>
      <c r="I637" s="9">
        <f>_xlfn.XLOOKUP(A:A,Sheet1!A:A,Sheet1!M:M)</f>
        <v>40</v>
      </c>
      <c r="J637" s="10">
        <f>_xlfn.XLOOKUP(A:A,Sheet1!A:A,Sheet1!O:O)</f>
        <v>3.6</v>
      </c>
      <c r="K637" t="str">
        <f>_xlfn.XLOOKUP(A:A,Sheet1!A:A,Sheet1!P:P)</f>
        <v>No</v>
      </c>
      <c r="L637" s="12">
        <f>_xlfn.XLOOKUP(A:A,Sheet1!A:A,Sheet1!S:S)</f>
        <v>0.83</v>
      </c>
    </row>
    <row r="638" spans="1:12" x14ac:dyDescent="0.35">
      <c r="A638" s="8" t="s">
        <v>1300</v>
      </c>
      <c r="B638" s="2" t="str">
        <f>_xlfn.XLOOKUP(A638,Sheet1!A:A,Sheet1!B:B)</f>
        <v>Emma Hicks</v>
      </c>
      <c r="C638" s="2" t="str">
        <f>_xlfn.XLOOKUP(A:A,Sheet1!A:A,Sheet1!D:D)</f>
        <v>Female</v>
      </c>
      <c r="D638" s="8">
        <f>_xlfn.XLOOKUP(A:A,Sheet1!A:A,Sheet1!F:F)</f>
        <v>24</v>
      </c>
      <c r="E638" s="2" t="str">
        <f>_xlfn.XLOOKUP(A:A,Sheet1!A:A,Sheet1!G:G)</f>
        <v>Netherlands</v>
      </c>
      <c r="F638" s="8" t="str">
        <f>_xlfn.XLOOKUP(A:A,Sheet1!A:A,Sheet1!H:H)</f>
        <v>Dutch</v>
      </c>
      <c r="G638" s="8" t="str">
        <f>_xlfn.XLOOKUP(A:A,Sheet1!A:A,Sheet1!I:I)</f>
        <v>DevOps</v>
      </c>
      <c r="H638" s="8">
        <f>_xlfn.XLOOKUP(A:A,Sheet1!A:A,Sheet1!K:K)</f>
        <v>2</v>
      </c>
      <c r="I638" s="9">
        <f>_xlfn.XLOOKUP(A:A,Sheet1!A:A,Sheet1!M:M)</f>
        <v>50</v>
      </c>
      <c r="J638" s="10">
        <f>_xlfn.XLOOKUP(A:A,Sheet1!A:A,Sheet1!O:O)</f>
        <v>2.5125695216907653</v>
      </c>
      <c r="K638" t="str">
        <f>_xlfn.XLOOKUP(A:A,Sheet1!A:A,Sheet1!P:P)</f>
        <v>No</v>
      </c>
      <c r="L638" s="12">
        <f>_xlfn.XLOOKUP(A:A,Sheet1!A:A,Sheet1!S:S)</f>
        <v>0.64</v>
      </c>
    </row>
    <row r="639" spans="1:12" x14ac:dyDescent="0.35">
      <c r="A639" s="8" t="s">
        <v>1302</v>
      </c>
      <c r="B639" s="2" t="str">
        <f>_xlfn.XLOOKUP(A639,Sheet1!A:A,Sheet1!B:B)</f>
        <v>Alison Clark</v>
      </c>
      <c r="C639" s="2" t="str">
        <f>_xlfn.XLOOKUP(A:A,Sheet1!A:A,Sheet1!D:D)</f>
        <v>Female</v>
      </c>
      <c r="D639" s="8">
        <f>_xlfn.XLOOKUP(A:A,Sheet1!A:A,Sheet1!F:F)</f>
        <v>46</v>
      </c>
      <c r="E639" s="2" t="str">
        <f>_xlfn.XLOOKUP(A:A,Sheet1!A:A,Sheet1!G:G)</f>
        <v>Australia</v>
      </c>
      <c r="F639" s="8" t="str">
        <f>_xlfn.XLOOKUP(A:A,Sheet1!A:A,Sheet1!H:H)</f>
        <v>English</v>
      </c>
      <c r="G639" s="8" t="str">
        <f>_xlfn.XLOOKUP(A:A,Sheet1!A:A,Sheet1!I:I)</f>
        <v>Cybersecurity</v>
      </c>
      <c r="H639" s="8">
        <f>_xlfn.XLOOKUP(A:A,Sheet1!A:A,Sheet1!K:K)</f>
        <v>25</v>
      </c>
      <c r="I639" s="9">
        <f>_xlfn.XLOOKUP(A:A,Sheet1!A:A,Sheet1!M:M)</f>
        <v>100</v>
      </c>
      <c r="J639" s="10">
        <f>_xlfn.XLOOKUP(A:A,Sheet1!A:A,Sheet1!O:O)</f>
        <v>1.3</v>
      </c>
      <c r="K639" t="str">
        <f>_xlfn.XLOOKUP(A:A,Sheet1!A:A,Sheet1!P:P)</f>
        <v>No</v>
      </c>
      <c r="L639" s="12">
        <f>_xlfn.XLOOKUP(A:A,Sheet1!A:A,Sheet1!S:S)</f>
        <v>0.8</v>
      </c>
    </row>
    <row r="640" spans="1:12" x14ac:dyDescent="0.35">
      <c r="A640" s="8" t="s">
        <v>1304</v>
      </c>
      <c r="B640" s="2" t="str">
        <f>_xlfn.XLOOKUP(A640,Sheet1!A:A,Sheet1!B:B)</f>
        <v>Andrew Barnes</v>
      </c>
      <c r="C640" s="2" t="str">
        <f>_xlfn.XLOOKUP(A:A,Sheet1!A:A,Sheet1!D:D)</f>
        <v>Male</v>
      </c>
      <c r="D640" s="8">
        <f>_xlfn.XLOOKUP(A:A,Sheet1!A:A,Sheet1!F:F)</f>
        <v>57</v>
      </c>
      <c r="E640" s="2" t="str">
        <f>_xlfn.XLOOKUP(A:A,Sheet1!A:A,Sheet1!G:G)</f>
        <v>Mexico</v>
      </c>
      <c r="F640" s="8" t="str">
        <f>_xlfn.XLOOKUP(A:A,Sheet1!A:A,Sheet1!H:H)</f>
        <v>Spanish</v>
      </c>
      <c r="G640" s="8" t="str">
        <f>_xlfn.XLOOKUP(A:A,Sheet1!A:A,Sheet1!I:I)</f>
        <v>Mobile Apps</v>
      </c>
      <c r="H640" s="8">
        <f>_xlfn.XLOOKUP(A:A,Sheet1!A:A,Sheet1!K:K)</f>
        <v>18</v>
      </c>
      <c r="I640" s="9">
        <f>_xlfn.XLOOKUP(A:A,Sheet1!A:A,Sheet1!M:M)</f>
        <v>30</v>
      </c>
      <c r="J640" s="10">
        <f>_xlfn.XLOOKUP(A:A,Sheet1!A:A,Sheet1!O:O)</f>
        <v>1.1000000000000001</v>
      </c>
      <c r="K640" t="str">
        <f>_xlfn.XLOOKUP(A:A,Sheet1!A:A,Sheet1!P:P)</f>
        <v>No</v>
      </c>
      <c r="L640" s="12">
        <f>_xlfn.XLOOKUP(A:A,Sheet1!A:A,Sheet1!S:S)</f>
        <v>0.9</v>
      </c>
    </row>
    <row r="641" spans="1:12" x14ac:dyDescent="0.35">
      <c r="A641" s="8" t="s">
        <v>1306</v>
      </c>
      <c r="B641" s="2" t="str">
        <f>_xlfn.XLOOKUP(A641,Sheet1!A:A,Sheet1!B:B)</f>
        <v>Gina Snyder</v>
      </c>
      <c r="C641" s="2" t="str">
        <f>_xlfn.XLOOKUP(A:A,Sheet1!A:A,Sheet1!D:D)</f>
        <v>Female</v>
      </c>
      <c r="D641" s="8">
        <f>_xlfn.XLOOKUP(A:A,Sheet1!A:A,Sheet1!F:F)</f>
        <v>49</v>
      </c>
      <c r="E641" s="2" t="str">
        <f>_xlfn.XLOOKUP(A:A,Sheet1!A:A,Sheet1!G:G)</f>
        <v>Mexico</v>
      </c>
      <c r="F641" s="8" t="str">
        <f>_xlfn.XLOOKUP(A:A,Sheet1!A:A,Sheet1!H:H)</f>
        <v>Spanish</v>
      </c>
      <c r="G641" s="8" t="str">
        <f>_xlfn.XLOOKUP(A:A,Sheet1!A:A,Sheet1!I:I)</f>
        <v>Web Development</v>
      </c>
      <c r="H641" s="8">
        <f>_xlfn.XLOOKUP(A:A,Sheet1!A:A,Sheet1!K:K)</f>
        <v>24</v>
      </c>
      <c r="I641" s="9">
        <f>_xlfn.XLOOKUP(A:A,Sheet1!A:A,Sheet1!M:M)</f>
        <v>50</v>
      </c>
      <c r="J641" s="11">
        <v>0</v>
      </c>
      <c r="K641" t="str">
        <f>_xlfn.XLOOKUP(A:A,Sheet1!A:A,Sheet1!P:P)</f>
        <v>No</v>
      </c>
      <c r="L641" s="12">
        <f>_xlfn.XLOOKUP(A:A,Sheet1!A:A,Sheet1!S:S)</f>
        <v>0.94</v>
      </c>
    </row>
    <row r="642" spans="1:12" x14ac:dyDescent="0.35">
      <c r="A642" s="8" t="s">
        <v>1308</v>
      </c>
      <c r="B642" s="2" t="str">
        <f>_xlfn.XLOOKUP(A642,Sheet1!A:A,Sheet1!B:B)</f>
        <v>David Watson</v>
      </c>
      <c r="C642" s="2" t="str">
        <f>_xlfn.XLOOKUP(A:A,Sheet1!A:A,Sheet1!D:D)</f>
        <v>Male</v>
      </c>
      <c r="D642" s="8">
        <f>_xlfn.XLOOKUP(A:A,Sheet1!A:A,Sheet1!F:F)</f>
        <v>41</v>
      </c>
      <c r="E642" s="2" t="str">
        <f>_xlfn.XLOOKUP(A:A,Sheet1!A:A,Sheet1!G:G)</f>
        <v>Japan</v>
      </c>
      <c r="F642" s="8" t="str">
        <f>_xlfn.XLOOKUP(A:A,Sheet1!A:A,Sheet1!H:H)</f>
        <v>Japanese</v>
      </c>
      <c r="G642" s="8" t="str">
        <f>_xlfn.XLOOKUP(A:A,Sheet1!A:A,Sheet1!I:I)</f>
        <v>AI</v>
      </c>
      <c r="H642" s="8">
        <f>_xlfn.XLOOKUP(A:A,Sheet1!A:A,Sheet1!K:K)</f>
        <v>7</v>
      </c>
      <c r="I642" s="9">
        <f>_xlfn.XLOOKUP(A:A,Sheet1!A:A,Sheet1!M:M)</f>
        <v>40</v>
      </c>
      <c r="J642" s="10">
        <f>_xlfn.XLOOKUP(A:A,Sheet1!A:A,Sheet1!O:O)</f>
        <v>1.8</v>
      </c>
      <c r="K642" t="str">
        <f>_xlfn.XLOOKUP(A:A,Sheet1!A:A,Sheet1!P:P)</f>
        <v>No</v>
      </c>
      <c r="L642" s="12">
        <f>_xlfn.XLOOKUP(A:A,Sheet1!A:A,Sheet1!S:S)</f>
        <v>0.7</v>
      </c>
    </row>
    <row r="643" spans="1:12" x14ac:dyDescent="0.35">
      <c r="A643" s="8" t="s">
        <v>1310</v>
      </c>
      <c r="B643" s="2" t="str">
        <f>_xlfn.XLOOKUP(A643,Sheet1!A:A,Sheet1!B:B)</f>
        <v>John Davis</v>
      </c>
      <c r="C643" s="2" t="str">
        <f>_xlfn.XLOOKUP(A:A,Sheet1!A:A,Sheet1!D:D)</f>
        <v>Male</v>
      </c>
      <c r="D643" s="8">
        <f>_xlfn.XLOOKUP(A:A,Sheet1!A:A,Sheet1!F:F)</f>
        <v>22</v>
      </c>
      <c r="E643" s="2" t="str">
        <f>_xlfn.XLOOKUP(A:A,Sheet1!A:A,Sheet1!G:G)</f>
        <v>Mexico</v>
      </c>
      <c r="F643" s="8" t="str">
        <f>_xlfn.XLOOKUP(A:A,Sheet1!A:A,Sheet1!H:H)</f>
        <v>Spanish</v>
      </c>
      <c r="G643" s="8" t="str">
        <f>_xlfn.XLOOKUP(A:A,Sheet1!A:A,Sheet1!I:I)</f>
        <v>Machine Learning</v>
      </c>
      <c r="H643" s="8">
        <f>_xlfn.XLOOKUP(A:A,Sheet1!A:A,Sheet1!K:K)</f>
        <v>1</v>
      </c>
      <c r="I643" s="9">
        <f>_xlfn.XLOOKUP(A:A,Sheet1!A:A,Sheet1!M:M)</f>
        <v>20</v>
      </c>
      <c r="J643" s="10">
        <f>_xlfn.XLOOKUP(A:A,Sheet1!A:A,Sheet1!O:O)</f>
        <v>2.5125695216907653</v>
      </c>
      <c r="K643" t="str">
        <f>_xlfn.XLOOKUP(A:A,Sheet1!A:A,Sheet1!P:P)</f>
        <v>Yes</v>
      </c>
      <c r="L643" s="12">
        <f>_xlfn.XLOOKUP(A:A,Sheet1!A:A,Sheet1!S:S)</f>
        <v>0.75</v>
      </c>
    </row>
    <row r="644" spans="1:12" x14ac:dyDescent="0.35">
      <c r="A644" s="8" t="s">
        <v>1312</v>
      </c>
      <c r="B644" s="2" t="str">
        <f>_xlfn.XLOOKUP(A644,Sheet1!A:A,Sheet1!B:B)</f>
        <v>Joseph Thomas</v>
      </c>
      <c r="C644" s="2" t="str">
        <f>_xlfn.XLOOKUP(A:A,Sheet1!A:A,Sheet1!D:D)</f>
        <v>Male</v>
      </c>
      <c r="D644" s="8">
        <f>_xlfn.XLOOKUP(A:A,Sheet1!A:A,Sheet1!F:F)</f>
        <v>50</v>
      </c>
      <c r="E644" s="2" t="str">
        <f>_xlfn.XLOOKUP(A:A,Sheet1!A:A,Sheet1!G:G)</f>
        <v>Australia</v>
      </c>
      <c r="F644" s="8" t="str">
        <f>_xlfn.XLOOKUP(A:A,Sheet1!A:A,Sheet1!H:H)</f>
        <v>English</v>
      </c>
      <c r="G644" s="8" t="str">
        <f>_xlfn.XLOOKUP(A:A,Sheet1!A:A,Sheet1!I:I)</f>
        <v>Blockchain Development</v>
      </c>
      <c r="H644" s="8">
        <f>_xlfn.XLOOKUP(A:A,Sheet1!A:A,Sheet1!K:K)</f>
        <v>17</v>
      </c>
      <c r="I644" s="9">
        <f>_xlfn.XLOOKUP(A:A,Sheet1!A:A,Sheet1!M:M)</f>
        <v>75</v>
      </c>
      <c r="J644" s="10">
        <f>_xlfn.XLOOKUP(A:A,Sheet1!A:A,Sheet1!O:O)</f>
        <v>3.3</v>
      </c>
      <c r="K644" t="str">
        <f>_xlfn.XLOOKUP(A:A,Sheet1!A:A,Sheet1!P:P)</f>
        <v>Yes</v>
      </c>
      <c r="L644" s="12">
        <f>_xlfn.XLOOKUP(A:A,Sheet1!A:A,Sheet1!S:S)</f>
        <v>0.69</v>
      </c>
    </row>
    <row r="645" spans="1:12" x14ac:dyDescent="0.35">
      <c r="A645" s="8" t="s">
        <v>1314</v>
      </c>
      <c r="B645" s="2" t="str">
        <f>_xlfn.XLOOKUP(A645,Sheet1!A:A,Sheet1!B:B)</f>
        <v>Dean Finley</v>
      </c>
      <c r="C645" s="2" t="str">
        <f>_xlfn.XLOOKUP(A:A,Sheet1!A:A,Sheet1!D:D)</f>
        <v>Male</v>
      </c>
      <c r="D645" s="8">
        <f>_xlfn.XLOOKUP(A:A,Sheet1!A:A,Sheet1!F:F)</f>
        <v>57</v>
      </c>
      <c r="E645" s="2" t="str">
        <f>_xlfn.XLOOKUP(A:A,Sheet1!A:A,Sheet1!G:G)</f>
        <v>Germany</v>
      </c>
      <c r="F645" s="8" t="str">
        <f>_xlfn.XLOOKUP(A:A,Sheet1!A:A,Sheet1!H:H)</f>
        <v>German</v>
      </c>
      <c r="G645" s="8" t="str">
        <f>_xlfn.XLOOKUP(A:A,Sheet1!A:A,Sheet1!I:I)</f>
        <v>Graphic Design</v>
      </c>
      <c r="H645" s="8">
        <f>_xlfn.XLOOKUP(A:A,Sheet1!A:A,Sheet1!K:K)</f>
        <v>4</v>
      </c>
      <c r="I645" s="9">
        <f>_xlfn.XLOOKUP(A:A,Sheet1!A:A,Sheet1!M:M)</f>
        <v>30</v>
      </c>
      <c r="J645" s="10">
        <f>_xlfn.XLOOKUP(A:A,Sheet1!A:A,Sheet1!O:O)</f>
        <v>4.2</v>
      </c>
      <c r="K645" t="str">
        <f>_xlfn.XLOOKUP(A:A,Sheet1!A:A,Sheet1!P:P)</f>
        <v>No</v>
      </c>
      <c r="L645" s="12">
        <f>_xlfn.XLOOKUP(A:A,Sheet1!A:A,Sheet1!S:S)</f>
        <v>0.79269417475728277</v>
      </c>
    </row>
    <row r="646" spans="1:12" x14ac:dyDescent="0.35">
      <c r="A646" s="8" t="s">
        <v>1316</v>
      </c>
      <c r="B646" s="2" t="str">
        <f>_xlfn.XLOOKUP(A646,Sheet1!A:A,Sheet1!B:B)</f>
        <v>Ashley Kemp</v>
      </c>
      <c r="C646" s="2" t="str">
        <f>_xlfn.XLOOKUP(A:A,Sheet1!A:A,Sheet1!D:D)</f>
        <v>Female</v>
      </c>
      <c r="D646" s="8">
        <f>_xlfn.XLOOKUP(A:A,Sheet1!A:A,Sheet1!F:F)</f>
        <v>47</v>
      </c>
      <c r="E646" s="2" t="str">
        <f>_xlfn.XLOOKUP(A:A,Sheet1!A:A,Sheet1!G:G)</f>
        <v>Mexico</v>
      </c>
      <c r="F646" s="8" t="str">
        <f>_xlfn.XLOOKUP(A:A,Sheet1!A:A,Sheet1!H:H)</f>
        <v>Spanish</v>
      </c>
      <c r="G646" s="8" t="str">
        <f>_xlfn.XLOOKUP(A:A,Sheet1!A:A,Sheet1!I:I)</f>
        <v>AI</v>
      </c>
      <c r="H646" s="8">
        <f>_xlfn.XLOOKUP(A:A,Sheet1!A:A,Sheet1!K:K)</f>
        <v>29</v>
      </c>
      <c r="I646" s="9">
        <f>_xlfn.XLOOKUP(A:A,Sheet1!A:A,Sheet1!M:M)</f>
        <v>50</v>
      </c>
      <c r="J646" s="10">
        <f>_xlfn.XLOOKUP(A:A,Sheet1!A:A,Sheet1!O:O)</f>
        <v>2.5125695216907653</v>
      </c>
      <c r="K646" t="str">
        <f>_xlfn.XLOOKUP(A:A,Sheet1!A:A,Sheet1!P:P)</f>
        <v>Yes</v>
      </c>
      <c r="L646" s="12">
        <f>_xlfn.XLOOKUP(A:A,Sheet1!A:A,Sheet1!S:S)</f>
        <v>0.79</v>
      </c>
    </row>
    <row r="647" spans="1:12" x14ac:dyDescent="0.35">
      <c r="A647" s="8" t="s">
        <v>1318</v>
      </c>
      <c r="B647" s="2" t="str">
        <f>_xlfn.XLOOKUP(A647,Sheet1!A:A,Sheet1!B:B)</f>
        <v>Kenneth Evans</v>
      </c>
      <c r="C647" s="2" t="str">
        <f>_xlfn.XLOOKUP(A:A,Sheet1!A:A,Sheet1!D:D)</f>
        <v>Male</v>
      </c>
      <c r="D647" s="8">
        <f>_xlfn.XLOOKUP(A:A,Sheet1!A:A,Sheet1!F:F)</f>
        <v>24</v>
      </c>
      <c r="E647" s="2" t="str">
        <f>_xlfn.XLOOKUP(A:A,Sheet1!A:A,Sheet1!G:G)</f>
        <v>South Africa</v>
      </c>
      <c r="F647" s="8" t="str">
        <f>_xlfn.XLOOKUP(A:A,Sheet1!A:A,Sheet1!H:H)</f>
        <v>Afrikaans</v>
      </c>
      <c r="G647" s="8" t="str">
        <f>_xlfn.XLOOKUP(A:A,Sheet1!A:A,Sheet1!I:I)</f>
        <v>Data Analysis</v>
      </c>
      <c r="H647" s="8">
        <f>_xlfn.XLOOKUP(A:A,Sheet1!A:A,Sheet1!K:K)</f>
        <v>2</v>
      </c>
      <c r="I647" s="9">
        <f>_xlfn.XLOOKUP(A:A,Sheet1!A:A,Sheet1!M:M)</f>
        <v>100</v>
      </c>
      <c r="J647" s="10">
        <f>_xlfn.XLOOKUP(A:A,Sheet1!A:A,Sheet1!O:O)</f>
        <v>3.8</v>
      </c>
      <c r="K647" t="str">
        <f>_xlfn.XLOOKUP(A:A,Sheet1!A:A,Sheet1!P:P)</f>
        <v>Yes</v>
      </c>
      <c r="L647" s="12">
        <f>_xlfn.XLOOKUP(A:A,Sheet1!A:A,Sheet1!S:S)</f>
        <v>0.71</v>
      </c>
    </row>
    <row r="648" spans="1:12" x14ac:dyDescent="0.35">
      <c r="A648" s="8" t="s">
        <v>1320</v>
      </c>
      <c r="B648" s="2" t="str">
        <f>_xlfn.XLOOKUP(A648,Sheet1!A:A,Sheet1!B:B)</f>
        <v>Brandon Newman</v>
      </c>
      <c r="C648" s="2" t="str">
        <f>_xlfn.XLOOKUP(A:A,Sheet1!A:A,Sheet1!D:D)</f>
        <v>Male</v>
      </c>
      <c r="D648" s="8">
        <f>_xlfn.XLOOKUP(A:A,Sheet1!A:A,Sheet1!F:F)</f>
        <v>41</v>
      </c>
      <c r="E648" s="2" t="str">
        <f>_xlfn.XLOOKUP(A:A,Sheet1!A:A,Sheet1!G:G)</f>
        <v>India</v>
      </c>
      <c r="F648" s="8" t="str">
        <f>_xlfn.XLOOKUP(A:A,Sheet1!A:A,Sheet1!H:H)</f>
        <v>Hindi</v>
      </c>
      <c r="G648" s="8" t="str">
        <f>_xlfn.XLOOKUP(A:A,Sheet1!A:A,Sheet1!I:I)</f>
        <v>Cybersecurity</v>
      </c>
      <c r="H648" s="8">
        <f>_xlfn.XLOOKUP(A:A,Sheet1!A:A,Sheet1!K:K)</f>
        <v>9</v>
      </c>
      <c r="I648" s="9">
        <f>_xlfn.XLOOKUP(A:A,Sheet1!A:A,Sheet1!M:M)</f>
        <v>100</v>
      </c>
      <c r="J648" s="10">
        <f>_xlfn.XLOOKUP(A:A,Sheet1!A:A,Sheet1!O:O)</f>
        <v>4.8</v>
      </c>
      <c r="K648" t="str">
        <f>_xlfn.XLOOKUP(A:A,Sheet1!A:A,Sheet1!P:P)</f>
        <v>Yes</v>
      </c>
      <c r="L648" s="12">
        <f>_xlfn.XLOOKUP(A:A,Sheet1!A:A,Sheet1!S:S)</f>
        <v>0.72</v>
      </c>
    </row>
    <row r="649" spans="1:12" x14ac:dyDescent="0.35">
      <c r="A649" s="8" t="s">
        <v>1322</v>
      </c>
      <c r="B649" s="2" t="str">
        <f>_xlfn.XLOOKUP(A649,Sheet1!A:A,Sheet1!B:B)</f>
        <v>Katie Hensley</v>
      </c>
      <c r="C649" s="2" t="str">
        <f>_xlfn.XLOOKUP(A:A,Sheet1!A:A,Sheet1!D:D)</f>
        <v>Female</v>
      </c>
      <c r="D649" s="8">
        <f>_xlfn.XLOOKUP(A:A,Sheet1!A:A,Sheet1!F:F)</f>
        <v>50</v>
      </c>
      <c r="E649" s="2" t="str">
        <f>_xlfn.XLOOKUP(A:A,Sheet1!A:A,Sheet1!G:G)</f>
        <v>Germany</v>
      </c>
      <c r="F649" s="8" t="str">
        <f>_xlfn.XLOOKUP(A:A,Sheet1!A:A,Sheet1!H:H)</f>
        <v>German</v>
      </c>
      <c r="G649" s="8" t="str">
        <f>_xlfn.XLOOKUP(A:A,Sheet1!A:A,Sheet1!I:I)</f>
        <v>DevOps</v>
      </c>
      <c r="H649" s="8">
        <f>_xlfn.XLOOKUP(A:A,Sheet1!A:A,Sheet1!K:K)</f>
        <v>10</v>
      </c>
      <c r="I649" s="9">
        <f>_xlfn.XLOOKUP(A:A,Sheet1!A:A,Sheet1!M:M)</f>
        <v>100</v>
      </c>
      <c r="J649" s="10">
        <f>_xlfn.XLOOKUP(A:A,Sheet1!A:A,Sheet1!O:O)</f>
        <v>4.3</v>
      </c>
      <c r="K649" t="str">
        <f>_xlfn.XLOOKUP(A:A,Sheet1!A:A,Sheet1!P:P)</f>
        <v>No</v>
      </c>
      <c r="L649" s="12">
        <f>_xlfn.XLOOKUP(A:A,Sheet1!A:A,Sheet1!S:S)</f>
        <v>0.93</v>
      </c>
    </row>
    <row r="650" spans="1:12" x14ac:dyDescent="0.35">
      <c r="A650" s="8" t="s">
        <v>1324</v>
      </c>
      <c r="B650" s="2" t="str">
        <f>_xlfn.XLOOKUP(A650,Sheet1!A:A,Sheet1!B:B)</f>
        <v>Joel Randolph</v>
      </c>
      <c r="C650" s="2" t="str">
        <f>_xlfn.XLOOKUP(A:A,Sheet1!A:A,Sheet1!D:D)</f>
        <v>Male</v>
      </c>
      <c r="D650" s="8">
        <f>_xlfn.XLOOKUP(A:A,Sheet1!A:A,Sheet1!F:F)</f>
        <v>46</v>
      </c>
      <c r="E650" s="2" t="str">
        <f>_xlfn.XLOOKUP(A:A,Sheet1!A:A,Sheet1!G:G)</f>
        <v>Brazil</v>
      </c>
      <c r="F650" s="8" t="str">
        <f>_xlfn.XLOOKUP(A:A,Sheet1!A:A,Sheet1!H:H)</f>
        <v>Portuguese</v>
      </c>
      <c r="G650" s="8" t="str">
        <f>_xlfn.XLOOKUP(A:A,Sheet1!A:A,Sheet1!I:I)</f>
        <v>Machine Learning</v>
      </c>
      <c r="H650" s="8">
        <f>_xlfn.XLOOKUP(A:A,Sheet1!A:A,Sheet1!K:K)</f>
        <v>20</v>
      </c>
      <c r="I650" s="9">
        <f>_xlfn.XLOOKUP(A:A,Sheet1!A:A,Sheet1!M:M)</f>
        <v>40</v>
      </c>
      <c r="J650" s="10">
        <f>_xlfn.XLOOKUP(A:A,Sheet1!A:A,Sheet1!O:O)</f>
        <v>4.8</v>
      </c>
      <c r="K650" t="str">
        <f>_xlfn.XLOOKUP(A:A,Sheet1!A:A,Sheet1!P:P)</f>
        <v>Yes</v>
      </c>
      <c r="L650" s="12">
        <f>_xlfn.XLOOKUP(A:A,Sheet1!A:A,Sheet1!S:S)</f>
        <v>0.82</v>
      </c>
    </row>
    <row r="651" spans="1:12" x14ac:dyDescent="0.35">
      <c r="A651" s="8" t="s">
        <v>1326</v>
      </c>
      <c r="B651" s="2" t="str">
        <f>_xlfn.XLOOKUP(A651,Sheet1!A:A,Sheet1!B:B)</f>
        <v>Andrew Scott</v>
      </c>
      <c r="C651" s="2" t="str">
        <f>_xlfn.XLOOKUP(A:A,Sheet1!A:A,Sheet1!D:D)</f>
        <v>Male</v>
      </c>
      <c r="D651" s="8">
        <f>_xlfn.XLOOKUP(A:A,Sheet1!A:A,Sheet1!F:F)</f>
        <v>51</v>
      </c>
      <c r="E651" s="2" t="str">
        <f>_xlfn.XLOOKUP(A:A,Sheet1!A:A,Sheet1!G:G)</f>
        <v>Australia</v>
      </c>
      <c r="F651" s="8" t="str">
        <f>_xlfn.XLOOKUP(A:A,Sheet1!A:A,Sheet1!H:H)</f>
        <v>English</v>
      </c>
      <c r="G651" s="8" t="str">
        <f>_xlfn.XLOOKUP(A:A,Sheet1!A:A,Sheet1!I:I)</f>
        <v>Cybersecurity</v>
      </c>
      <c r="H651" s="8">
        <f>_xlfn.XLOOKUP(A:A,Sheet1!A:A,Sheet1!K:K)</f>
        <v>9</v>
      </c>
      <c r="I651" s="9">
        <f>_xlfn.XLOOKUP(A:A,Sheet1!A:A,Sheet1!M:M)</f>
        <v>40</v>
      </c>
      <c r="J651" s="10">
        <f>_xlfn.XLOOKUP(A:A,Sheet1!A:A,Sheet1!O:O)</f>
        <v>2.5125695216907653</v>
      </c>
      <c r="K651" t="str">
        <f>_xlfn.XLOOKUP(A:A,Sheet1!A:A,Sheet1!P:P)</f>
        <v>No</v>
      </c>
      <c r="L651" s="12">
        <f>_xlfn.XLOOKUP(A:A,Sheet1!A:A,Sheet1!S:S)</f>
        <v>0.6</v>
      </c>
    </row>
    <row r="652" spans="1:12" x14ac:dyDescent="0.35">
      <c r="A652" s="8" t="s">
        <v>1328</v>
      </c>
      <c r="B652" s="2" t="str">
        <f>_xlfn.XLOOKUP(A652,Sheet1!A:A,Sheet1!B:B)</f>
        <v>Zachary Ochoa</v>
      </c>
      <c r="C652" s="2" t="str">
        <f>_xlfn.XLOOKUP(A:A,Sheet1!A:A,Sheet1!D:D)</f>
        <v>Male</v>
      </c>
      <c r="D652" s="8">
        <f>_xlfn.XLOOKUP(A:A,Sheet1!A:A,Sheet1!F:F)</f>
        <v>51</v>
      </c>
      <c r="E652" s="2" t="str">
        <f>_xlfn.XLOOKUP(A:A,Sheet1!A:A,Sheet1!G:G)</f>
        <v>United Kingdom</v>
      </c>
      <c r="F652" s="8" t="str">
        <f>_xlfn.XLOOKUP(A:A,Sheet1!A:A,Sheet1!H:H)</f>
        <v>English</v>
      </c>
      <c r="G652" s="8" t="str">
        <f>_xlfn.XLOOKUP(A:A,Sheet1!A:A,Sheet1!I:I)</f>
        <v>AI</v>
      </c>
      <c r="H652" s="8">
        <f>_xlfn.XLOOKUP(A:A,Sheet1!A:A,Sheet1!K:K)</f>
        <v>12</v>
      </c>
      <c r="I652" s="9">
        <f>_xlfn.XLOOKUP(A:A,Sheet1!A:A,Sheet1!M:M)</f>
        <v>20</v>
      </c>
      <c r="J652" s="10">
        <f>_xlfn.XLOOKUP(A:A,Sheet1!A:A,Sheet1!O:O)</f>
        <v>4</v>
      </c>
      <c r="K652" t="str">
        <f>_xlfn.XLOOKUP(A:A,Sheet1!A:A,Sheet1!P:P)</f>
        <v>No</v>
      </c>
      <c r="L652" s="12">
        <f>_xlfn.XLOOKUP(A:A,Sheet1!A:A,Sheet1!S:S)</f>
        <v>0.93</v>
      </c>
    </row>
    <row r="653" spans="1:12" x14ac:dyDescent="0.35">
      <c r="A653" s="8" t="s">
        <v>1330</v>
      </c>
      <c r="B653" s="2" t="str">
        <f>_xlfn.XLOOKUP(A653,Sheet1!A:A,Sheet1!B:B)</f>
        <v>John Arroyo</v>
      </c>
      <c r="C653" s="2" t="str">
        <f>_xlfn.XLOOKUP(A:A,Sheet1!A:A,Sheet1!D:D)</f>
        <v>Male</v>
      </c>
      <c r="D653" s="8">
        <f>_xlfn.XLOOKUP(A:A,Sheet1!A:A,Sheet1!F:F)</f>
        <v>27</v>
      </c>
      <c r="E653" s="2" t="str">
        <f>_xlfn.XLOOKUP(A:A,Sheet1!A:A,Sheet1!G:G)</f>
        <v>United Kingdom</v>
      </c>
      <c r="F653" s="8" t="str">
        <f>_xlfn.XLOOKUP(A:A,Sheet1!A:A,Sheet1!H:H)</f>
        <v>English</v>
      </c>
      <c r="G653" s="8" t="str">
        <f>_xlfn.XLOOKUP(A:A,Sheet1!A:A,Sheet1!I:I)</f>
        <v>AI</v>
      </c>
      <c r="H653" s="8">
        <f>_xlfn.XLOOKUP(A:A,Sheet1!A:A,Sheet1!K:K)</f>
        <v>3</v>
      </c>
      <c r="I653" s="9">
        <f>_xlfn.XLOOKUP(A:A,Sheet1!A:A,Sheet1!M:M)</f>
        <v>50</v>
      </c>
      <c r="J653" s="10">
        <f>_xlfn.XLOOKUP(A:A,Sheet1!A:A,Sheet1!O:O)</f>
        <v>2.5125695216907653</v>
      </c>
      <c r="K653" t="str">
        <f>_xlfn.XLOOKUP(A:A,Sheet1!A:A,Sheet1!P:P)</f>
        <v>No</v>
      </c>
      <c r="L653" s="12">
        <f>_xlfn.XLOOKUP(A:A,Sheet1!A:A,Sheet1!S:S)</f>
        <v>0.79269417475728277</v>
      </c>
    </row>
    <row r="654" spans="1:12" x14ac:dyDescent="0.35">
      <c r="A654" s="8" t="s">
        <v>1332</v>
      </c>
      <c r="B654" s="2" t="str">
        <f>_xlfn.XLOOKUP(A654,Sheet1!A:A,Sheet1!B:B)</f>
        <v>Matthew Fernandez</v>
      </c>
      <c r="C654" s="2" t="str">
        <f>_xlfn.XLOOKUP(A:A,Sheet1!A:A,Sheet1!D:D)</f>
        <v>Male</v>
      </c>
      <c r="D654" s="8">
        <f>_xlfn.XLOOKUP(A:A,Sheet1!A:A,Sheet1!F:F)</f>
        <v>42</v>
      </c>
      <c r="E654" s="2" t="str">
        <f>_xlfn.XLOOKUP(A:A,Sheet1!A:A,Sheet1!G:G)</f>
        <v>Spain</v>
      </c>
      <c r="F654" s="8" t="str">
        <f>_xlfn.XLOOKUP(A:A,Sheet1!A:A,Sheet1!H:H)</f>
        <v>Spanish</v>
      </c>
      <c r="G654" s="8" t="str">
        <f>_xlfn.XLOOKUP(A:A,Sheet1!A:A,Sheet1!I:I)</f>
        <v>Web Development</v>
      </c>
      <c r="H654" s="8">
        <f>_xlfn.XLOOKUP(A:A,Sheet1!A:A,Sheet1!K:K)</f>
        <v>13</v>
      </c>
      <c r="I654" s="9">
        <f>_xlfn.XLOOKUP(A:A,Sheet1!A:A,Sheet1!M:M)</f>
        <v>30</v>
      </c>
      <c r="J654" s="11">
        <v>0</v>
      </c>
      <c r="K654" t="str">
        <f>_xlfn.XLOOKUP(A:A,Sheet1!A:A,Sheet1!P:P)</f>
        <v>No</v>
      </c>
      <c r="L654" s="12">
        <f>_xlfn.XLOOKUP(A:A,Sheet1!A:A,Sheet1!S:S)</f>
        <v>0.74</v>
      </c>
    </row>
    <row r="655" spans="1:12" x14ac:dyDescent="0.35">
      <c r="A655" s="8" t="s">
        <v>1334</v>
      </c>
      <c r="B655" s="2" t="str">
        <f>_xlfn.XLOOKUP(A655,Sheet1!A:A,Sheet1!B:B)</f>
        <v>Benjamin Stark</v>
      </c>
      <c r="C655" s="2" t="str">
        <f>_xlfn.XLOOKUP(A:A,Sheet1!A:A,Sheet1!D:D)</f>
        <v>Male</v>
      </c>
      <c r="D655" s="8">
        <f>_xlfn.XLOOKUP(A:A,Sheet1!A:A,Sheet1!F:F)</f>
        <v>25</v>
      </c>
      <c r="E655" s="2" t="str">
        <f>_xlfn.XLOOKUP(A:A,Sheet1!A:A,Sheet1!G:G)</f>
        <v>Germany</v>
      </c>
      <c r="F655" s="8" t="str">
        <f>_xlfn.XLOOKUP(A:A,Sheet1!A:A,Sheet1!H:H)</f>
        <v>German</v>
      </c>
      <c r="G655" s="8" t="str">
        <f>_xlfn.XLOOKUP(A:A,Sheet1!A:A,Sheet1!I:I)</f>
        <v>UI/UX Design</v>
      </c>
      <c r="H655" s="8">
        <f>_xlfn.XLOOKUP(A:A,Sheet1!A:A,Sheet1!K:K)</f>
        <v>4</v>
      </c>
      <c r="I655" s="9">
        <f>_xlfn.XLOOKUP(A:A,Sheet1!A:A,Sheet1!M:M)</f>
        <v>40</v>
      </c>
      <c r="J655" s="10">
        <f>_xlfn.XLOOKUP(A:A,Sheet1!A:A,Sheet1!O:O)</f>
        <v>2.2999999999999998</v>
      </c>
      <c r="K655" t="str">
        <f>_xlfn.XLOOKUP(A:A,Sheet1!A:A,Sheet1!P:P)</f>
        <v>Yes</v>
      </c>
      <c r="L655" s="12">
        <f>_xlfn.XLOOKUP(A:A,Sheet1!A:A,Sheet1!S:S)</f>
        <v>0.73</v>
      </c>
    </row>
    <row r="656" spans="1:12" x14ac:dyDescent="0.35">
      <c r="A656" s="8" t="s">
        <v>1336</v>
      </c>
      <c r="B656" s="2" t="str">
        <f>_xlfn.XLOOKUP(A656,Sheet1!A:A,Sheet1!B:B)</f>
        <v>Tammy Greer</v>
      </c>
      <c r="C656" s="2" t="str">
        <f>_xlfn.XLOOKUP(A:A,Sheet1!A:A,Sheet1!D:D)</f>
        <v>Female</v>
      </c>
      <c r="D656" s="8">
        <f>_xlfn.XLOOKUP(A:A,Sheet1!A:A,Sheet1!F:F)</f>
        <v>32</v>
      </c>
      <c r="E656" s="2" t="str">
        <f>_xlfn.XLOOKUP(A:A,Sheet1!A:A,Sheet1!G:G)</f>
        <v>Germany</v>
      </c>
      <c r="F656" s="8" t="str">
        <f>_xlfn.XLOOKUP(A:A,Sheet1!A:A,Sheet1!H:H)</f>
        <v>German</v>
      </c>
      <c r="G656" s="8" t="str">
        <f>_xlfn.XLOOKUP(A:A,Sheet1!A:A,Sheet1!I:I)</f>
        <v>Data Analysis</v>
      </c>
      <c r="H656" s="8">
        <f>_xlfn.XLOOKUP(A:A,Sheet1!A:A,Sheet1!K:K)</f>
        <v>9</v>
      </c>
      <c r="I656" s="9">
        <f>_xlfn.XLOOKUP(A:A,Sheet1!A:A,Sheet1!M:M)</f>
        <v>75</v>
      </c>
      <c r="J656" s="10">
        <f>_xlfn.XLOOKUP(A:A,Sheet1!A:A,Sheet1!O:O)</f>
        <v>2.5125695216907653</v>
      </c>
      <c r="K656" t="str">
        <f>_xlfn.XLOOKUP(A:A,Sheet1!A:A,Sheet1!P:P)</f>
        <v>No</v>
      </c>
      <c r="L656" s="12">
        <f>_xlfn.XLOOKUP(A:A,Sheet1!A:A,Sheet1!S:S)</f>
        <v>0.96</v>
      </c>
    </row>
    <row r="657" spans="1:12" x14ac:dyDescent="0.35">
      <c r="A657" s="8" t="s">
        <v>1338</v>
      </c>
      <c r="B657" s="2" t="str">
        <f>_xlfn.XLOOKUP(A657,Sheet1!A:A,Sheet1!B:B)</f>
        <v>Cynthia Mckinney</v>
      </c>
      <c r="C657" s="2" t="str">
        <f>_xlfn.XLOOKUP(A:A,Sheet1!A:A,Sheet1!D:D)</f>
        <v>Female</v>
      </c>
      <c r="D657" s="8">
        <f>_xlfn.XLOOKUP(A:A,Sheet1!A:A,Sheet1!F:F)</f>
        <v>59</v>
      </c>
      <c r="E657" s="2" t="str">
        <f>_xlfn.XLOOKUP(A:A,Sheet1!A:A,Sheet1!G:G)</f>
        <v>Canada</v>
      </c>
      <c r="F657" s="8" t="str">
        <f>_xlfn.XLOOKUP(A:A,Sheet1!A:A,Sheet1!H:H)</f>
        <v>English</v>
      </c>
      <c r="G657" s="8" t="str">
        <f>_xlfn.XLOOKUP(A:A,Sheet1!A:A,Sheet1!I:I)</f>
        <v>Graphic Design</v>
      </c>
      <c r="H657" s="8">
        <f>_xlfn.XLOOKUP(A:A,Sheet1!A:A,Sheet1!K:K)</f>
        <v>14</v>
      </c>
      <c r="I657" s="9">
        <f>_xlfn.XLOOKUP(A:A,Sheet1!A:A,Sheet1!M:M)</f>
        <v>30</v>
      </c>
      <c r="J657" s="10">
        <f>_xlfn.XLOOKUP(A:A,Sheet1!A:A,Sheet1!O:O)</f>
        <v>3.8</v>
      </c>
      <c r="K657" t="str">
        <f>_xlfn.XLOOKUP(A:A,Sheet1!A:A,Sheet1!P:P)</f>
        <v>No</v>
      </c>
      <c r="L657" s="12">
        <f>_xlfn.XLOOKUP(A:A,Sheet1!A:A,Sheet1!S:S)</f>
        <v>0.66</v>
      </c>
    </row>
    <row r="658" spans="1:12" x14ac:dyDescent="0.35">
      <c r="A658" s="8" t="s">
        <v>1340</v>
      </c>
      <c r="B658" s="2" t="str">
        <f>_xlfn.XLOOKUP(A658,Sheet1!A:A,Sheet1!B:B)</f>
        <v>Wendy Rice</v>
      </c>
      <c r="C658" s="2" t="str">
        <f>_xlfn.XLOOKUP(A:A,Sheet1!A:A,Sheet1!D:D)</f>
        <v>Female</v>
      </c>
      <c r="D658" s="8">
        <f>_xlfn.XLOOKUP(A:A,Sheet1!A:A,Sheet1!F:F)</f>
        <v>59</v>
      </c>
      <c r="E658" s="2" t="str">
        <f>_xlfn.XLOOKUP(A:A,Sheet1!A:A,Sheet1!G:G)</f>
        <v>France</v>
      </c>
      <c r="F658" s="8" t="str">
        <f>_xlfn.XLOOKUP(A:A,Sheet1!A:A,Sheet1!H:H)</f>
        <v>French</v>
      </c>
      <c r="G658" s="8" t="str">
        <f>_xlfn.XLOOKUP(A:A,Sheet1!A:A,Sheet1!I:I)</f>
        <v>Cybersecurity</v>
      </c>
      <c r="H658" s="8">
        <f>_xlfn.XLOOKUP(A:A,Sheet1!A:A,Sheet1!K:K)</f>
        <v>37</v>
      </c>
      <c r="I658" s="9">
        <f>_xlfn.XLOOKUP(A:A,Sheet1!A:A,Sheet1!M:M)</f>
        <v>30</v>
      </c>
      <c r="J658" s="10">
        <f>_xlfn.XLOOKUP(A:A,Sheet1!A:A,Sheet1!O:O)</f>
        <v>4</v>
      </c>
      <c r="K658" t="str">
        <f>_xlfn.XLOOKUP(A:A,Sheet1!A:A,Sheet1!P:P)</f>
        <v>No</v>
      </c>
      <c r="L658" s="12">
        <f>_xlfn.XLOOKUP(A:A,Sheet1!A:A,Sheet1!S:S)</f>
        <v>0.62</v>
      </c>
    </row>
    <row r="659" spans="1:12" x14ac:dyDescent="0.35">
      <c r="A659" s="8" t="s">
        <v>1342</v>
      </c>
      <c r="B659" s="2" t="str">
        <f>_xlfn.XLOOKUP(A659,Sheet1!A:A,Sheet1!B:B)</f>
        <v>Randy Bender</v>
      </c>
      <c r="C659" s="2" t="str">
        <f>_xlfn.XLOOKUP(A:A,Sheet1!A:A,Sheet1!D:D)</f>
        <v>Male</v>
      </c>
      <c r="D659" s="8">
        <f>_xlfn.XLOOKUP(A:A,Sheet1!A:A,Sheet1!F:F)</f>
        <v>29</v>
      </c>
      <c r="E659" s="2" t="str">
        <f>_xlfn.XLOOKUP(A:A,Sheet1!A:A,Sheet1!G:G)</f>
        <v>Germany</v>
      </c>
      <c r="F659" s="8" t="str">
        <f>_xlfn.XLOOKUP(A:A,Sheet1!A:A,Sheet1!H:H)</f>
        <v>German</v>
      </c>
      <c r="G659" s="8" t="str">
        <f>_xlfn.XLOOKUP(A:A,Sheet1!A:A,Sheet1!I:I)</f>
        <v>Graphic Design</v>
      </c>
      <c r="H659" s="8">
        <f>_xlfn.XLOOKUP(A:A,Sheet1!A:A,Sheet1!K:K)</f>
        <v>2</v>
      </c>
      <c r="I659" s="9">
        <f>_xlfn.XLOOKUP(A:A,Sheet1!A:A,Sheet1!M:M)</f>
        <v>75</v>
      </c>
      <c r="J659" s="10">
        <f>_xlfn.XLOOKUP(A:A,Sheet1!A:A,Sheet1!O:O)</f>
        <v>2.2000000000000002</v>
      </c>
      <c r="K659" t="str">
        <f>_xlfn.XLOOKUP(A:A,Sheet1!A:A,Sheet1!P:P)</f>
        <v>Yes</v>
      </c>
      <c r="L659" s="12">
        <f>_xlfn.XLOOKUP(A:A,Sheet1!A:A,Sheet1!S:S)</f>
        <v>0.85</v>
      </c>
    </row>
    <row r="660" spans="1:12" x14ac:dyDescent="0.35">
      <c r="A660" s="8" t="s">
        <v>1344</v>
      </c>
      <c r="B660" s="2" t="str">
        <f>_xlfn.XLOOKUP(A660,Sheet1!A:A,Sheet1!B:B)</f>
        <v>Richard Dominguez</v>
      </c>
      <c r="C660" s="2" t="str">
        <f>_xlfn.XLOOKUP(A:A,Sheet1!A:A,Sheet1!D:D)</f>
        <v>Male</v>
      </c>
      <c r="D660" s="8">
        <f>_xlfn.XLOOKUP(A:A,Sheet1!A:A,Sheet1!F:F)</f>
        <v>58</v>
      </c>
      <c r="E660" s="2" t="str">
        <f>_xlfn.XLOOKUP(A:A,Sheet1!A:A,Sheet1!G:G)</f>
        <v>China</v>
      </c>
      <c r="F660" s="8" t="str">
        <f>_xlfn.XLOOKUP(A:A,Sheet1!A:A,Sheet1!H:H)</f>
        <v>Mandarin</v>
      </c>
      <c r="G660" s="8" t="str">
        <f>_xlfn.XLOOKUP(A:A,Sheet1!A:A,Sheet1!I:I)</f>
        <v>AI</v>
      </c>
      <c r="H660" s="8">
        <f>_xlfn.XLOOKUP(A:A,Sheet1!A:A,Sheet1!K:K)</f>
        <v>11</v>
      </c>
      <c r="I660" s="9">
        <f>_xlfn.XLOOKUP(A:A,Sheet1!A:A,Sheet1!M:M)</f>
        <v>100</v>
      </c>
      <c r="J660" s="10">
        <f>_xlfn.XLOOKUP(A:A,Sheet1!A:A,Sheet1!O:O)</f>
        <v>4.3</v>
      </c>
      <c r="K660" t="str">
        <f>_xlfn.XLOOKUP(A:A,Sheet1!A:A,Sheet1!P:P)</f>
        <v>No</v>
      </c>
      <c r="L660" s="12">
        <f>_xlfn.XLOOKUP(A:A,Sheet1!A:A,Sheet1!S:S)</f>
        <v>0.66</v>
      </c>
    </row>
    <row r="661" spans="1:12" x14ac:dyDescent="0.35">
      <c r="A661" s="8" t="s">
        <v>1346</v>
      </c>
      <c r="B661" s="2" t="str">
        <f>_xlfn.XLOOKUP(A661,Sheet1!A:A,Sheet1!B:B)</f>
        <v>Melissa Maldonado</v>
      </c>
      <c r="C661" s="2" t="str">
        <f>_xlfn.XLOOKUP(A:A,Sheet1!A:A,Sheet1!D:D)</f>
        <v>Female</v>
      </c>
      <c r="D661" s="8">
        <f>_xlfn.XLOOKUP(A:A,Sheet1!A:A,Sheet1!F:F)</f>
        <v>56</v>
      </c>
      <c r="E661" s="2" t="str">
        <f>_xlfn.XLOOKUP(A:A,Sheet1!A:A,Sheet1!G:G)</f>
        <v>Canada</v>
      </c>
      <c r="F661" s="8" t="str">
        <f>_xlfn.XLOOKUP(A:A,Sheet1!A:A,Sheet1!H:H)</f>
        <v>English</v>
      </c>
      <c r="G661" s="8" t="str">
        <f>_xlfn.XLOOKUP(A:A,Sheet1!A:A,Sheet1!I:I)</f>
        <v>Cybersecurity</v>
      </c>
      <c r="H661" s="8">
        <f>_xlfn.XLOOKUP(A:A,Sheet1!A:A,Sheet1!K:K)</f>
        <v>19</v>
      </c>
      <c r="I661" s="9">
        <f>_xlfn.XLOOKUP(A:A,Sheet1!A:A,Sheet1!M:M)</f>
        <v>20</v>
      </c>
      <c r="J661" s="11">
        <v>0</v>
      </c>
      <c r="K661" t="str">
        <f>_xlfn.XLOOKUP(A:A,Sheet1!A:A,Sheet1!P:P)</f>
        <v>No</v>
      </c>
      <c r="L661" s="12">
        <f>_xlfn.XLOOKUP(A:A,Sheet1!A:A,Sheet1!S:S)</f>
        <v>0.87</v>
      </c>
    </row>
    <row r="662" spans="1:12" x14ac:dyDescent="0.35">
      <c r="A662" s="8" t="s">
        <v>1348</v>
      </c>
      <c r="B662" s="2" t="str">
        <f>_xlfn.XLOOKUP(A662,Sheet1!A:A,Sheet1!B:B)</f>
        <v>Leah Harris</v>
      </c>
      <c r="C662" s="2" t="str">
        <f>_xlfn.XLOOKUP(A:A,Sheet1!A:A,Sheet1!D:D)</f>
        <v>Female</v>
      </c>
      <c r="D662" s="8">
        <f>_xlfn.XLOOKUP(A:A,Sheet1!A:A,Sheet1!F:F)</f>
        <v>36</v>
      </c>
      <c r="E662" s="2" t="str">
        <f>_xlfn.XLOOKUP(A:A,Sheet1!A:A,Sheet1!G:G)</f>
        <v>United States</v>
      </c>
      <c r="F662" s="8" t="str">
        <f>_xlfn.XLOOKUP(A:A,Sheet1!A:A,Sheet1!H:H)</f>
        <v>English</v>
      </c>
      <c r="G662" s="8" t="str">
        <f>_xlfn.XLOOKUP(A:A,Sheet1!A:A,Sheet1!I:I)</f>
        <v>Machine Learning</v>
      </c>
      <c r="H662" s="8">
        <f>_xlfn.XLOOKUP(A:A,Sheet1!A:A,Sheet1!K:K)</f>
        <v>9</v>
      </c>
      <c r="I662" s="9">
        <f>_xlfn.XLOOKUP(A:A,Sheet1!A:A,Sheet1!M:M)</f>
        <v>20</v>
      </c>
      <c r="J662" s="11">
        <v>0</v>
      </c>
      <c r="K662" t="str">
        <f>_xlfn.XLOOKUP(A:A,Sheet1!A:A,Sheet1!P:P)</f>
        <v>Yes</v>
      </c>
      <c r="L662" s="12">
        <f>_xlfn.XLOOKUP(A:A,Sheet1!A:A,Sheet1!S:S)</f>
        <v>0.68</v>
      </c>
    </row>
    <row r="663" spans="1:12" x14ac:dyDescent="0.35">
      <c r="A663" s="8" t="s">
        <v>1350</v>
      </c>
      <c r="B663" s="2" t="str">
        <f>_xlfn.XLOOKUP(A663,Sheet1!A:A,Sheet1!B:B)</f>
        <v>Lynn French</v>
      </c>
      <c r="C663" s="2" t="str">
        <f>_xlfn.XLOOKUP(A:A,Sheet1!A:A,Sheet1!D:D)</f>
        <v>Female</v>
      </c>
      <c r="D663" s="8">
        <f>_xlfn.XLOOKUP(A:A,Sheet1!A:A,Sheet1!F:F)</f>
        <v>52</v>
      </c>
      <c r="E663" s="2" t="str">
        <f>_xlfn.XLOOKUP(A:A,Sheet1!A:A,Sheet1!G:G)</f>
        <v>Canada</v>
      </c>
      <c r="F663" s="8" t="str">
        <f>_xlfn.XLOOKUP(A:A,Sheet1!A:A,Sheet1!H:H)</f>
        <v>English</v>
      </c>
      <c r="G663" s="8" t="str">
        <f>_xlfn.XLOOKUP(A:A,Sheet1!A:A,Sheet1!I:I)</f>
        <v>UI/UX Design</v>
      </c>
      <c r="H663" s="8">
        <f>_xlfn.XLOOKUP(A:A,Sheet1!A:A,Sheet1!K:K)</f>
        <v>16</v>
      </c>
      <c r="I663" s="9">
        <f>_xlfn.XLOOKUP(A:A,Sheet1!A:A,Sheet1!M:M)</f>
        <v>100</v>
      </c>
      <c r="J663" s="10">
        <f>_xlfn.XLOOKUP(A:A,Sheet1!A:A,Sheet1!O:O)</f>
        <v>4</v>
      </c>
      <c r="K663" t="str">
        <f>_xlfn.XLOOKUP(A:A,Sheet1!A:A,Sheet1!P:P)</f>
        <v>Yes</v>
      </c>
      <c r="L663" s="12">
        <f>_xlfn.XLOOKUP(A:A,Sheet1!A:A,Sheet1!S:S)</f>
        <v>0.79269417475728277</v>
      </c>
    </row>
    <row r="664" spans="1:12" x14ac:dyDescent="0.35">
      <c r="A664" s="8" t="s">
        <v>1352</v>
      </c>
      <c r="B664" s="2" t="str">
        <f>_xlfn.XLOOKUP(A664,Sheet1!A:A,Sheet1!B:B)</f>
        <v>Angela Johnson</v>
      </c>
      <c r="C664" s="2" t="str">
        <f>_xlfn.XLOOKUP(A:A,Sheet1!A:A,Sheet1!D:D)</f>
        <v>Female</v>
      </c>
      <c r="D664" s="8">
        <f>_xlfn.XLOOKUP(A:A,Sheet1!A:A,Sheet1!F:F)</f>
        <v>42</v>
      </c>
      <c r="E664" s="2" t="str">
        <f>_xlfn.XLOOKUP(A:A,Sheet1!A:A,Sheet1!G:G)</f>
        <v>Netherlands</v>
      </c>
      <c r="F664" s="8" t="str">
        <f>_xlfn.XLOOKUP(A:A,Sheet1!A:A,Sheet1!H:H)</f>
        <v>Dutch</v>
      </c>
      <c r="G664" s="8" t="str">
        <f>_xlfn.XLOOKUP(A:A,Sheet1!A:A,Sheet1!I:I)</f>
        <v>Mobile Apps</v>
      </c>
      <c r="H664" s="8">
        <f>_xlfn.XLOOKUP(A:A,Sheet1!A:A,Sheet1!K:K)</f>
        <v>8</v>
      </c>
      <c r="I664" s="9">
        <f>_xlfn.XLOOKUP(A:A,Sheet1!A:A,Sheet1!M:M)</f>
        <v>50</v>
      </c>
      <c r="J664" s="10">
        <f>_xlfn.XLOOKUP(A:A,Sheet1!A:A,Sheet1!O:O)</f>
        <v>2.5125695216907653</v>
      </c>
      <c r="K664" t="str">
        <f>_xlfn.XLOOKUP(A:A,Sheet1!A:A,Sheet1!P:P)</f>
        <v>No</v>
      </c>
      <c r="L664" s="12">
        <f>_xlfn.XLOOKUP(A:A,Sheet1!A:A,Sheet1!S:S)</f>
        <v>0.79269417475728277</v>
      </c>
    </row>
    <row r="665" spans="1:12" x14ac:dyDescent="0.35">
      <c r="A665" s="8" t="s">
        <v>1354</v>
      </c>
      <c r="B665" s="2" t="str">
        <f>_xlfn.XLOOKUP(A665,Sheet1!A:A,Sheet1!B:B)</f>
        <v>Sarah Edwards</v>
      </c>
      <c r="C665" s="2" t="str">
        <f>_xlfn.XLOOKUP(A:A,Sheet1!A:A,Sheet1!D:D)</f>
        <v>Female</v>
      </c>
      <c r="D665" s="8">
        <f>_xlfn.XLOOKUP(A:A,Sheet1!A:A,Sheet1!F:F)</f>
        <v>59</v>
      </c>
      <c r="E665" s="2" t="str">
        <f>_xlfn.XLOOKUP(A:A,Sheet1!A:A,Sheet1!G:G)</f>
        <v>India</v>
      </c>
      <c r="F665" s="8" t="str">
        <f>_xlfn.XLOOKUP(A:A,Sheet1!A:A,Sheet1!H:H)</f>
        <v>Hindi</v>
      </c>
      <c r="G665" s="8" t="str">
        <f>_xlfn.XLOOKUP(A:A,Sheet1!A:A,Sheet1!I:I)</f>
        <v>Mobile Apps</v>
      </c>
      <c r="H665" s="8">
        <f>_xlfn.XLOOKUP(A:A,Sheet1!A:A,Sheet1!K:K)</f>
        <v>34</v>
      </c>
      <c r="I665" s="9">
        <f>_xlfn.XLOOKUP(A:A,Sheet1!A:A,Sheet1!M:M)</f>
        <v>100</v>
      </c>
      <c r="J665" s="10">
        <f>_xlfn.XLOOKUP(A:A,Sheet1!A:A,Sheet1!O:O)</f>
        <v>2</v>
      </c>
      <c r="K665" t="str">
        <f>_xlfn.XLOOKUP(A:A,Sheet1!A:A,Sheet1!P:P)</f>
        <v>Yes</v>
      </c>
      <c r="L665" s="12">
        <f>_xlfn.XLOOKUP(A:A,Sheet1!A:A,Sheet1!S:S)</f>
        <v>0.79</v>
      </c>
    </row>
    <row r="666" spans="1:12" x14ac:dyDescent="0.35">
      <c r="A666" s="8" t="s">
        <v>1356</v>
      </c>
      <c r="B666" s="2" t="str">
        <f>_xlfn.XLOOKUP(A666,Sheet1!A:A,Sheet1!B:B)</f>
        <v>Roy Collins</v>
      </c>
      <c r="C666" s="2" t="str">
        <f>_xlfn.XLOOKUP(A:A,Sheet1!A:A,Sheet1!D:D)</f>
        <v>Male</v>
      </c>
      <c r="D666" s="8">
        <f>_xlfn.XLOOKUP(A:A,Sheet1!A:A,Sheet1!F:F)</f>
        <v>33</v>
      </c>
      <c r="E666" s="2" t="str">
        <f>_xlfn.XLOOKUP(A:A,Sheet1!A:A,Sheet1!G:G)</f>
        <v>Netherlands</v>
      </c>
      <c r="F666" s="8" t="str">
        <f>_xlfn.XLOOKUP(A:A,Sheet1!A:A,Sheet1!H:H)</f>
        <v>Dutch</v>
      </c>
      <c r="G666" s="8" t="str">
        <f>_xlfn.XLOOKUP(A:A,Sheet1!A:A,Sheet1!I:I)</f>
        <v>Mobile Apps</v>
      </c>
      <c r="H666" s="8">
        <f>_xlfn.XLOOKUP(A:A,Sheet1!A:A,Sheet1!K:K)</f>
        <v>5</v>
      </c>
      <c r="I666" s="9">
        <f>_xlfn.XLOOKUP(A:A,Sheet1!A:A,Sheet1!M:M)</f>
        <v>50</v>
      </c>
      <c r="J666" s="10">
        <f>_xlfn.XLOOKUP(A:A,Sheet1!A:A,Sheet1!O:O)</f>
        <v>4.7</v>
      </c>
      <c r="K666" t="str">
        <f>_xlfn.XLOOKUP(A:A,Sheet1!A:A,Sheet1!P:P)</f>
        <v>Yes</v>
      </c>
      <c r="L666" s="12">
        <f>_xlfn.XLOOKUP(A:A,Sheet1!A:A,Sheet1!S:S)</f>
        <v>0.88</v>
      </c>
    </row>
    <row r="667" spans="1:12" x14ac:dyDescent="0.35">
      <c r="A667" s="8" t="s">
        <v>1358</v>
      </c>
      <c r="B667" s="2" t="str">
        <f>_xlfn.XLOOKUP(A667,Sheet1!A:A,Sheet1!B:B)</f>
        <v>Samantha Porter</v>
      </c>
      <c r="C667" s="2" t="str">
        <f>_xlfn.XLOOKUP(A:A,Sheet1!A:A,Sheet1!D:D)</f>
        <v>Female</v>
      </c>
      <c r="D667" s="8">
        <f>_xlfn.XLOOKUP(A:A,Sheet1!A:A,Sheet1!F:F)</f>
        <v>55</v>
      </c>
      <c r="E667" s="2" t="str">
        <f>_xlfn.XLOOKUP(A:A,Sheet1!A:A,Sheet1!G:G)</f>
        <v>Canada</v>
      </c>
      <c r="F667" s="8" t="str">
        <f>_xlfn.XLOOKUP(A:A,Sheet1!A:A,Sheet1!H:H)</f>
        <v>English</v>
      </c>
      <c r="G667" s="8" t="str">
        <f>_xlfn.XLOOKUP(A:A,Sheet1!A:A,Sheet1!I:I)</f>
        <v>Web Development</v>
      </c>
      <c r="H667" s="8">
        <f>_xlfn.XLOOKUP(A:A,Sheet1!A:A,Sheet1!K:K)</f>
        <v>14</v>
      </c>
      <c r="I667" s="9">
        <f>_xlfn.XLOOKUP(A:A,Sheet1!A:A,Sheet1!M:M)</f>
        <v>50</v>
      </c>
      <c r="J667" s="10">
        <f>_xlfn.XLOOKUP(A:A,Sheet1!A:A,Sheet1!O:O)</f>
        <v>3.6</v>
      </c>
      <c r="K667" t="str">
        <f>_xlfn.XLOOKUP(A:A,Sheet1!A:A,Sheet1!P:P)</f>
        <v>Yes</v>
      </c>
      <c r="L667" s="12">
        <f>_xlfn.XLOOKUP(A:A,Sheet1!A:A,Sheet1!S:S)</f>
        <v>0.81</v>
      </c>
    </row>
    <row r="668" spans="1:12" x14ac:dyDescent="0.35">
      <c r="A668" s="8" t="s">
        <v>1360</v>
      </c>
      <c r="B668" s="2" t="str">
        <f>_xlfn.XLOOKUP(A668,Sheet1!A:A,Sheet1!B:B)</f>
        <v>Juan Elliott</v>
      </c>
      <c r="C668" s="2" t="str">
        <f>_xlfn.XLOOKUP(A:A,Sheet1!A:A,Sheet1!D:D)</f>
        <v>Male</v>
      </c>
      <c r="D668" s="8">
        <f>_xlfn.XLOOKUP(A:A,Sheet1!A:A,Sheet1!F:F)</f>
        <v>47</v>
      </c>
      <c r="E668" s="2" t="str">
        <f>_xlfn.XLOOKUP(A:A,Sheet1!A:A,Sheet1!G:G)</f>
        <v>South Korea</v>
      </c>
      <c r="F668" s="8" t="str">
        <f>_xlfn.XLOOKUP(A:A,Sheet1!A:A,Sheet1!H:H)</f>
        <v>Korean</v>
      </c>
      <c r="G668" s="8" t="str">
        <f>_xlfn.XLOOKUP(A:A,Sheet1!A:A,Sheet1!I:I)</f>
        <v>UI/UX Design</v>
      </c>
      <c r="H668" s="8">
        <f>_xlfn.XLOOKUP(A:A,Sheet1!A:A,Sheet1!K:K)</f>
        <v>17</v>
      </c>
      <c r="I668" s="9">
        <f>_xlfn.XLOOKUP(A:A,Sheet1!A:A,Sheet1!M:M)</f>
        <v>50</v>
      </c>
      <c r="J668" s="10">
        <f>_xlfn.XLOOKUP(A:A,Sheet1!A:A,Sheet1!O:O)</f>
        <v>1.2</v>
      </c>
      <c r="K668" t="str">
        <f>_xlfn.XLOOKUP(A:A,Sheet1!A:A,Sheet1!P:P)</f>
        <v>No</v>
      </c>
      <c r="L668" s="12">
        <f>_xlfn.XLOOKUP(A:A,Sheet1!A:A,Sheet1!S:S)</f>
        <v>0.79269417475728277</v>
      </c>
    </row>
    <row r="669" spans="1:12" x14ac:dyDescent="0.35">
      <c r="A669" s="8" t="s">
        <v>1362</v>
      </c>
      <c r="B669" s="2" t="str">
        <f>_xlfn.XLOOKUP(A669,Sheet1!A:A,Sheet1!B:B)</f>
        <v>Elizabeth Phillips</v>
      </c>
      <c r="C669" s="2" t="str">
        <f>_xlfn.XLOOKUP(A:A,Sheet1!A:A,Sheet1!D:D)</f>
        <v>Female</v>
      </c>
      <c r="D669" s="8">
        <f>_xlfn.XLOOKUP(A:A,Sheet1!A:A,Sheet1!F:F)</f>
        <v>29</v>
      </c>
      <c r="E669" s="2" t="str">
        <f>_xlfn.XLOOKUP(A:A,Sheet1!A:A,Sheet1!G:G)</f>
        <v>Mexico</v>
      </c>
      <c r="F669" s="8" t="str">
        <f>_xlfn.XLOOKUP(A:A,Sheet1!A:A,Sheet1!H:H)</f>
        <v>Spanish</v>
      </c>
      <c r="G669" s="8" t="str">
        <f>_xlfn.XLOOKUP(A:A,Sheet1!A:A,Sheet1!I:I)</f>
        <v>AI</v>
      </c>
      <c r="H669" s="8">
        <f>_xlfn.XLOOKUP(A:A,Sheet1!A:A,Sheet1!K:K)</f>
        <v>10</v>
      </c>
      <c r="I669" s="9">
        <f>_xlfn.XLOOKUP(A:A,Sheet1!A:A,Sheet1!M:M)</f>
        <v>40</v>
      </c>
      <c r="J669" s="10">
        <f>_xlfn.XLOOKUP(A:A,Sheet1!A:A,Sheet1!O:O)</f>
        <v>4.4000000000000004</v>
      </c>
      <c r="K669" t="str">
        <f>_xlfn.XLOOKUP(A:A,Sheet1!A:A,Sheet1!P:P)</f>
        <v>Yes</v>
      </c>
      <c r="L669" s="12">
        <f>_xlfn.XLOOKUP(A:A,Sheet1!A:A,Sheet1!S:S)</f>
        <v>0.67</v>
      </c>
    </row>
    <row r="670" spans="1:12" x14ac:dyDescent="0.35">
      <c r="A670" s="8" t="s">
        <v>1364</v>
      </c>
      <c r="B670" s="2" t="str">
        <f>_xlfn.XLOOKUP(A670,Sheet1!A:A,Sheet1!B:B)</f>
        <v>Laura Evans</v>
      </c>
      <c r="C670" s="2" t="str">
        <f>_xlfn.XLOOKUP(A:A,Sheet1!A:A,Sheet1!D:D)</f>
        <v>Female</v>
      </c>
      <c r="D670" s="8">
        <f>_xlfn.XLOOKUP(A:A,Sheet1!A:A,Sheet1!F:F)</f>
        <v>30</v>
      </c>
      <c r="E670" s="2" t="str">
        <f>_xlfn.XLOOKUP(A:A,Sheet1!A:A,Sheet1!G:G)</f>
        <v>United Kingdom</v>
      </c>
      <c r="F670" s="8" t="str">
        <f>_xlfn.XLOOKUP(A:A,Sheet1!A:A,Sheet1!H:H)</f>
        <v>English</v>
      </c>
      <c r="G670" s="8" t="str">
        <f>_xlfn.XLOOKUP(A:A,Sheet1!A:A,Sheet1!I:I)</f>
        <v>DevOps</v>
      </c>
      <c r="H670" s="8">
        <f>_xlfn.XLOOKUP(A:A,Sheet1!A:A,Sheet1!K:K)</f>
        <v>8</v>
      </c>
      <c r="I670" s="9">
        <f>_xlfn.XLOOKUP(A:A,Sheet1!A:A,Sheet1!M:M)</f>
        <v>100</v>
      </c>
      <c r="J670" s="10">
        <f>_xlfn.XLOOKUP(A:A,Sheet1!A:A,Sheet1!O:O)</f>
        <v>1.4</v>
      </c>
      <c r="K670" t="str">
        <f>_xlfn.XLOOKUP(A:A,Sheet1!A:A,Sheet1!P:P)</f>
        <v>Yes</v>
      </c>
      <c r="L670" s="12">
        <f>_xlfn.XLOOKUP(A:A,Sheet1!A:A,Sheet1!S:S)</f>
        <v>0.62</v>
      </c>
    </row>
    <row r="671" spans="1:12" x14ac:dyDescent="0.35">
      <c r="A671" s="8" t="s">
        <v>1366</v>
      </c>
      <c r="B671" s="2" t="str">
        <f>_xlfn.XLOOKUP(A671,Sheet1!A:A,Sheet1!B:B)</f>
        <v>Amanda Mitchell</v>
      </c>
      <c r="C671" s="2" t="str">
        <f>_xlfn.XLOOKUP(A:A,Sheet1!A:A,Sheet1!D:D)</f>
        <v>Female</v>
      </c>
      <c r="D671" s="8">
        <f>_xlfn.XLOOKUP(A:A,Sheet1!A:A,Sheet1!F:F)</f>
        <v>25</v>
      </c>
      <c r="E671" s="2" t="str">
        <f>_xlfn.XLOOKUP(A:A,Sheet1!A:A,Sheet1!G:G)</f>
        <v>Canada</v>
      </c>
      <c r="F671" s="8" t="str">
        <f>_xlfn.XLOOKUP(A:A,Sheet1!A:A,Sheet1!H:H)</f>
        <v>English</v>
      </c>
      <c r="G671" s="8" t="str">
        <f>_xlfn.XLOOKUP(A:A,Sheet1!A:A,Sheet1!I:I)</f>
        <v>DevOps</v>
      </c>
      <c r="H671" s="8">
        <f>_xlfn.XLOOKUP(A:A,Sheet1!A:A,Sheet1!K:K)</f>
        <v>1</v>
      </c>
      <c r="I671" s="9">
        <f>_xlfn.XLOOKUP(A:A,Sheet1!A:A,Sheet1!M:M)</f>
        <v>30</v>
      </c>
      <c r="J671" s="10">
        <f>_xlfn.XLOOKUP(A:A,Sheet1!A:A,Sheet1!O:O)</f>
        <v>3.2</v>
      </c>
      <c r="K671" t="str">
        <f>_xlfn.XLOOKUP(A:A,Sheet1!A:A,Sheet1!P:P)</f>
        <v>No</v>
      </c>
      <c r="L671" s="12">
        <f>_xlfn.XLOOKUP(A:A,Sheet1!A:A,Sheet1!S:S)</f>
        <v>0.87</v>
      </c>
    </row>
    <row r="672" spans="1:12" x14ac:dyDescent="0.35">
      <c r="A672" s="8" t="s">
        <v>1368</v>
      </c>
      <c r="B672" s="2" t="str">
        <f>_xlfn.XLOOKUP(A672,Sheet1!A:A,Sheet1!B:B)</f>
        <v>Sandra Williams</v>
      </c>
      <c r="C672" s="2" t="str">
        <f>_xlfn.XLOOKUP(A:A,Sheet1!A:A,Sheet1!D:D)</f>
        <v>Female</v>
      </c>
      <c r="D672" s="8">
        <f>_xlfn.XLOOKUP(A:A,Sheet1!A:A,Sheet1!F:F)</f>
        <v>28</v>
      </c>
      <c r="E672" s="2" t="str">
        <f>_xlfn.XLOOKUP(A:A,Sheet1!A:A,Sheet1!G:G)</f>
        <v>Egypt</v>
      </c>
      <c r="F672" s="8" t="str">
        <f>_xlfn.XLOOKUP(A:A,Sheet1!A:A,Sheet1!H:H)</f>
        <v>Arabic</v>
      </c>
      <c r="G672" s="8" t="str">
        <f>_xlfn.XLOOKUP(A:A,Sheet1!A:A,Sheet1!I:I)</f>
        <v>Cybersecurity</v>
      </c>
      <c r="H672" s="8">
        <f>_xlfn.XLOOKUP(A:A,Sheet1!A:A,Sheet1!K:K)</f>
        <v>10</v>
      </c>
      <c r="I672" s="9">
        <f>_xlfn.XLOOKUP(A:A,Sheet1!A:A,Sheet1!M:M)</f>
        <v>40</v>
      </c>
      <c r="J672" s="10">
        <f>_xlfn.XLOOKUP(A:A,Sheet1!A:A,Sheet1!O:O)</f>
        <v>3.8</v>
      </c>
      <c r="K672" t="str">
        <f>_xlfn.XLOOKUP(A:A,Sheet1!A:A,Sheet1!P:P)</f>
        <v>Yes</v>
      </c>
      <c r="L672" s="12">
        <f>_xlfn.XLOOKUP(A:A,Sheet1!A:A,Sheet1!S:S)</f>
        <v>0.98</v>
      </c>
    </row>
    <row r="673" spans="1:12" x14ac:dyDescent="0.35">
      <c r="A673" s="8" t="s">
        <v>1370</v>
      </c>
      <c r="B673" s="2" t="str">
        <f>_xlfn.XLOOKUP(A673,Sheet1!A:A,Sheet1!B:B)</f>
        <v>Eric Johnson</v>
      </c>
      <c r="C673" s="2" t="str">
        <f>_xlfn.XLOOKUP(A:A,Sheet1!A:A,Sheet1!D:D)</f>
        <v>Male</v>
      </c>
      <c r="D673" s="8">
        <f>_xlfn.XLOOKUP(A:A,Sheet1!A:A,Sheet1!F:F)</f>
        <v>29</v>
      </c>
      <c r="E673" s="2" t="str">
        <f>_xlfn.XLOOKUP(A:A,Sheet1!A:A,Sheet1!G:G)</f>
        <v>South Korea</v>
      </c>
      <c r="F673" s="8" t="str">
        <f>_xlfn.XLOOKUP(A:A,Sheet1!A:A,Sheet1!H:H)</f>
        <v>Korean</v>
      </c>
      <c r="G673" s="8" t="str">
        <f>_xlfn.XLOOKUP(A:A,Sheet1!A:A,Sheet1!I:I)</f>
        <v>Blockchain Development</v>
      </c>
      <c r="H673" s="8">
        <f>_xlfn.XLOOKUP(A:A,Sheet1!A:A,Sheet1!K:K)</f>
        <v>0</v>
      </c>
      <c r="I673" s="9">
        <f>_xlfn.XLOOKUP(A:A,Sheet1!A:A,Sheet1!M:M)</f>
        <v>75</v>
      </c>
      <c r="J673" s="10">
        <f>_xlfn.XLOOKUP(A:A,Sheet1!A:A,Sheet1!O:O)</f>
        <v>1.5</v>
      </c>
      <c r="K673" t="str">
        <f>_xlfn.XLOOKUP(A:A,Sheet1!A:A,Sheet1!P:P)</f>
        <v>Yes</v>
      </c>
      <c r="L673" s="12">
        <f>_xlfn.XLOOKUP(A:A,Sheet1!A:A,Sheet1!S:S)</f>
        <v>0.64</v>
      </c>
    </row>
    <row r="674" spans="1:12" x14ac:dyDescent="0.35">
      <c r="A674" s="8" t="s">
        <v>1372</v>
      </c>
      <c r="B674" s="2" t="str">
        <f>_xlfn.XLOOKUP(A674,Sheet1!A:A,Sheet1!B:B)</f>
        <v>Javier Hobbs</v>
      </c>
      <c r="C674" s="2" t="str">
        <f>_xlfn.XLOOKUP(A:A,Sheet1!A:A,Sheet1!D:D)</f>
        <v>Male</v>
      </c>
      <c r="D674" s="8">
        <f>_xlfn.XLOOKUP(A:A,Sheet1!A:A,Sheet1!F:F)</f>
        <v>30</v>
      </c>
      <c r="E674" s="2" t="str">
        <f>_xlfn.XLOOKUP(A:A,Sheet1!A:A,Sheet1!G:G)</f>
        <v>Spain</v>
      </c>
      <c r="F674" s="8" t="str">
        <f>_xlfn.XLOOKUP(A:A,Sheet1!A:A,Sheet1!H:H)</f>
        <v>Spanish</v>
      </c>
      <c r="G674" s="8" t="str">
        <f>_xlfn.XLOOKUP(A:A,Sheet1!A:A,Sheet1!I:I)</f>
        <v>Graphic Design</v>
      </c>
      <c r="H674" s="8">
        <f>_xlfn.XLOOKUP(A:A,Sheet1!A:A,Sheet1!K:K)</f>
        <v>4</v>
      </c>
      <c r="I674" s="9">
        <f>_xlfn.XLOOKUP(A:A,Sheet1!A:A,Sheet1!M:M)</f>
        <v>40</v>
      </c>
      <c r="J674" s="10">
        <f>_xlfn.XLOOKUP(A:A,Sheet1!A:A,Sheet1!O:O)</f>
        <v>2.8</v>
      </c>
      <c r="K674" t="str">
        <f>_xlfn.XLOOKUP(A:A,Sheet1!A:A,Sheet1!P:P)</f>
        <v>Yes</v>
      </c>
      <c r="L674" s="12">
        <f>_xlfn.XLOOKUP(A:A,Sheet1!A:A,Sheet1!S:S)</f>
        <v>0.71</v>
      </c>
    </row>
    <row r="675" spans="1:12" x14ac:dyDescent="0.35">
      <c r="A675" s="8" t="s">
        <v>1374</v>
      </c>
      <c r="B675" s="2" t="str">
        <f>_xlfn.XLOOKUP(A675,Sheet1!A:A,Sheet1!B:B)</f>
        <v>Jacob Jones</v>
      </c>
      <c r="C675" s="2" t="str">
        <f>_xlfn.XLOOKUP(A:A,Sheet1!A:A,Sheet1!D:D)</f>
        <v>Male</v>
      </c>
      <c r="D675" s="8">
        <f>_xlfn.XLOOKUP(A:A,Sheet1!A:A,Sheet1!F:F)</f>
        <v>47</v>
      </c>
      <c r="E675" s="2" t="str">
        <f>_xlfn.XLOOKUP(A:A,Sheet1!A:A,Sheet1!G:G)</f>
        <v>Egypt</v>
      </c>
      <c r="F675" s="8" t="str">
        <f>_xlfn.XLOOKUP(A:A,Sheet1!A:A,Sheet1!H:H)</f>
        <v>Arabic</v>
      </c>
      <c r="G675" s="8" t="str">
        <f>_xlfn.XLOOKUP(A:A,Sheet1!A:A,Sheet1!I:I)</f>
        <v>AI</v>
      </c>
      <c r="H675" s="8">
        <f>_xlfn.XLOOKUP(A:A,Sheet1!A:A,Sheet1!K:K)</f>
        <v>2</v>
      </c>
      <c r="I675" s="9">
        <f>_xlfn.XLOOKUP(A:A,Sheet1!A:A,Sheet1!M:M)</f>
        <v>50</v>
      </c>
      <c r="J675" s="10">
        <f>_xlfn.XLOOKUP(A:A,Sheet1!A:A,Sheet1!O:O)</f>
        <v>2.7</v>
      </c>
      <c r="K675" t="str">
        <f>_xlfn.XLOOKUP(A:A,Sheet1!A:A,Sheet1!P:P)</f>
        <v>No</v>
      </c>
      <c r="L675" s="12">
        <f>_xlfn.XLOOKUP(A:A,Sheet1!A:A,Sheet1!S:S)</f>
        <v>0.96</v>
      </c>
    </row>
    <row r="676" spans="1:12" x14ac:dyDescent="0.35">
      <c r="A676" s="8" t="s">
        <v>1376</v>
      </c>
      <c r="B676" s="2" t="str">
        <f>_xlfn.XLOOKUP(A676,Sheet1!A:A,Sheet1!B:B)</f>
        <v>Zachary Murphy</v>
      </c>
      <c r="C676" s="2" t="str">
        <f>_xlfn.XLOOKUP(A:A,Sheet1!A:A,Sheet1!D:D)</f>
        <v>Male</v>
      </c>
      <c r="D676" s="8">
        <f>_xlfn.XLOOKUP(A:A,Sheet1!A:A,Sheet1!F:F)</f>
        <v>34</v>
      </c>
      <c r="E676" s="2" t="str">
        <f>_xlfn.XLOOKUP(A:A,Sheet1!A:A,Sheet1!G:G)</f>
        <v>Australia</v>
      </c>
      <c r="F676" s="8" t="str">
        <f>_xlfn.XLOOKUP(A:A,Sheet1!A:A,Sheet1!H:H)</f>
        <v>English</v>
      </c>
      <c r="G676" s="8" t="str">
        <f>_xlfn.XLOOKUP(A:A,Sheet1!A:A,Sheet1!I:I)</f>
        <v>Blockchain Development</v>
      </c>
      <c r="H676" s="8">
        <f>_xlfn.XLOOKUP(A:A,Sheet1!A:A,Sheet1!K:K)</f>
        <v>10</v>
      </c>
      <c r="I676" s="9">
        <f>_xlfn.XLOOKUP(A:A,Sheet1!A:A,Sheet1!M:M)</f>
        <v>30</v>
      </c>
      <c r="J676" s="10">
        <f>_xlfn.XLOOKUP(A:A,Sheet1!A:A,Sheet1!O:O)</f>
        <v>3.9</v>
      </c>
      <c r="K676" t="str">
        <f>_xlfn.XLOOKUP(A:A,Sheet1!A:A,Sheet1!P:P)</f>
        <v>No</v>
      </c>
      <c r="L676" s="12">
        <f>_xlfn.XLOOKUP(A:A,Sheet1!A:A,Sheet1!S:S)</f>
        <v>0.79269417475728277</v>
      </c>
    </row>
    <row r="677" spans="1:12" x14ac:dyDescent="0.35">
      <c r="A677" s="8" t="s">
        <v>1378</v>
      </c>
      <c r="B677" s="2" t="str">
        <f>_xlfn.XLOOKUP(A677,Sheet1!A:A,Sheet1!B:B)</f>
        <v>Joshua Owens</v>
      </c>
      <c r="C677" s="2" t="str">
        <f>_xlfn.XLOOKUP(A:A,Sheet1!A:A,Sheet1!D:D)</f>
        <v>Male</v>
      </c>
      <c r="D677" s="8">
        <f>_xlfn.XLOOKUP(A:A,Sheet1!A:A,Sheet1!F:F)</f>
        <v>45</v>
      </c>
      <c r="E677" s="2" t="str">
        <f>_xlfn.XLOOKUP(A:A,Sheet1!A:A,Sheet1!G:G)</f>
        <v>United States</v>
      </c>
      <c r="F677" s="8" t="str">
        <f>_xlfn.XLOOKUP(A:A,Sheet1!A:A,Sheet1!H:H)</f>
        <v>English</v>
      </c>
      <c r="G677" s="8" t="str">
        <f>_xlfn.XLOOKUP(A:A,Sheet1!A:A,Sheet1!I:I)</f>
        <v>Graphic Design</v>
      </c>
      <c r="H677" s="8">
        <f>_xlfn.XLOOKUP(A:A,Sheet1!A:A,Sheet1!K:K)</f>
        <v>16</v>
      </c>
      <c r="I677" s="9">
        <f>_xlfn.XLOOKUP(A:A,Sheet1!A:A,Sheet1!M:M)</f>
        <v>100</v>
      </c>
      <c r="J677" s="10">
        <f>_xlfn.XLOOKUP(A:A,Sheet1!A:A,Sheet1!O:O)</f>
        <v>4.5999999999999996</v>
      </c>
      <c r="K677" t="str">
        <f>_xlfn.XLOOKUP(A:A,Sheet1!A:A,Sheet1!P:P)</f>
        <v>No</v>
      </c>
      <c r="L677" s="12">
        <f>_xlfn.XLOOKUP(A:A,Sheet1!A:A,Sheet1!S:S)</f>
        <v>0.78</v>
      </c>
    </row>
    <row r="678" spans="1:12" x14ac:dyDescent="0.35">
      <c r="A678" s="8" t="s">
        <v>1380</v>
      </c>
      <c r="B678" s="2" t="str">
        <f>_xlfn.XLOOKUP(A678,Sheet1!A:A,Sheet1!B:B)</f>
        <v>Dawn Mitchell</v>
      </c>
      <c r="C678" s="2" t="str">
        <f>_xlfn.XLOOKUP(A:A,Sheet1!A:A,Sheet1!D:D)</f>
        <v>Female</v>
      </c>
      <c r="D678" s="8">
        <f>_xlfn.XLOOKUP(A:A,Sheet1!A:A,Sheet1!F:F)</f>
        <v>56</v>
      </c>
      <c r="E678" s="2" t="str">
        <f>_xlfn.XLOOKUP(A:A,Sheet1!A:A,Sheet1!G:G)</f>
        <v>Spain</v>
      </c>
      <c r="F678" s="8" t="str">
        <f>_xlfn.XLOOKUP(A:A,Sheet1!A:A,Sheet1!H:H)</f>
        <v>Spanish</v>
      </c>
      <c r="G678" s="8" t="str">
        <f>_xlfn.XLOOKUP(A:A,Sheet1!A:A,Sheet1!I:I)</f>
        <v>Cybersecurity</v>
      </c>
      <c r="H678" s="8">
        <f>_xlfn.XLOOKUP(A:A,Sheet1!A:A,Sheet1!K:K)</f>
        <v>27</v>
      </c>
      <c r="I678" s="9">
        <f>_xlfn.XLOOKUP(A:A,Sheet1!A:A,Sheet1!M:M)</f>
        <v>20</v>
      </c>
      <c r="J678" s="10">
        <f>_xlfn.XLOOKUP(A:A,Sheet1!A:A,Sheet1!O:O)</f>
        <v>2.2000000000000002</v>
      </c>
      <c r="K678" t="str">
        <f>_xlfn.XLOOKUP(A:A,Sheet1!A:A,Sheet1!P:P)</f>
        <v>No</v>
      </c>
      <c r="L678" s="12">
        <f>_xlfn.XLOOKUP(A:A,Sheet1!A:A,Sheet1!S:S)</f>
        <v>0.7</v>
      </c>
    </row>
    <row r="679" spans="1:12" x14ac:dyDescent="0.35">
      <c r="A679" s="8" t="s">
        <v>1382</v>
      </c>
      <c r="B679" s="2" t="str">
        <f>_xlfn.XLOOKUP(A679,Sheet1!A:A,Sheet1!B:B)</f>
        <v>Regina Dunn</v>
      </c>
      <c r="C679" s="2" t="str">
        <f>_xlfn.XLOOKUP(A:A,Sheet1!A:A,Sheet1!D:D)</f>
        <v>Female</v>
      </c>
      <c r="D679" s="8">
        <f>_xlfn.XLOOKUP(A:A,Sheet1!A:A,Sheet1!F:F)</f>
        <v>49</v>
      </c>
      <c r="E679" s="2" t="str">
        <f>_xlfn.XLOOKUP(A:A,Sheet1!A:A,Sheet1!G:G)</f>
        <v>China</v>
      </c>
      <c r="F679" s="8" t="str">
        <f>_xlfn.XLOOKUP(A:A,Sheet1!A:A,Sheet1!H:H)</f>
        <v>Mandarin</v>
      </c>
      <c r="G679" s="8" t="str">
        <f>_xlfn.XLOOKUP(A:A,Sheet1!A:A,Sheet1!I:I)</f>
        <v>DevOps</v>
      </c>
      <c r="H679" s="8">
        <f>_xlfn.XLOOKUP(A:A,Sheet1!A:A,Sheet1!K:K)</f>
        <v>20</v>
      </c>
      <c r="I679" s="9">
        <f>_xlfn.XLOOKUP(A:A,Sheet1!A:A,Sheet1!M:M)</f>
        <v>50</v>
      </c>
      <c r="J679" s="10">
        <f>_xlfn.XLOOKUP(A:A,Sheet1!A:A,Sheet1!O:O)</f>
        <v>2.5</v>
      </c>
      <c r="K679" t="str">
        <f>_xlfn.XLOOKUP(A:A,Sheet1!A:A,Sheet1!P:P)</f>
        <v>No</v>
      </c>
      <c r="L679" s="12">
        <f>_xlfn.XLOOKUP(A:A,Sheet1!A:A,Sheet1!S:S)</f>
        <v>0.82</v>
      </c>
    </row>
    <row r="680" spans="1:12" x14ac:dyDescent="0.35">
      <c r="A680" s="8" t="s">
        <v>1384</v>
      </c>
      <c r="B680" s="2" t="str">
        <f>_xlfn.XLOOKUP(A680,Sheet1!A:A,Sheet1!B:B)</f>
        <v>Ernest Cole</v>
      </c>
      <c r="C680" s="2" t="str">
        <f>_xlfn.XLOOKUP(A:A,Sheet1!A:A,Sheet1!D:D)</f>
        <v>Male</v>
      </c>
      <c r="D680" s="8">
        <f>_xlfn.XLOOKUP(A:A,Sheet1!A:A,Sheet1!F:F)</f>
        <v>48</v>
      </c>
      <c r="E680" s="2" t="str">
        <f>_xlfn.XLOOKUP(A:A,Sheet1!A:A,Sheet1!G:G)</f>
        <v>France</v>
      </c>
      <c r="F680" s="8" t="str">
        <f>_xlfn.XLOOKUP(A:A,Sheet1!A:A,Sheet1!H:H)</f>
        <v>French</v>
      </c>
      <c r="G680" s="8" t="str">
        <f>_xlfn.XLOOKUP(A:A,Sheet1!A:A,Sheet1!I:I)</f>
        <v>AI</v>
      </c>
      <c r="H680" s="8">
        <f>_xlfn.XLOOKUP(A:A,Sheet1!A:A,Sheet1!K:K)</f>
        <v>10</v>
      </c>
      <c r="I680" s="9">
        <f>_xlfn.XLOOKUP(A:A,Sheet1!A:A,Sheet1!M:M)</f>
        <v>40</v>
      </c>
      <c r="J680" s="10">
        <f>_xlfn.XLOOKUP(A:A,Sheet1!A:A,Sheet1!O:O)</f>
        <v>3.1</v>
      </c>
      <c r="K680" t="str">
        <f>_xlfn.XLOOKUP(A:A,Sheet1!A:A,Sheet1!P:P)</f>
        <v>No</v>
      </c>
      <c r="L680" s="12">
        <f>_xlfn.XLOOKUP(A:A,Sheet1!A:A,Sheet1!S:S)</f>
        <v>0.79269417475728277</v>
      </c>
    </row>
    <row r="681" spans="1:12" x14ac:dyDescent="0.35">
      <c r="A681" s="8" t="s">
        <v>1386</v>
      </c>
      <c r="B681" s="2" t="str">
        <f>_xlfn.XLOOKUP(A681,Sheet1!A:A,Sheet1!B:B)</f>
        <v>Hannah Sanders</v>
      </c>
      <c r="C681" s="2" t="str">
        <f>_xlfn.XLOOKUP(A:A,Sheet1!A:A,Sheet1!D:D)</f>
        <v>Female</v>
      </c>
      <c r="D681" s="8">
        <f>_xlfn.XLOOKUP(A:A,Sheet1!A:A,Sheet1!F:F)</f>
        <v>29</v>
      </c>
      <c r="E681" s="2" t="str">
        <f>_xlfn.XLOOKUP(A:A,Sheet1!A:A,Sheet1!G:G)</f>
        <v>South Korea</v>
      </c>
      <c r="F681" s="8" t="str">
        <f>_xlfn.XLOOKUP(A:A,Sheet1!A:A,Sheet1!H:H)</f>
        <v>Korean</v>
      </c>
      <c r="G681" s="8" t="str">
        <f>_xlfn.XLOOKUP(A:A,Sheet1!A:A,Sheet1!I:I)</f>
        <v>Graphic Design</v>
      </c>
      <c r="H681" s="8">
        <f>_xlfn.XLOOKUP(A:A,Sheet1!A:A,Sheet1!K:K)</f>
        <v>0</v>
      </c>
      <c r="I681" s="9">
        <f>_xlfn.XLOOKUP(A:A,Sheet1!A:A,Sheet1!M:M)</f>
        <v>20</v>
      </c>
      <c r="J681" s="10">
        <f>_xlfn.XLOOKUP(A:A,Sheet1!A:A,Sheet1!O:O)</f>
        <v>2.5125695216907653</v>
      </c>
      <c r="K681" t="str">
        <f>_xlfn.XLOOKUP(A:A,Sheet1!A:A,Sheet1!P:P)</f>
        <v>Yes</v>
      </c>
      <c r="L681" s="12">
        <f>_xlfn.XLOOKUP(A:A,Sheet1!A:A,Sheet1!S:S)</f>
        <v>0.99</v>
      </c>
    </row>
    <row r="682" spans="1:12" x14ac:dyDescent="0.35">
      <c r="A682" s="8" t="s">
        <v>1388</v>
      </c>
      <c r="B682" s="2" t="str">
        <f>_xlfn.XLOOKUP(A682,Sheet1!A:A,Sheet1!B:B)</f>
        <v>Ellen Bowman</v>
      </c>
      <c r="C682" s="2" t="str">
        <f>_xlfn.XLOOKUP(A:A,Sheet1!A:A,Sheet1!D:D)</f>
        <v>Female</v>
      </c>
      <c r="D682" s="8">
        <f>_xlfn.XLOOKUP(A:A,Sheet1!A:A,Sheet1!F:F)</f>
        <v>49</v>
      </c>
      <c r="E682" s="2" t="str">
        <f>_xlfn.XLOOKUP(A:A,Sheet1!A:A,Sheet1!G:G)</f>
        <v>Netherlands</v>
      </c>
      <c r="F682" s="8" t="str">
        <f>_xlfn.XLOOKUP(A:A,Sheet1!A:A,Sheet1!H:H)</f>
        <v>Dutch</v>
      </c>
      <c r="G682" s="8" t="str">
        <f>_xlfn.XLOOKUP(A:A,Sheet1!A:A,Sheet1!I:I)</f>
        <v>Web Development</v>
      </c>
      <c r="H682" s="8">
        <f>_xlfn.XLOOKUP(A:A,Sheet1!A:A,Sheet1!K:K)</f>
        <v>11</v>
      </c>
      <c r="I682" s="9">
        <f>_xlfn.XLOOKUP(A:A,Sheet1!A:A,Sheet1!M:M)</f>
        <v>75</v>
      </c>
      <c r="J682" s="10">
        <f>_xlfn.XLOOKUP(A:A,Sheet1!A:A,Sheet1!O:O)</f>
        <v>3.8</v>
      </c>
      <c r="K682" t="str">
        <f>_xlfn.XLOOKUP(A:A,Sheet1!A:A,Sheet1!P:P)</f>
        <v>Yes</v>
      </c>
      <c r="L682" s="12">
        <f>_xlfn.XLOOKUP(A:A,Sheet1!A:A,Sheet1!S:S)</f>
        <v>0.93</v>
      </c>
    </row>
    <row r="683" spans="1:12" x14ac:dyDescent="0.35">
      <c r="A683" s="8" t="s">
        <v>1390</v>
      </c>
      <c r="B683" s="2" t="str">
        <f>_xlfn.XLOOKUP(A683,Sheet1!A:A,Sheet1!B:B)</f>
        <v>Nancy Moore</v>
      </c>
      <c r="C683" s="2" t="str">
        <f>_xlfn.XLOOKUP(A:A,Sheet1!A:A,Sheet1!D:D)</f>
        <v>Female</v>
      </c>
      <c r="D683" s="8">
        <f>_xlfn.XLOOKUP(A:A,Sheet1!A:A,Sheet1!F:F)</f>
        <v>22</v>
      </c>
      <c r="E683" s="2" t="str">
        <f>_xlfn.XLOOKUP(A:A,Sheet1!A:A,Sheet1!G:G)</f>
        <v>China</v>
      </c>
      <c r="F683" s="8" t="str">
        <f>_xlfn.XLOOKUP(A:A,Sheet1!A:A,Sheet1!H:H)</f>
        <v>Mandarin</v>
      </c>
      <c r="G683" s="8" t="str">
        <f>_xlfn.XLOOKUP(A:A,Sheet1!A:A,Sheet1!I:I)</f>
        <v>Blockchain Development</v>
      </c>
      <c r="H683" s="8">
        <f>_xlfn.XLOOKUP(A:A,Sheet1!A:A,Sheet1!K:K)</f>
        <v>1</v>
      </c>
      <c r="I683" s="9">
        <f>_xlfn.XLOOKUP(A:A,Sheet1!A:A,Sheet1!M:M)</f>
        <v>100</v>
      </c>
      <c r="J683" s="10">
        <f>_xlfn.XLOOKUP(A:A,Sheet1!A:A,Sheet1!O:O)</f>
        <v>4.8</v>
      </c>
      <c r="K683" t="str">
        <f>_xlfn.XLOOKUP(A:A,Sheet1!A:A,Sheet1!P:P)</f>
        <v>Yes</v>
      </c>
      <c r="L683" s="12">
        <f>_xlfn.XLOOKUP(A:A,Sheet1!A:A,Sheet1!S:S)</f>
        <v>0.75</v>
      </c>
    </row>
    <row r="684" spans="1:12" x14ac:dyDescent="0.35">
      <c r="A684" s="8" t="s">
        <v>1392</v>
      </c>
      <c r="B684" s="2" t="str">
        <f>_xlfn.XLOOKUP(A684,Sheet1!A:A,Sheet1!B:B)</f>
        <v>Joseph Wood</v>
      </c>
      <c r="C684" s="2" t="str">
        <f>_xlfn.XLOOKUP(A:A,Sheet1!A:A,Sheet1!D:D)</f>
        <v>Male</v>
      </c>
      <c r="D684" s="8">
        <f>_xlfn.XLOOKUP(A:A,Sheet1!A:A,Sheet1!F:F)</f>
        <v>52</v>
      </c>
      <c r="E684" s="2" t="str">
        <f>_xlfn.XLOOKUP(A:A,Sheet1!A:A,Sheet1!G:G)</f>
        <v>Mexico</v>
      </c>
      <c r="F684" s="8" t="str">
        <f>_xlfn.XLOOKUP(A:A,Sheet1!A:A,Sheet1!H:H)</f>
        <v>Spanish</v>
      </c>
      <c r="G684" s="8" t="str">
        <f>_xlfn.XLOOKUP(A:A,Sheet1!A:A,Sheet1!I:I)</f>
        <v>Graphic Design</v>
      </c>
      <c r="H684" s="8">
        <f>_xlfn.XLOOKUP(A:A,Sheet1!A:A,Sheet1!K:K)</f>
        <v>30</v>
      </c>
      <c r="I684" s="9">
        <f>_xlfn.XLOOKUP(A:A,Sheet1!A:A,Sheet1!M:M)</f>
        <v>100</v>
      </c>
      <c r="J684" s="10">
        <f>_xlfn.XLOOKUP(A:A,Sheet1!A:A,Sheet1!O:O)</f>
        <v>2.5</v>
      </c>
      <c r="K684" t="str">
        <f>_xlfn.XLOOKUP(A:A,Sheet1!A:A,Sheet1!P:P)</f>
        <v>No</v>
      </c>
      <c r="L684" s="12">
        <f>_xlfn.XLOOKUP(A:A,Sheet1!A:A,Sheet1!S:S)</f>
        <v>0.61</v>
      </c>
    </row>
    <row r="685" spans="1:12" x14ac:dyDescent="0.35">
      <c r="A685" s="8" t="s">
        <v>1394</v>
      </c>
      <c r="B685" s="2" t="str">
        <f>_xlfn.XLOOKUP(A685,Sheet1!A:A,Sheet1!B:B)</f>
        <v>Michael Harrell</v>
      </c>
      <c r="C685" s="2" t="str">
        <f>_xlfn.XLOOKUP(A:A,Sheet1!A:A,Sheet1!D:D)</f>
        <v>Male</v>
      </c>
      <c r="D685" s="8">
        <f>_xlfn.XLOOKUP(A:A,Sheet1!A:A,Sheet1!F:F)</f>
        <v>60</v>
      </c>
      <c r="E685" s="2" t="str">
        <f>_xlfn.XLOOKUP(A:A,Sheet1!A:A,Sheet1!G:G)</f>
        <v>Canada</v>
      </c>
      <c r="F685" s="8" t="str">
        <f>_xlfn.XLOOKUP(A:A,Sheet1!A:A,Sheet1!H:H)</f>
        <v>English</v>
      </c>
      <c r="G685" s="8" t="str">
        <f>_xlfn.XLOOKUP(A:A,Sheet1!A:A,Sheet1!I:I)</f>
        <v>Blockchain Development</v>
      </c>
      <c r="H685" s="8">
        <f>_xlfn.XLOOKUP(A:A,Sheet1!A:A,Sheet1!K:K)</f>
        <v>7</v>
      </c>
      <c r="I685" s="9">
        <f>_xlfn.XLOOKUP(A:A,Sheet1!A:A,Sheet1!M:M)</f>
        <v>30</v>
      </c>
      <c r="J685" s="11">
        <v>0</v>
      </c>
      <c r="K685" t="str">
        <f>_xlfn.XLOOKUP(A:A,Sheet1!A:A,Sheet1!P:P)</f>
        <v>No</v>
      </c>
      <c r="L685" s="12">
        <f>_xlfn.XLOOKUP(A:A,Sheet1!A:A,Sheet1!S:S)</f>
        <v>0.97</v>
      </c>
    </row>
    <row r="686" spans="1:12" x14ac:dyDescent="0.35">
      <c r="A686" s="8" t="s">
        <v>1396</v>
      </c>
      <c r="B686" s="2" t="str">
        <f>_xlfn.XLOOKUP(A686,Sheet1!A:A,Sheet1!B:B)</f>
        <v>Connie Mcclain</v>
      </c>
      <c r="C686" s="2" t="str">
        <f>_xlfn.XLOOKUP(A:A,Sheet1!A:A,Sheet1!D:D)</f>
        <v>Female</v>
      </c>
      <c r="D686" s="8">
        <f>_xlfn.XLOOKUP(A:A,Sheet1!A:A,Sheet1!F:F)</f>
        <v>33</v>
      </c>
      <c r="E686" s="2" t="str">
        <f>_xlfn.XLOOKUP(A:A,Sheet1!A:A,Sheet1!G:G)</f>
        <v>Japan</v>
      </c>
      <c r="F686" s="8" t="str">
        <f>_xlfn.XLOOKUP(A:A,Sheet1!A:A,Sheet1!H:H)</f>
        <v>Japanese</v>
      </c>
      <c r="G686" s="8" t="str">
        <f>_xlfn.XLOOKUP(A:A,Sheet1!A:A,Sheet1!I:I)</f>
        <v>UI/UX Design</v>
      </c>
      <c r="H686" s="8">
        <f>_xlfn.XLOOKUP(A:A,Sheet1!A:A,Sheet1!K:K)</f>
        <v>0</v>
      </c>
      <c r="I686" s="9">
        <f>_xlfn.XLOOKUP(A:A,Sheet1!A:A,Sheet1!M:M)</f>
        <v>100</v>
      </c>
      <c r="J686" s="10">
        <f>_xlfn.XLOOKUP(A:A,Sheet1!A:A,Sheet1!O:O)</f>
        <v>1.7</v>
      </c>
      <c r="K686" t="str">
        <f>_xlfn.XLOOKUP(A:A,Sheet1!A:A,Sheet1!P:P)</f>
        <v>Yes</v>
      </c>
      <c r="L686" s="12">
        <f>_xlfn.XLOOKUP(A:A,Sheet1!A:A,Sheet1!S:S)</f>
        <v>0.95</v>
      </c>
    </row>
    <row r="687" spans="1:12" x14ac:dyDescent="0.35">
      <c r="A687" s="8" t="s">
        <v>1398</v>
      </c>
      <c r="B687" s="2" t="str">
        <f>_xlfn.XLOOKUP(A687,Sheet1!A:A,Sheet1!B:B)</f>
        <v>Matthew Baldwin</v>
      </c>
      <c r="C687" s="2" t="str">
        <f>_xlfn.XLOOKUP(A:A,Sheet1!A:A,Sheet1!D:D)</f>
        <v>Male</v>
      </c>
      <c r="D687" s="8">
        <f>_xlfn.XLOOKUP(A:A,Sheet1!A:A,Sheet1!F:F)</f>
        <v>52</v>
      </c>
      <c r="E687" s="2" t="str">
        <f>_xlfn.XLOOKUP(A:A,Sheet1!A:A,Sheet1!G:G)</f>
        <v>South Korea</v>
      </c>
      <c r="F687" s="8" t="str">
        <f>_xlfn.XLOOKUP(A:A,Sheet1!A:A,Sheet1!H:H)</f>
        <v>Korean</v>
      </c>
      <c r="G687" s="8" t="str">
        <f>_xlfn.XLOOKUP(A:A,Sheet1!A:A,Sheet1!I:I)</f>
        <v>Graphic Design</v>
      </c>
      <c r="H687" s="8">
        <f>_xlfn.XLOOKUP(A:A,Sheet1!A:A,Sheet1!K:K)</f>
        <v>21</v>
      </c>
      <c r="I687" s="9">
        <f>_xlfn.XLOOKUP(A:A,Sheet1!A:A,Sheet1!M:M)</f>
        <v>40</v>
      </c>
      <c r="J687" s="10">
        <f>_xlfn.XLOOKUP(A:A,Sheet1!A:A,Sheet1!O:O)</f>
        <v>4</v>
      </c>
      <c r="K687" t="str">
        <f>_xlfn.XLOOKUP(A:A,Sheet1!A:A,Sheet1!P:P)</f>
        <v>No</v>
      </c>
      <c r="L687" s="12">
        <f>_xlfn.XLOOKUP(A:A,Sheet1!A:A,Sheet1!S:S)</f>
        <v>0.69</v>
      </c>
    </row>
    <row r="688" spans="1:12" x14ac:dyDescent="0.35">
      <c r="A688" s="8" t="s">
        <v>1400</v>
      </c>
      <c r="B688" s="2" t="str">
        <f>_xlfn.XLOOKUP(A688,Sheet1!A:A,Sheet1!B:B)</f>
        <v>Danielle Nelson</v>
      </c>
      <c r="C688" s="2" t="str">
        <f>_xlfn.XLOOKUP(A:A,Sheet1!A:A,Sheet1!D:D)</f>
        <v>Female</v>
      </c>
      <c r="D688" s="8">
        <f>_xlfn.XLOOKUP(A:A,Sheet1!A:A,Sheet1!F:F)</f>
        <v>25</v>
      </c>
      <c r="E688" s="2" t="str">
        <f>_xlfn.XLOOKUP(A:A,Sheet1!A:A,Sheet1!G:G)</f>
        <v>Germany</v>
      </c>
      <c r="F688" s="8" t="str">
        <f>_xlfn.XLOOKUP(A:A,Sheet1!A:A,Sheet1!H:H)</f>
        <v>German</v>
      </c>
      <c r="G688" s="8" t="str">
        <f>_xlfn.XLOOKUP(A:A,Sheet1!A:A,Sheet1!I:I)</f>
        <v>DevOps</v>
      </c>
      <c r="H688" s="8">
        <f>_xlfn.XLOOKUP(A:A,Sheet1!A:A,Sheet1!K:K)</f>
        <v>7</v>
      </c>
      <c r="I688" s="9">
        <f>_xlfn.XLOOKUP(A:A,Sheet1!A:A,Sheet1!M:M)</f>
        <v>100</v>
      </c>
      <c r="J688" s="10">
        <f>_xlfn.XLOOKUP(A:A,Sheet1!A:A,Sheet1!O:O)</f>
        <v>1.9</v>
      </c>
      <c r="K688" t="str">
        <f>_xlfn.XLOOKUP(A:A,Sheet1!A:A,Sheet1!P:P)</f>
        <v>No</v>
      </c>
      <c r="L688" s="12">
        <f>_xlfn.XLOOKUP(A:A,Sheet1!A:A,Sheet1!S:S)</f>
        <v>0.63</v>
      </c>
    </row>
    <row r="689" spans="1:12" x14ac:dyDescent="0.35">
      <c r="A689" s="8" t="s">
        <v>1402</v>
      </c>
      <c r="B689" s="2" t="str">
        <f>_xlfn.XLOOKUP(A689,Sheet1!A:A,Sheet1!B:B)</f>
        <v>Steven Moore</v>
      </c>
      <c r="C689" s="2" t="str">
        <f>_xlfn.XLOOKUP(A:A,Sheet1!A:A,Sheet1!D:D)</f>
        <v>Male</v>
      </c>
      <c r="D689" s="8">
        <f>_xlfn.XLOOKUP(A:A,Sheet1!A:A,Sheet1!F:F)</f>
        <v>33</v>
      </c>
      <c r="E689" s="2" t="str">
        <f>_xlfn.XLOOKUP(A:A,Sheet1!A:A,Sheet1!G:G)</f>
        <v>Japan</v>
      </c>
      <c r="F689" s="8" t="str">
        <f>_xlfn.XLOOKUP(A:A,Sheet1!A:A,Sheet1!H:H)</f>
        <v>Japanese</v>
      </c>
      <c r="G689" s="8" t="str">
        <f>_xlfn.XLOOKUP(A:A,Sheet1!A:A,Sheet1!I:I)</f>
        <v>Cybersecurity</v>
      </c>
      <c r="H689" s="8">
        <f>_xlfn.XLOOKUP(A:A,Sheet1!A:A,Sheet1!K:K)</f>
        <v>9</v>
      </c>
      <c r="I689" s="9">
        <f>_xlfn.XLOOKUP(A:A,Sheet1!A:A,Sheet1!M:M)</f>
        <v>30</v>
      </c>
      <c r="J689" s="10">
        <f>_xlfn.XLOOKUP(A:A,Sheet1!A:A,Sheet1!O:O)</f>
        <v>4.4000000000000004</v>
      </c>
      <c r="K689" t="str">
        <f>_xlfn.XLOOKUP(A:A,Sheet1!A:A,Sheet1!P:P)</f>
        <v>Yes</v>
      </c>
      <c r="L689" s="12">
        <f>_xlfn.XLOOKUP(A:A,Sheet1!A:A,Sheet1!S:S)</f>
        <v>0.65</v>
      </c>
    </row>
    <row r="690" spans="1:12" x14ac:dyDescent="0.35">
      <c r="A690" s="8" t="s">
        <v>1404</v>
      </c>
      <c r="B690" s="2" t="str">
        <f>_xlfn.XLOOKUP(A690,Sheet1!A:A,Sheet1!B:B)</f>
        <v>Megan Hudson</v>
      </c>
      <c r="C690" s="2" t="str">
        <f>_xlfn.XLOOKUP(A:A,Sheet1!A:A,Sheet1!D:D)</f>
        <v>Female</v>
      </c>
      <c r="D690" s="8">
        <f>_xlfn.XLOOKUP(A:A,Sheet1!A:A,Sheet1!F:F)</f>
        <v>33</v>
      </c>
      <c r="E690" s="2" t="str">
        <f>_xlfn.XLOOKUP(A:A,Sheet1!A:A,Sheet1!G:G)</f>
        <v>China</v>
      </c>
      <c r="F690" s="8" t="str">
        <f>_xlfn.XLOOKUP(A:A,Sheet1!A:A,Sheet1!H:H)</f>
        <v>Mandarin</v>
      </c>
      <c r="G690" s="8" t="str">
        <f>_xlfn.XLOOKUP(A:A,Sheet1!A:A,Sheet1!I:I)</f>
        <v>Mobile Apps</v>
      </c>
      <c r="H690" s="8">
        <f>_xlfn.XLOOKUP(A:A,Sheet1!A:A,Sheet1!K:K)</f>
        <v>9</v>
      </c>
      <c r="I690" s="9">
        <f>_xlfn.XLOOKUP(A:A,Sheet1!A:A,Sheet1!M:M)</f>
        <v>40</v>
      </c>
      <c r="J690" s="10">
        <f>_xlfn.XLOOKUP(A:A,Sheet1!A:A,Sheet1!O:O)</f>
        <v>4.2</v>
      </c>
      <c r="K690" t="str">
        <f>_xlfn.XLOOKUP(A:A,Sheet1!A:A,Sheet1!P:P)</f>
        <v>Yes</v>
      </c>
      <c r="L690" s="12">
        <f>_xlfn.XLOOKUP(A:A,Sheet1!A:A,Sheet1!S:S)</f>
        <v>0.9</v>
      </c>
    </row>
    <row r="691" spans="1:12" x14ac:dyDescent="0.35">
      <c r="A691" s="8" t="s">
        <v>1406</v>
      </c>
      <c r="B691" s="2" t="str">
        <f>_xlfn.XLOOKUP(A691,Sheet1!A:A,Sheet1!B:B)</f>
        <v>Lisa Johnson</v>
      </c>
      <c r="C691" s="2" t="str">
        <f>_xlfn.XLOOKUP(A:A,Sheet1!A:A,Sheet1!D:D)</f>
        <v>Female</v>
      </c>
      <c r="D691" s="8">
        <f>_xlfn.XLOOKUP(A:A,Sheet1!A:A,Sheet1!F:F)</f>
        <v>52</v>
      </c>
      <c r="E691" s="2" t="str">
        <f>_xlfn.XLOOKUP(A:A,Sheet1!A:A,Sheet1!G:G)</f>
        <v>Canada</v>
      </c>
      <c r="F691" s="8" t="str">
        <f>_xlfn.XLOOKUP(A:A,Sheet1!A:A,Sheet1!H:H)</f>
        <v>English</v>
      </c>
      <c r="G691" s="8" t="str">
        <f>_xlfn.XLOOKUP(A:A,Sheet1!A:A,Sheet1!I:I)</f>
        <v>UI/UX Design</v>
      </c>
      <c r="H691" s="8">
        <f>_xlfn.XLOOKUP(A:A,Sheet1!A:A,Sheet1!K:K)</f>
        <v>25</v>
      </c>
      <c r="I691" s="9">
        <f>_xlfn.XLOOKUP(A:A,Sheet1!A:A,Sheet1!M:M)</f>
        <v>100</v>
      </c>
      <c r="J691" s="10">
        <f>_xlfn.XLOOKUP(A:A,Sheet1!A:A,Sheet1!O:O)</f>
        <v>4.8</v>
      </c>
      <c r="K691" t="str">
        <f>_xlfn.XLOOKUP(A:A,Sheet1!A:A,Sheet1!P:P)</f>
        <v>No</v>
      </c>
      <c r="L691" s="12">
        <f>_xlfn.XLOOKUP(A:A,Sheet1!A:A,Sheet1!S:S)</f>
        <v>0.79269417475728277</v>
      </c>
    </row>
    <row r="692" spans="1:12" x14ac:dyDescent="0.35">
      <c r="A692" s="8" t="s">
        <v>1407</v>
      </c>
      <c r="B692" s="2" t="str">
        <f>_xlfn.XLOOKUP(A692,Sheet1!A:A,Sheet1!B:B)</f>
        <v>Tracy White</v>
      </c>
      <c r="C692" s="2" t="str">
        <f>_xlfn.XLOOKUP(A:A,Sheet1!A:A,Sheet1!D:D)</f>
        <v>Female</v>
      </c>
      <c r="D692" s="8">
        <f>_xlfn.XLOOKUP(A:A,Sheet1!A:A,Sheet1!F:F)</f>
        <v>20</v>
      </c>
      <c r="E692" s="2" t="str">
        <f>_xlfn.XLOOKUP(A:A,Sheet1!A:A,Sheet1!G:G)</f>
        <v>Indonesia</v>
      </c>
      <c r="F692" s="8" t="str">
        <f>_xlfn.XLOOKUP(A:A,Sheet1!A:A,Sheet1!H:H)</f>
        <v>Indonesian</v>
      </c>
      <c r="G692" s="8" t="str">
        <f>_xlfn.XLOOKUP(A:A,Sheet1!A:A,Sheet1!I:I)</f>
        <v>Web Development</v>
      </c>
      <c r="H692" s="8">
        <f>_xlfn.XLOOKUP(A:A,Sheet1!A:A,Sheet1!K:K)</f>
        <v>1</v>
      </c>
      <c r="I692" s="9">
        <f>_xlfn.XLOOKUP(A:A,Sheet1!A:A,Sheet1!M:M)</f>
        <v>30</v>
      </c>
      <c r="J692" s="10">
        <f>_xlfn.XLOOKUP(A:A,Sheet1!A:A,Sheet1!O:O)</f>
        <v>2</v>
      </c>
      <c r="K692" t="str">
        <f>_xlfn.XLOOKUP(A:A,Sheet1!A:A,Sheet1!P:P)</f>
        <v>No</v>
      </c>
      <c r="L692" s="12">
        <f>_xlfn.XLOOKUP(A:A,Sheet1!A:A,Sheet1!S:S)</f>
        <v>0.89</v>
      </c>
    </row>
    <row r="693" spans="1:12" x14ac:dyDescent="0.35">
      <c r="A693" s="8" t="s">
        <v>1409</v>
      </c>
      <c r="B693" s="2" t="str">
        <f>_xlfn.XLOOKUP(A693,Sheet1!A:A,Sheet1!B:B)</f>
        <v>Natalie Diaz</v>
      </c>
      <c r="C693" s="2" t="str">
        <f>_xlfn.XLOOKUP(A:A,Sheet1!A:A,Sheet1!D:D)</f>
        <v>Female</v>
      </c>
      <c r="D693" s="8">
        <f>_xlfn.XLOOKUP(A:A,Sheet1!A:A,Sheet1!F:F)</f>
        <v>43</v>
      </c>
      <c r="E693" s="2" t="str">
        <f>_xlfn.XLOOKUP(A:A,Sheet1!A:A,Sheet1!G:G)</f>
        <v>Russia</v>
      </c>
      <c r="F693" s="8" t="str">
        <f>_xlfn.XLOOKUP(A:A,Sheet1!A:A,Sheet1!H:H)</f>
        <v>Russian</v>
      </c>
      <c r="G693" s="8" t="str">
        <f>_xlfn.XLOOKUP(A:A,Sheet1!A:A,Sheet1!I:I)</f>
        <v>Data Analysis</v>
      </c>
      <c r="H693" s="8">
        <f>_xlfn.XLOOKUP(A:A,Sheet1!A:A,Sheet1!K:K)</f>
        <v>7</v>
      </c>
      <c r="I693" s="9">
        <f>_xlfn.XLOOKUP(A:A,Sheet1!A:A,Sheet1!M:M)</f>
        <v>50</v>
      </c>
      <c r="J693" s="10">
        <f>_xlfn.XLOOKUP(A:A,Sheet1!A:A,Sheet1!O:O)</f>
        <v>2.5125695216907653</v>
      </c>
      <c r="K693" t="str">
        <f>_xlfn.XLOOKUP(A:A,Sheet1!A:A,Sheet1!P:P)</f>
        <v>Yes</v>
      </c>
      <c r="L693" s="12">
        <f>_xlfn.XLOOKUP(A:A,Sheet1!A:A,Sheet1!S:S)</f>
        <v>0.8</v>
      </c>
    </row>
    <row r="694" spans="1:12" x14ac:dyDescent="0.35">
      <c r="A694" s="8" t="s">
        <v>1411</v>
      </c>
      <c r="B694" s="2" t="str">
        <f>_xlfn.XLOOKUP(A694,Sheet1!A:A,Sheet1!B:B)</f>
        <v>Amanda Mitchell</v>
      </c>
      <c r="C694" s="2" t="str">
        <f>_xlfn.XLOOKUP(A:A,Sheet1!A:A,Sheet1!D:D)</f>
        <v>Female</v>
      </c>
      <c r="D694" s="8">
        <f>_xlfn.XLOOKUP(A:A,Sheet1!A:A,Sheet1!F:F)</f>
        <v>31</v>
      </c>
      <c r="E694" s="2" t="str">
        <f>_xlfn.XLOOKUP(A:A,Sheet1!A:A,Sheet1!G:G)</f>
        <v>France</v>
      </c>
      <c r="F694" s="8" t="str">
        <f>_xlfn.XLOOKUP(A:A,Sheet1!A:A,Sheet1!H:H)</f>
        <v>French</v>
      </c>
      <c r="G694" s="8" t="str">
        <f>_xlfn.XLOOKUP(A:A,Sheet1!A:A,Sheet1!I:I)</f>
        <v>Mobile Apps</v>
      </c>
      <c r="H694" s="8">
        <f>_xlfn.XLOOKUP(A:A,Sheet1!A:A,Sheet1!K:K)</f>
        <v>9</v>
      </c>
      <c r="I694" s="9">
        <f>_xlfn.XLOOKUP(A:A,Sheet1!A:A,Sheet1!M:M)</f>
        <v>50</v>
      </c>
      <c r="J694" s="10">
        <f>_xlfn.XLOOKUP(A:A,Sheet1!A:A,Sheet1!O:O)</f>
        <v>1.4</v>
      </c>
      <c r="K694" t="str">
        <f>_xlfn.XLOOKUP(A:A,Sheet1!A:A,Sheet1!P:P)</f>
        <v>No</v>
      </c>
      <c r="L694" s="12">
        <f>_xlfn.XLOOKUP(A:A,Sheet1!A:A,Sheet1!S:S)</f>
        <v>0.8</v>
      </c>
    </row>
    <row r="695" spans="1:12" x14ac:dyDescent="0.35">
      <c r="A695" s="8" t="s">
        <v>1412</v>
      </c>
      <c r="B695" s="2" t="str">
        <f>_xlfn.XLOOKUP(A695,Sheet1!A:A,Sheet1!B:B)</f>
        <v>Karen Scott</v>
      </c>
      <c r="C695" s="2" t="str">
        <f>_xlfn.XLOOKUP(A:A,Sheet1!A:A,Sheet1!D:D)</f>
        <v>Female</v>
      </c>
      <c r="D695" s="8">
        <f>_xlfn.XLOOKUP(A:A,Sheet1!A:A,Sheet1!F:F)</f>
        <v>29</v>
      </c>
      <c r="E695" s="2" t="str">
        <f>_xlfn.XLOOKUP(A:A,Sheet1!A:A,Sheet1!G:G)</f>
        <v>Germany</v>
      </c>
      <c r="F695" s="8" t="str">
        <f>_xlfn.XLOOKUP(A:A,Sheet1!A:A,Sheet1!H:H)</f>
        <v>German</v>
      </c>
      <c r="G695" s="8" t="str">
        <f>_xlfn.XLOOKUP(A:A,Sheet1!A:A,Sheet1!I:I)</f>
        <v>Data Analysis</v>
      </c>
      <c r="H695" s="8">
        <f>_xlfn.XLOOKUP(A:A,Sheet1!A:A,Sheet1!K:K)</f>
        <v>6</v>
      </c>
      <c r="I695" s="9">
        <f>_xlfn.XLOOKUP(A:A,Sheet1!A:A,Sheet1!M:M)</f>
        <v>100</v>
      </c>
      <c r="J695" s="10">
        <f>_xlfn.XLOOKUP(A:A,Sheet1!A:A,Sheet1!O:O)</f>
        <v>1.8</v>
      </c>
      <c r="K695" t="str">
        <f>_xlfn.XLOOKUP(A:A,Sheet1!A:A,Sheet1!P:P)</f>
        <v>No</v>
      </c>
      <c r="L695" s="12">
        <f>_xlfn.XLOOKUP(A:A,Sheet1!A:A,Sheet1!S:S)</f>
        <v>0.79269417475728277</v>
      </c>
    </row>
    <row r="696" spans="1:12" x14ac:dyDescent="0.35">
      <c r="A696" s="8" t="s">
        <v>1414</v>
      </c>
      <c r="B696" s="2" t="str">
        <f>_xlfn.XLOOKUP(A696,Sheet1!A:A,Sheet1!B:B)</f>
        <v>Mary Brown</v>
      </c>
      <c r="C696" s="2" t="str">
        <f>_xlfn.XLOOKUP(A:A,Sheet1!A:A,Sheet1!D:D)</f>
        <v>Female</v>
      </c>
      <c r="D696" s="8">
        <f>_xlfn.XLOOKUP(A:A,Sheet1!A:A,Sheet1!F:F)</f>
        <v>53</v>
      </c>
      <c r="E696" s="2" t="str">
        <f>_xlfn.XLOOKUP(A:A,Sheet1!A:A,Sheet1!G:G)</f>
        <v>South Africa</v>
      </c>
      <c r="F696" s="8" t="str">
        <f>_xlfn.XLOOKUP(A:A,Sheet1!A:A,Sheet1!H:H)</f>
        <v>Afrikaans</v>
      </c>
      <c r="G696" s="8" t="str">
        <f>_xlfn.XLOOKUP(A:A,Sheet1!A:A,Sheet1!I:I)</f>
        <v>Graphic Design</v>
      </c>
      <c r="H696" s="8">
        <f>_xlfn.XLOOKUP(A:A,Sheet1!A:A,Sheet1!K:K)</f>
        <v>35</v>
      </c>
      <c r="I696" s="9">
        <f>_xlfn.XLOOKUP(A:A,Sheet1!A:A,Sheet1!M:M)</f>
        <v>40</v>
      </c>
      <c r="J696" s="11">
        <v>0</v>
      </c>
      <c r="K696" t="str">
        <f>_xlfn.XLOOKUP(A:A,Sheet1!A:A,Sheet1!P:P)</f>
        <v>Yes</v>
      </c>
      <c r="L696" s="12">
        <f>_xlfn.XLOOKUP(A:A,Sheet1!A:A,Sheet1!S:S)</f>
        <v>0.67</v>
      </c>
    </row>
    <row r="697" spans="1:12" x14ac:dyDescent="0.35">
      <c r="A697" s="8" t="s">
        <v>1415</v>
      </c>
      <c r="B697" s="2" t="str">
        <f>_xlfn.XLOOKUP(A697,Sheet1!A:A,Sheet1!B:B)</f>
        <v>Jon Jones</v>
      </c>
      <c r="C697" s="2" t="str">
        <f>_xlfn.XLOOKUP(A:A,Sheet1!A:A,Sheet1!D:D)</f>
        <v>Male</v>
      </c>
      <c r="D697" s="8">
        <f>_xlfn.XLOOKUP(A:A,Sheet1!A:A,Sheet1!F:F)</f>
        <v>38</v>
      </c>
      <c r="E697" s="2" t="str">
        <f>_xlfn.XLOOKUP(A:A,Sheet1!A:A,Sheet1!G:G)</f>
        <v>India</v>
      </c>
      <c r="F697" s="8" t="str">
        <f>_xlfn.XLOOKUP(A:A,Sheet1!A:A,Sheet1!H:H)</f>
        <v>Hindi</v>
      </c>
      <c r="G697" s="8" t="str">
        <f>_xlfn.XLOOKUP(A:A,Sheet1!A:A,Sheet1!I:I)</f>
        <v>Mobile Apps</v>
      </c>
      <c r="H697" s="8">
        <f>_xlfn.XLOOKUP(A:A,Sheet1!A:A,Sheet1!K:K)</f>
        <v>1</v>
      </c>
      <c r="I697" s="9">
        <f>_xlfn.XLOOKUP(A:A,Sheet1!A:A,Sheet1!M:M)</f>
        <v>40</v>
      </c>
      <c r="J697" s="11">
        <v>0</v>
      </c>
      <c r="K697" t="str">
        <f>_xlfn.XLOOKUP(A:A,Sheet1!A:A,Sheet1!P:P)</f>
        <v>No</v>
      </c>
      <c r="L697" s="12">
        <f>_xlfn.XLOOKUP(A:A,Sheet1!A:A,Sheet1!S:S)</f>
        <v>0.96</v>
      </c>
    </row>
    <row r="698" spans="1:12" x14ac:dyDescent="0.35">
      <c r="A698" s="8" t="s">
        <v>1417</v>
      </c>
      <c r="B698" s="2" t="str">
        <f>_xlfn.XLOOKUP(A698,Sheet1!A:A,Sheet1!B:B)</f>
        <v>Jason Phillips</v>
      </c>
      <c r="C698" s="2" t="str">
        <f>_xlfn.XLOOKUP(A:A,Sheet1!A:A,Sheet1!D:D)</f>
        <v>Male</v>
      </c>
      <c r="D698" s="8">
        <f>_xlfn.XLOOKUP(A:A,Sheet1!A:A,Sheet1!F:F)</f>
        <v>29</v>
      </c>
      <c r="E698" s="2" t="str">
        <f>_xlfn.XLOOKUP(A:A,Sheet1!A:A,Sheet1!G:G)</f>
        <v>Spain</v>
      </c>
      <c r="F698" s="8" t="str">
        <f>_xlfn.XLOOKUP(A:A,Sheet1!A:A,Sheet1!H:H)</f>
        <v>Spanish</v>
      </c>
      <c r="G698" s="8" t="str">
        <f>_xlfn.XLOOKUP(A:A,Sheet1!A:A,Sheet1!I:I)</f>
        <v>Graphic Design</v>
      </c>
      <c r="H698" s="8">
        <f>_xlfn.XLOOKUP(A:A,Sheet1!A:A,Sheet1!K:K)</f>
        <v>9</v>
      </c>
      <c r="I698" s="9">
        <f>_xlfn.XLOOKUP(A:A,Sheet1!A:A,Sheet1!M:M)</f>
        <v>20</v>
      </c>
      <c r="J698" s="11">
        <v>0</v>
      </c>
      <c r="K698" t="str">
        <f>_xlfn.XLOOKUP(A:A,Sheet1!A:A,Sheet1!P:P)</f>
        <v>No</v>
      </c>
      <c r="L698" s="12">
        <f>_xlfn.XLOOKUP(A:A,Sheet1!A:A,Sheet1!S:S)</f>
        <v>0.9</v>
      </c>
    </row>
    <row r="699" spans="1:12" x14ac:dyDescent="0.35">
      <c r="A699" s="8" t="s">
        <v>1419</v>
      </c>
      <c r="B699" s="2" t="str">
        <f>_xlfn.XLOOKUP(A699,Sheet1!A:A,Sheet1!B:B)</f>
        <v>Eric Walsh</v>
      </c>
      <c r="C699" s="2" t="str">
        <f>_xlfn.XLOOKUP(A:A,Sheet1!A:A,Sheet1!D:D)</f>
        <v>Male</v>
      </c>
      <c r="D699" s="8">
        <f>_xlfn.XLOOKUP(A:A,Sheet1!A:A,Sheet1!F:F)</f>
        <v>42</v>
      </c>
      <c r="E699" s="2" t="str">
        <f>_xlfn.XLOOKUP(A:A,Sheet1!A:A,Sheet1!G:G)</f>
        <v>South Korea</v>
      </c>
      <c r="F699" s="8" t="str">
        <f>_xlfn.XLOOKUP(A:A,Sheet1!A:A,Sheet1!H:H)</f>
        <v>Korean</v>
      </c>
      <c r="G699" s="8" t="str">
        <f>_xlfn.XLOOKUP(A:A,Sheet1!A:A,Sheet1!I:I)</f>
        <v>UI/UX Design</v>
      </c>
      <c r="H699" s="8">
        <f>_xlfn.XLOOKUP(A:A,Sheet1!A:A,Sheet1!K:K)</f>
        <v>0</v>
      </c>
      <c r="I699" s="9">
        <f>_xlfn.XLOOKUP(A:A,Sheet1!A:A,Sheet1!M:M)</f>
        <v>40</v>
      </c>
      <c r="J699" s="10">
        <f>_xlfn.XLOOKUP(A:A,Sheet1!A:A,Sheet1!O:O)</f>
        <v>3.9</v>
      </c>
      <c r="K699" t="str">
        <f>_xlfn.XLOOKUP(A:A,Sheet1!A:A,Sheet1!P:P)</f>
        <v>No</v>
      </c>
      <c r="L699" s="12">
        <f>_xlfn.XLOOKUP(A:A,Sheet1!A:A,Sheet1!S:S)</f>
        <v>0.62</v>
      </c>
    </row>
    <row r="700" spans="1:12" x14ac:dyDescent="0.35">
      <c r="A700" s="8" t="s">
        <v>1421</v>
      </c>
      <c r="B700" s="2" t="str">
        <f>_xlfn.XLOOKUP(A700,Sheet1!A:A,Sheet1!B:B)</f>
        <v>Carol Schneider</v>
      </c>
      <c r="C700" s="2" t="str">
        <f>_xlfn.XLOOKUP(A:A,Sheet1!A:A,Sheet1!D:D)</f>
        <v>Female</v>
      </c>
      <c r="D700" s="8">
        <f>_xlfn.XLOOKUP(A:A,Sheet1!A:A,Sheet1!F:F)</f>
        <v>54</v>
      </c>
      <c r="E700" s="2" t="str">
        <f>_xlfn.XLOOKUP(A:A,Sheet1!A:A,Sheet1!G:G)</f>
        <v>United States</v>
      </c>
      <c r="F700" s="8" t="str">
        <f>_xlfn.XLOOKUP(A:A,Sheet1!A:A,Sheet1!H:H)</f>
        <v>English</v>
      </c>
      <c r="G700" s="8" t="str">
        <f>_xlfn.XLOOKUP(A:A,Sheet1!A:A,Sheet1!I:I)</f>
        <v>Machine Learning</v>
      </c>
      <c r="H700" s="8">
        <f>_xlfn.XLOOKUP(A:A,Sheet1!A:A,Sheet1!K:K)</f>
        <v>9</v>
      </c>
      <c r="I700" s="9">
        <f>_xlfn.XLOOKUP(A:A,Sheet1!A:A,Sheet1!M:M)</f>
        <v>100</v>
      </c>
      <c r="J700" s="10">
        <f>_xlfn.XLOOKUP(A:A,Sheet1!A:A,Sheet1!O:O)</f>
        <v>2.5125695216907653</v>
      </c>
      <c r="K700" t="str">
        <f>_xlfn.XLOOKUP(A:A,Sheet1!A:A,Sheet1!P:P)</f>
        <v>No</v>
      </c>
      <c r="L700" s="12">
        <f>_xlfn.XLOOKUP(A:A,Sheet1!A:A,Sheet1!S:S)</f>
        <v>0.72</v>
      </c>
    </row>
    <row r="701" spans="1:12" x14ac:dyDescent="0.35">
      <c r="A701" s="8" t="s">
        <v>1423</v>
      </c>
      <c r="B701" s="2" t="str">
        <f>_xlfn.XLOOKUP(A701,Sheet1!A:A,Sheet1!B:B)</f>
        <v>Juan Hines</v>
      </c>
      <c r="C701" s="2" t="str">
        <f>_xlfn.XLOOKUP(A:A,Sheet1!A:A,Sheet1!D:D)</f>
        <v>Male</v>
      </c>
      <c r="D701" s="8">
        <f>_xlfn.XLOOKUP(A:A,Sheet1!A:A,Sheet1!F:F)</f>
        <v>56</v>
      </c>
      <c r="E701" s="2" t="str">
        <f>_xlfn.XLOOKUP(A:A,Sheet1!A:A,Sheet1!G:G)</f>
        <v>China</v>
      </c>
      <c r="F701" s="8" t="str">
        <f>_xlfn.XLOOKUP(A:A,Sheet1!A:A,Sheet1!H:H)</f>
        <v>Mandarin</v>
      </c>
      <c r="G701" s="8" t="str">
        <f>_xlfn.XLOOKUP(A:A,Sheet1!A:A,Sheet1!I:I)</f>
        <v>UI/UX Design</v>
      </c>
      <c r="H701" s="8">
        <f>_xlfn.XLOOKUP(A:A,Sheet1!A:A,Sheet1!K:K)</f>
        <v>18</v>
      </c>
      <c r="I701" s="9">
        <f>_xlfn.XLOOKUP(A:A,Sheet1!A:A,Sheet1!M:M)</f>
        <v>50</v>
      </c>
      <c r="J701" s="10">
        <f>_xlfn.XLOOKUP(A:A,Sheet1!A:A,Sheet1!O:O)</f>
        <v>4.4000000000000004</v>
      </c>
      <c r="K701" t="str">
        <f>_xlfn.XLOOKUP(A:A,Sheet1!A:A,Sheet1!P:P)</f>
        <v>Yes</v>
      </c>
      <c r="L701" s="12">
        <f>_xlfn.XLOOKUP(A:A,Sheet1!A:A,Sheet1!S:S)</f>
        <v>0.83</v>
      </c>
    </row>
    <row r="702" spans="1:12" x14ac:dyDescent="0.35">
      <c r="A702" s="8" t="s">
        <v>1425</v>
      </c>
      <c r="B702" s="2" t="str">
        <f>_xlfn.XLOOKUP(A702,Sheet1!A:A,Sheet1!B:B)</f>
        <v>Martha Sweeney</v>
      </c>
      <c r="C702" s="2" t="str">
        <f>_xlfn.XLOOKUP(A:A,Sheet1!A:A,Sheet1!D:D)</f>
        <v>Female</v>
      </c>
      <c r="D702" s="8">
        <f>_xlfn.XLOOKUP(A:A,Sheet1!A:A,Sheet1!F:F)</f>
        <v>47</v>
      </c>
      <c r="E702" s="2" t="str">
        <f>_xlfn.XLOOKUP(A:A,Sheet1!A:A,Sheet1!G:G)</f>
        <v>Turkey</v>
      </c>
      <c r="F702" s="8" t="str">
        <f>_xlfn.XLOOKUP(A:A,Sheet1!A:A,Sheet1!H:H)</f>
        <v>Turkish</v>
      </c>
      <c r="G702" s="8" t="str">
        <f>_xlfn.XLOOKUP(A:A,Sheet1!A:A,Sheet1!I:I)</f>
        <v>Graphic Design</v>
      </c>
      <c r="H702" s="8">
        <f>_xlfn.XLOOKUP(A:A,Sheet1!A:A,Sheet1!K:K)</f>
        <v>22</v>
      </c>
      <c r="I702" s="9">
        <f>_xlfn.XLOOKUP(A:A,Sheet1!A:A,Sheet1!M:M)</f>
        <v>100</v>
      </c>
      <c r="J702" s="10">
        <f>_xlfn.XLOOKUP(A:A,Sheet1!A:A,Sheet1!O:O)</f>
        <v>4.4000000000000004</v>
      </c>
      <c r="K702" t="str">
        <f>_xlfn.XLOOKUP(A:A,Sheet1!A:A,Sheet1!P:P)</f>
        <v>No</v>
      </c>
      <c r="L702" s="12">
        <f>_xlfn.XLOOKUP(A:A,Sheet1!A:A,Sheet1!S:S)</f>
        <v>0.7</v>
      </c>
    </row>
    <row r="703" spans="1:12" x14ac:dyDescent="0.35">
      <c r="A703" s="8" t="s">
        <v>1427</v>
      </c>
      <c r="B703" s="2" t="str">
        <f>_xlfn.XLOOKUP(A703,Sheet1!A:A,Sheet1!B:B)</f>
        <v>Jason Weaver</v>
      </c>
      <c r="C703" s="2" t="str">
        <f>_xlfn.XLOOKUP(A:A,Sheet1!A:A,Sheet1!D:D)</f>
        <v>Male</v>
      </c>
      <c r="D703" s="8">
        <f>_xlfn.XLOOKUP(A:A,Sheet1!A:A,Sheet1!F:F)</f>
        <v>45</v>
      </c>
      <c r="E703" s="2" t="str">
        <f>_xlfn.XLOOKUP(A:A,Sheet1!A:A,Sheet1!G:G)</f>
        <v>Russia</v>
      </c>
      <c r="F703" s="8" t="str">
        <f>_xlfn.XLOOKUP(A:A,Sheet1!A:A,Sheet1!H:H)</f>
        <v>Russian</v>
      </c>
      <c r="G703" s="8" t="str">
        <f>_xlfn.XLOOKUP(A:A,Sheet1!A:A,Sheet1!I:I)</f>
        <v>Blockchain Development</v>
      </c>
      <c r="H703" s="8">
        <f>_xlfn.XLOOKUP(A:A,Sheet1!A:A,Sheet1!K:K)</f>
        <v>25</v>
      </c>
      <c r="I703" s="9">
        <f>_xlfn.XLOOKUP(A:A,Sheet1!A:A,Sheet1!M:M)</f>
        <v>50</v>
      </c>
      <c r="J703" s="11">
        <v>0</v>
      </c>
      <c r="K703" t="str">
        <f>_xlfn.XLOOKUP(A:A,Sheet1!A:A,Sheet1!P:P)</f>
        <v>No</v>
      </c>
      <c r="L703" s="12">
        <f>_xlfn.XLOOKUP(A:A,Sheet1!A:A,Sheet1!S:S)</f>
        <v>0.99</v>
      </c>
    </row>
    <row r="704" spans="1:12" x14ac:dyDescent="0.35">
      <c r="A704" s="8" t="s">
        <v>1429</v>
      </c>
      <c r="B704" s="2" t="str">
        <f>_xlfn.XLOOKUP(A704,Sheet1!A:A,Sheet1!B:B)</f>
        <v>Benjamin Stevens</v>
      </c>
      <c r="C704" s="2" t="str">
        <f>_xlfn.XLOOKUP(A:A,Sheet1!A:A,Sheet1!D:D)</f>
        <v>Male</v>
      </c>
      <c r="D704" s="8">
        <f>_xlfn.XLOOKUP(A:A,Sheet1!A:A,Sheet1!F:F)</f>
        <v>45</v>
      </c>
      <c r="E704" s="2" t="str">
        <f>_xlfn.XLOOKUP(A:A,Sheet1!A:A,Sheet1!G:G)</f>
        <v>China</v>
      </c>
      <c r="F704" s="8" t="str">
        <f>_xlfn.XLOOKUP(A:A,Sheet1!A:A,Sheet1!H:H)</f>
        <v>Mandarin</v>
      </c>
      <c r="G704" s="8" t="str">
        <f>_xlfn.XLOOKUP(A:A,Sheet1!A:A,Sheet1!I:I)</f>
        <v>Data Analysis</v>
      </c>
      <c r="H704" s="8">
        <f>_xlfn.XLOOKUP(A:A,Sheet1!A:A,Sheet1!K:K)</f>
        <v>6</v>
      </c>
      <c r="I704" s="9">
        <f>_xlfn.XLOOKUP(A:A,Sheet1!A:A,Sheet1!M:M)</f>
        <v>50</v>
      </c>
      <c r="J704" s="10">
        <f>_xlfn.XLOOKUP(A:A,Sheet1!A:A,Sheet1!O:O)</f>
        <v>1.4</v>
      </c>
      <c r="K704" t="str">
        <f>_xlfn.XLOOKUP(A:A,Sheet1!A:A,Sheet1!P:P)</f>
        <v>No</v>
      </c>
      <c r="L704" s="12">
        <f>_xlfn.XLOOKUP(A:A,Sheet1!A:A,Sheet1!S:S)</f>
        <v>0.97</v>
      </c>
    </row>
    <row r="705" spans="1:12" x14ac:dyDescent="0.35">
      <c r="A705" s="8" t="s">
        <v>1431</v>
      </c>
      <c r="B705" s="2" t="str">
        <f>_xlfn.XLOOKUP(A705,Sheet1!A:A,Sheet1!B:B)</f>
        <v>Daniel Lopez</v>
      </c>
      <c r="C705" s="2" t="str">
        <f>_xlfn.XLOOKUP(A:A,Sheet1!A:A,Sheet1!D:D)</f>
        <v>Male</v>
      </c>
      <c r="D705" s="8">
        <f>_xlfn.XLOOKUP(A:A,Sheet1!A:A,Sheet1!F:F)</f>
        <v>35</v>
      </c>
      <c r="E705" s="2" t="str">
        <f>_xlfn.XLOOKUP(A:A,Sheet1!A:A,Sheet1!G:G)</f>
        <v>Canada</v>
      </c>
      <c r="F705" s="8" t="str">
        <f>_xlfn.XLOOKUP(A:A,Sheet1!A:A,Sheet1!H:H)</f>
        <v>English</v>
      </c>
      <c r="G705" s="8" t="str">
        <f>_xlfn.XLOOKUP(A:A,Sheet1!A:A,Sheet1!I:I)</f>
        <v>Machine Learning</v>
      </c>
      <c r="H705" s="8">
        <f>_xlfn.XLOOKUP(A:A,Sheet1!A:A,Sheet1!K:K)</f>
        <v>10</v>
      </c>
      <c r="I705" s="9">
        <f>_xlfn.XLOOKUP(A:A,Sheet1!A:A,Sheet1!M:M)</f>
        <v>20</v>
      </c>
      <c r="J705" s="10">
        <f>_xlfn.XLOOKUP(A:A,Sheet1!A:A,Sheet1!O:O)</f>
        <v>3.2</v>
      </c>
      <c r="K705" t="str">
        <f>_xlfn.XLOOKUP(A:A,Sheet1!A:A,Sheet1!P:P)</f>
        <v>Yes</v>
      </c>
      <c r="L705" s="12">
        <f>_xlfn.XLOOKUP(A:A,Sheet1!A:A,Sheet1!S:S)</f>
        <v>0.77</v>
      </c>
    </row>
    <row r="706" spans="1:12" x14ac:dyDescent="0.35">
      <c r="A706" s="8" t="s">
        <v>1433</v>
      </c>
      <c r="B706" s="2" t="str">
        <f>_xlfn.XLOOKUP(A706,Sheet1!A:A,Sheet1!B:B)</f>
        <v>John Simpson</v>
      </c>
      <c r="C706" s="2" t="str">
        <f>_xlfn.XLOOKUP(A:A,Sheet1!A:A,Sheet1!D:D)</f>
        <v>Male</v>
      </c>
      <c r="D706" s="8">
        <f>_xlfn.XLOOKUP(A:A,Sheet1!A:A,Sheet1!F:F)</f>
        <v>51</v>
      </c>
      <c r="E706" s="2" t="str">
        <f>_xlfn.XLOOKUP(A:A,Sheet1!A:A,Sheet1!G:G)</f>
        <v>Canada</v>
      </c>
      <c r="F706" s="8" t="str">
        <f>_xlfn.XLOOKUP(A:A,Sheet1!A:A,Sheet1!H:H)</f>
        <v>English</v>
      </c>
      <c r="G706" s="8" t="str">
        <f>_xlfn.XLOOKUP(A:A,Sheet1!A:A,Sheet1!I:I)</f>
        <v>DevOps</v>
      </c>
      <c r="H706" s="8">
        <f>_xlfn.XLOOKUP(A:A,Sheet1!A:A,Sheet1!K:K)</f>
        <v>4</v>
      </c>
      <c r="I706" s="9">
        <f>_xlfn.XLOOKUP(A:A,Sheet1!A:A,Sheet1!M:M)</f>
        <v>50</v>
      </c>
      <c r="J706" s="10">
        <f>_xlfn.XLOOKUP(A:A,Sheet1!A:A,Sheet1!O:O)</f>
        <v>2</v>
      </c>
      <c r="K706" t="str">
        <f>_xlfn.XLOOKUP(A:A,Sheet1!A:A,Sheet1!P:P)</f>
        <v>No</v>
      </c>
      <c r="L706" s="12">
        <f>_xlfn.XLOOKUP(A:A,Sheet1!A:A,Sheet1!S:S)</f>
        <v>0.92</v>
      </c>
    </row>
    <row r="707" spans="1:12" x14ac:dyDescent="0.35">
      <c r="A707" s="8" t="s">
        <v>1435</v>
      </c>
      <c r="B707" s="2" t="str">
        <f>_xlfn.XLOOKUP(A707,Sheet1!A:A,Sheet1!B:B)</f>
        <v>Katrina Schultz</v>
      </c>
      <c r="C707" s="2" t="str">
        <f>_xlfn.XLOOKUP(A:A,Sheet1!A:A,Sheet1!D:D)</f>
        <v>Female</v>
      </c>
      <c r="D707" s="8">
        <f>_xlfn.XLOOKUP(A:A,Sheet1!A:A,Sheet1!F:F)</f>
        <v>34</v>
      </c>
      <c r="E707" s="2" t="str">
        <f>_xlfn.XLOOKUP(A:A,Sheet1!A:A,Sheet1!G:G)</f>
        <v>Spain</v>
      </c>
      <c r="F707" s="8" t="str">
        <f>_xlfn.XLOOKUP(A:A,Sheet1!A:A,Sheet1!H:H)</f>
        <v>Spanish</v>
      </c>
      <c r="G707" s="8" t="str">
        <f>_xlfn.XLOOKUP(A:A,Sheet1!A:A,Sheet1!I:I)</f>
        <v>Mobile Apps</v>
      </c>
      <c r="H707" s="8">
        <f>_xlfn.XLOOKUP(A:A,Sheet1!A:A,Sheet1!K:K)</f>
        <v>11</v>
      </c>
      <c r="I707" s="9">
        <f>_xlfn.XLOOKUP(A:A,Sheet1!A:A,Sheet1!M:M)</f>
        <v>50</v>
      </c>
      <c r="J707" s="10">
        <f>_xlfn.XLOOKUP(A:A,Sheet1!A:A,Sheet1!O:O)</f>
        <v>3.3</v>
      </c>
      <c r="K707" t="str">
        <f>_xlfn.XLOOKUP(A:A,Sheet1!A:A,Sheet1!P:P)</f>
        <v>Yes</v>
      </c>
      <c r="L707" s="12">
        <f>_xlfn.XLOOKUP(A:A,Sheet1!A:A,Sheet1!S:S)</f>
        <v>0.76</v>
      </c>
    </row>
    <row r="708" spans="1:12" x14ac:dyDescent="0.35">
      <c r="A708" s="8" t="s">
        <v>1437</v>
      </c>
      <c r="B708" s="2" t="str">
        <f>_xlfn.XLOOKUP(A708,Sheet1!A:A,Sheet1!B:B)</f>
        <v>Danielle Bell</v>
      </c>
      <c r="C708" s="2" t="str">
        <f>_xlfn.XLOOKUP(A:A,Sheet1!A:A,Sheet1!D:D)</f>
        <v>Female</v>
      </c>
      <c r="D708" s="8">
        <f>_xlfn.XLOOKUP(A:A,Sheet1!A:A,Sheet1!F:F)</f>
        <v>51</v>
      </c>
      <c r="E708" s="2" t="str">
        <f>_xlfn.XLOOKUP(A:A,Sheet1!A:A,Sheet1!G:G)</f>
        <v>Indonesia</v>
      </c>
      <c r="F708" s="8" t="str">
        <f>_xlfn.XLOOKUP(A:A,Sheet1!A:A,Sheet1!H:H)</f>
        <v>Indonesian</v>
      </c>
      <c r="G708" s="8" t="str">
        <f>_xlfn.XLOOKUP(A:A,Sheet1!A:A,Sheet1!I:I)</f>
        <v>Graphic Design</v>
      </c>
      <c r="H708" s="8">
        <f>_xlfn.XLOOKUP(A:A,Sheet1!A:A,Sheet1!K:K)</f>
        <v>1</v>
      </c>
      <c r="I708" s="9">
        <f>_xlfn.XLOOKUP(A:A,Sheet1!A:A,Sheet1!M:M)</f>
        <v>50</v>
      </c>
      <c r="J708" s="11">
        <v>0</v>
      </c>
      <c r="K708" t="str">
        <f>_xlfn.XLOOKUP(A:A,Sheet1!A:A,Sheet1!P:P)</f>
        <v>Yes</v>
      </c>
      <c r="L708" s="12">
        <f>_xlfn.XLOOKUP(A:A,Sheet1!A:A,Sheet1!S:S)</f>
        <v>0.97</v>
      </c>
    </row>
    <row r="709" spans="1:12" x14ac:dyDescent="0.35">
      <c r="A709" s="8" t="s">
        <v>1439</v>
      </c>
      <c r="B709" s="2" t="str">
        <f>_xlfn.XLOOKUP(A709,Sheet1!A:A,Sheet1!B:B)</f>
        <v>Jason Brady</v>
      </c>
      <c r="C709" s="2" t="str">
        <f>_xlfn.XLOOKUP(A:A,Sheet1!A:A,Sheet1!D:D)</f>
        <v>Male</v>
      </c>
      <c r="D709" s="8">
        <f>_xlfn.XLOOKUP(A:A,Sheet1!A:A,Sheet1!F:F)</f>
        <v>58</v>
      </c>
      <c r="E709" s="2" t="str">
        <f>_xlfn.XLOOKUP(A:A,Sheet1!A:A,Sheet1!G:G)</f>
        <v>Egypt</v>
      </c>
      <c r="F709" s="8" t="str">
        <f>_xlfn.XLOOKUP(A:A,Sheet1!A:A,Sheet1!H:H)</f>
        <v>Arabic</v>
      </c>
      <c r="G709" s="8" t="str">
        <f>_xlfn.XLOOKUP(A:A,Sheet1!A:A,Sheet1!I:I)</f>
        <v>Graphic Design</v>
      </c>
      <c r="H709" s="8">
        <f>_xlfn.XLOOKUP(A:A,Sheet1!A:A,Sheet1!K:K)</f>
        <v>35</v>
      </c>
      <c r="I709" s="9">
        <f>_xlfn.XLOOKUP(A:A,Sheet1!A:A,Sheet1!M:M)</f>
        <v>100</v>
      </c>
      <c r="J709" s="10">
        <f>_xlfn.XLOOKUP(A:A,Sheet1!A:A,Sheet1!O:O)</f>
        <v>2.2999999999999998</v>
      </c>
      <c r="K709" t="str">
        <f>_xlfn.XLOOKUP(A:A,Sheet1!A:A,Sheet1!P:P)</f>
        <v>Yes</v>
      </c>
      <c r="L709" s="12">
        <f>_xlfn.XLOOKUP(A:A,Sheet1!A:A,Sheet1!S:S)</f>
        <v>0.79269417475728277</v>
      </c>
    </row>
    <row r="710" spans="1:12" x14ac:dyDescent="0.35">
      <c r="A710" s="8" t="s">
        <v>1441</v>
      </c>
      <c r="B710" s="2" t="str">
        <f>_xlfn.XLOOKUP(A710,Sheet1!A:A,Sheet1!B:B)</f>
        <v>Megan Bright</v>
      </c>
      <c r="C710" s="2" t="str">
        <f>_xlfn.XLOOKUP(A:A,Sheet1!A:A,Sheet1!D:D)</f>
        <v>Female</v>
      </c>
      <c r="D710" s="8">
        <f>_xlfn.XLOOKUP(A:A,Sheet1!A:A,Sheet1!F:F)</f>
        <v>36</v>
      </c>
      <c r="E710" s="2" t="str">
        <f>_xlfn.XLOOKUP(A:A,Sheet1!A:A,Sheet1!G:G)</f>
        <v>Netherlands</v>
      </c>
      <c r="F710" s="8" t="str">
        <f>_xlfn.XLOOKUP(A:A,Sheet1!A:A,Sheet1!H:H)</f>
        <v>Dutch</v>
      </c>
      <c r="G710" s="8" t="str">
        <f>_xlfn.XLOOKUP(A:A,Sheet1!A:A,Sheet1!I:I)</f>
        <v>Web Development</v>
      </c>
      <c r="H710" s="8">
        <f>_xlfn.XLOOKUP(A:A,Sheet1!A:A,Sheet1!K:K)</f>
        <v>17</v>
      </c>
      <c r="I710" s="9">
        <f>_xlfn.XLOOKUP(A:A,Sheet1!A:A,Sheet1!M:M)</f>
        <v>20</v>
      </c>
      <c r="J710" s="11">
        <v>0</v>
      </c>
      <c r="K710" t="str">
        <f>_xlfn.XLOOKUP(A:A,Sheet1!A:A,Sheet1!P:P)</f>
        <v>Yes</v>
      </c>
      <c r="L710" s="12">
        <f>_xlfn.XLOOKUP(A:A,Sheet1!A:A,Sheet1!S:S)</f>
        <v>0.99</v>
      </c>
    </row>
    <row r="711" spans="1:12" x14ac:dyDescent="0.35">
      <c r="A711" s="8" t="s">
        <v>1443</v>
      </c>
      <c r="B711" s="2" t="str">
        <f>_xlfn.XLOOKUP(A711,Sheet1!A:A,Sheet1!B:B)</f>
        <v>David Griffin</v>
      </c>
      <c r="C711" s="2" t="str">
        <f>_xlfn.XLOOKUP(A:A,Sheet1!A:A,Sheet1!D:D)</f>
        <v>Male</v>
      </c>
      <c r="D711" s="8">
        <f>_xlfn.XLOOKUP(A:A,Sheet1!A:A,Sheet1!F:F)</f>
        <v>41</v>
      </c>
      <c r="E711" s="2" t="str">
        <f>_xlfn.XLOOKUP(A:A,Sheet1!A:A,Sheet1!G:G)</f>
        <v>Russia</v>
      </c>
      <c r="F711" s="8" t="str">
        <f>_xlfn.XLOOKUP(A:A,Sheet1!A:A,Sheet1!H:H)</f>
        <v>Russian</v>
      </c>
      <c r="G711" s="8" t="str">
        <f>_xlfn.XLOOKUP(A:A,Sheet1!A:A,Sheet1!I:I)</f>
        <v>AI</v>
      </c>
      <c r="H711" s="8">
        <f>_xlfn.XLOOKUP(A:A,Sheet1!A:A,Sheet1!K:K)</f>
        <v>12</v>
      </c>
      <c r="I711" s="9">
        <f>_xlfn.XLOOKUP(A:A,Sheet1!A:A,Sheet1!M:M)</f>
        <v>30</v>
      </c>
      <c r="J711" s="10">
        <f>_xlfn.XLOOKUP(A:A,Sheet1!A:A,Sheet1!O:O)</f>
        <v>2.6</v>
      </c>
      <c r="K711" t="str">
        <f>_xlfn.XLOOKUP(A:A,Sheet1!A:A,Sheet1!P:P)</f>
        <v>Yes</v>
      </c>
      <c r="L711" s="12">
        <f>_xlfn.XLOOKUP(A:A,Sheet1!A:A,Sheet1!S:S)</f>
        <v>0.79269417475728277</v>
      </c>
    </row>
    <row r="712" spans="1:12" x14ac:dyDescent="0.35">
      <c r="A712" s="8" t="s">
        <v>1445</v>
      </c>
      <c r="B712" s="2" t="str">
        <f>_xlfn.XLOOKUP(A712,Sheet1!A:A,Sheet1!B:B)</f>
        <v>Michael Clark</v>
      </c>
      <c r="C712" s="2" t="str">
        <f>_xlfn.XLOOKUP(A:A,Sheet1!A:A,Sheet1!D:D)</f>
        <v>Male</v>
      </c>
      <c r="D712" s="8">
        <f>_xlfn.XLOOKUP(A:A,Sheet1!A:A,Sheet1!F:F)</f>
        <v>56</v>
      </c>
      <c r="E712" s="2" t="str">
        <f>_xlfn.XLOOKUP(A:A,Sheet1!A:A,Sheet1!G:G)</f>
        <v>South Africa</v>
      </c>
      <c r="F712" s="8" t="str">
        <f>_xlfn.XLOOKUP(A:A,Sheet1!A:A,Sheet1!H:H)</f>
        <v>Afrikaans</v>
      </c>
      <c r="G712" s="8" t="str">
        <f>_xlfn.XLOOKUP(A:A,Sheet1!A:A,Sheet1!I:I)</f>
        <v>Machine Learning</v>
      </c>
      <c r="H712" s="8">
        <f>_xlfn.XLOOKUP(A:A,Sheet1!A:A,Sheet1!K:K)</f>
        <v>30</v>
      </c>
      <c r="I712" s="9">
        <f>_xlfn.XLOOKUP(A:A,Sheet1!A:A,Sheet1!M:M)</f>
        <v>40</v>
      </c>
      <c r="J712" s="10">
        <f>_xlfn.XLOOKUP(A:A,Sheet1!A:A,Sheet1!O:O)</f>
        <v>3.3</v>
      </c>
      <c r="K712" t="str">
        <f>_xlfn.XLOOKUP(A:A,Sheet1!A:A,Sheet1!P:P)</f>
        <v>Yes</v>
      </c>
      <c r="L712" s="12">
        <f>_xlfn.XLOOKUP(A:A,Sheet1!A:A,Sheet1!S:S)</f>
        <v>0.82</v>
      </c>
    </row>
    <row r="713" spans="1:12" x14ac:dyDescent="0.35">
      <c r="A713" s="8" t="s">
        <v>1447</v>
      </c>
      <c r="B713" s="2" t="str">
        <f>_xlfn.XLOOKUP(A713,Sheet1!A:A,Sheet1!B:B)</f>
        <v>Rebecca Barker</v>
      </c>
      <c r="C713" s="2" t="str">
        <f>_xlfn.XLOOKUP(A:A,Sheet1!A:A,Sheet1!D:D)</f>
        <v>Female</v>
      </c>
      <c r="D713" s="8">
        <f>_xlfn.XLOOKUP(A:A,Sheet1!A:A,Sheet1!F:F)</f>
        <v>58</v>
      </c>
      <c r="E713" s="2" t="str">
        <f>_xlfn.XLOOKUP(A:A,Sheet1!A:A,Sheet1!G:G)</f>
        <v>Canada</v>
      </c>
      <c r="F713" s="8" t="str">
        <f>_xlfn.XLOOKUP(A:A,Sheet1!A:A,Sheet1!H:H)</f>
        <v>English</v>
      </c>
      <c r="G713" s="8" t="str">
        <f>_xlfn.XLOOKUP(A:A,Sheet1!A:A,Sheet1!I:I)</f>
        <v>Cybersecurity</v>
      </c>
      <c r="H713" s="8">
        <f>_xlfn.XLOOKUP(A:A,Sheet1!A:A,Sheet1!K:K)</f>
        <v>20</v>
      </c>
      <c r="I713" s="9">
        <f>_xlfn.XLOOKUP(A:A,Sheet1!A:A,Sheet1!M:M)</f>
        <v>75</v>
      </c>
      <c r="J713" s="10">
        <f>_xlfn.XLOOKUP(A:A,Sheet1!A:A,Sheet1!O:O)</f>
        <v>3.6</v>
      </c>
      <c r="K713" t="str">
        <f>_xlfn.XLOOKUP(A:A,Sheet1!A:A,Sheet1!P:P)</f>
        <v>Yes</v>
      </c>
      <c r="L713" s="12">
        <f>_xlfn.XLOOKUP(A:A,Sheet1!A:A,Sheet1!S:S)</f>
        <v>0.78</v>
      </c>
    </row>
    <row r="714" spans="1:12" x14ac:dyDescent="0.35">
      <c r="A714" s="8" t="s">
        <v>1449</v>
      </c>
      <c r="B714" s="2" t="str">
        <f>_xlfn.XLOOKUP(A714,Sheet1!A:A,Sheet1!B:B)</f>
        <v>Angela Smith</v>
      </c>
      <c r="C714" s="2" t="str">
        <f>_xlfn.XLOOKUP(A:A,Sheet1!A:A,Sheet1!D:D)</f>
        <v>Female</v>
      </c>
      <c r="D714" s="8">
        <f>_xlfn.XLOOKUP(A:A,Sheet1!A:A,Sheet1!F:F)</f>
        <v>58</v>
      </c>
      <c r="E714" s="2" t="str">
        <f>_xlfn.XLOOKUP(A:A,Sheet1!A:A,Sheet1!G:G)</f>
        <v>United States</v>
      </c>
      <c r="F714" s="8" t="str">
        <f>_xlfn.XLOOKUP(A:A,Sheet1!A:A,Sheet1!H:H)</f>
        <v>English</v>
      </c>
      <c r="G714" s="8" t="str">
        <f>_xlfn.XLOOKUP(A:A,Sheet1!A:A,Sheet1!I:I)</f>
        <v>Cybersecurity</v>
      </c>
      <c r="H714" s="8">
        <f>_xlfn.XLOOKUP(A:A,Sheet1!A:A,Sheet1!K:K)</f>
        <v>22</v>
      </c>
      <c r="I714" s="9">
        <f>_xlfn.XLOOKUP(A:A,Sheet1!A:A,Sheet1!M:M)</f>
        <v>100</v>
      </c>
      <c r="J714" s="10">
        <f>_xlfn.XLOOKUP(A:A,Sheet1!A:A,Sheet1!O:O)</f>
        <v>3.7</v>
      </c>
      <c r="K714" t="str">
        <f>_xlfn.XLOOKUP(A:A,Sheet1!A:A,Sheet1!P:P)</f>
        <v>No</v>
      </c>
      <c r="L714" s="12">
        <f>_xlfn.XLOOKUP(A:A,Sheet1!A:A,Sheet1!S:S)</f>
        <v>0.79269417475728277</v>
      </c>
    </row>
    <row r="715" spans="1:12" x14ac:dyDescent="0.35">
      <c r="A715" s="8" t="s">
        <v>1451</v>
      </c>
      <c r="B715" s="2" t="str">
        <f>_xlfn.XLOOKUP(A715,Sheet1!A:A,Sheet1!B:B)</f>
        <v>Christina Wright</v>
      </c>
      <c r="C715" s="2" t="str">
        <f>_xlfn.XLOOKUP(A:A,Sheet1!A:A,Sheet1!D:D)</f>
        <v>Female</v>
      </c>
      <c r="D715" s="8">
        <f>_xlfn.XLOOKUP(A:A,Sheet1!A:A,Sheet1!F:F)</f>
        <v>54</v>
      </c>
      <c r="E715" s="2" t="str">
        <f>_xlfn.XLOOKUP(A:A,Sheet1!A:A,Sheet1!G:G)</f>
        <v>United Kingdom</v>
      </c>
      <c r="F715" s="8" t="str">
        <f>_xlfn.XLOOKUP(A:A,Sheet1!A:A,Sheet1!H:H)</f>
        <v>English</v>
      </c>
      <c r="G715" s="8" t="str">
        <f>_xlfn.XLOOKUP(A:A,Sheet1!A:A,Sheet1!I:I)</f>
        <v>AI</v>
      </c>
      <c r="H715" s="8">
        <f>_xlfn.XLOOKUP(A:A,Sheet1!A:A,Sheet1!K:K)</f>
        <v>32</v>
      </c>
      <c r="I715" s="9">
        <f>_xlfn.XLOOKUP(A:A,Sheet1!A:A,Sheet1!M:M)</f>
        <v>20</v>
      </c>
      <c r="J715" s="10">
        <f>_xlfn.XLOOKUP(A:A,Sheet1!A:A,Sheet1!O:O)</f>
        <v>3.4</v>
      </c>
      <c r="K715" t="str">
        <f>_xlfn.XLOOKUP(A:A,Sheet1!A:A,Sheet1!P:P)</f>
        <v>No</v>
      </c>
      <c r="L715" s="12">
        <f>_xlfn.XLOOKUP(A:A,Sheet1!A:A,Sheet1!S:S)</f>
        <v>0.79269417475728277</v>
      </c>
    </row>
    <row r="716" spans="1:12" x14ac:dyDescent="0.35">
      <c r="A716" s="8" t="s">
        <v>1453</v>
      </c>
      <c r="B716" s="2" t="str">
        <f>_xlfn.XLOOKUP(A716,Sheet1!A:A,Sheet1!B:B)</f>
        <v>Todd Turner</v>
      </c>
      <c r="C716" s="2" t="str">
        <f>_xlfn.XLOOKUP(A:A,Sheet1!A:A,Sheet1!D:D)</f>
        <v>Male</v>
      </c>
      <c r="D716" s="8">
        <f>_xlfn.XLOOKUP(A:A,Sheet1!A:A,Sheet1!F:F)</f>
        <v>53</v>
      </c>
      <c r="E716" s="2" t="str">
        <f>_xlfn.XLOOKUP(A:A,Sheet1!A:A,Sheet1!G:G)</f>
        <v>Australia</v>
      </c>
      <c r="F716" s="8" t="str">
        <f>_xlfn.XLOOKUP(A:A,Sheet1!A:A,Sheet1!H:H)</f>
        <v>English</v>
      </c>
      <c r="G716" s="8" t="str">
        <f>_xlfn.XLOOKUP(A:A,Sheet1!A:A,Sheet1!I:I)</f>
        <v>UI/UX Design</v>
      </c>
      <c r="H716" s="8">
        <f>_xlfn.XLOOKUP(A:A,Sheet1!A:A,Sheet1!K:K)</f>
        <v>9</v>
      </c>
      <c r="I716" s="9">
        <f>_xlfn.XLOOKUP(A:A,Sheet1!A:A,Sheet1!M:M)</f>
        <v>50</v>
      </c>
      <c r="J716" s="10">
        <f>_xlfn.XLOOKUP(A:A,Sheet1!A:A,Sheet1!O:O)</f>
        <v>4</v>
      </c>
      <c r="K716" t="str">
        <f>_xlfn.XLOOKUP(A:A,Sheet1!A:A,Sheet1!P:P)</f>
        <v>Yes</v>
      </c>
      <c r="L716" s="12">
        <f>_xlfn.XLOOKUP(A:A,Sheet1!A:A,Sheet1!S:S)</f>
        <v>0.72</v>
      </c>
    </row>
    <row r="717" spans="1:12" x14ac:dyDescent="0.35">
      <c r="A717" s="8" t="s">
        <v>1455</v>
      </c>
      <c r="B717" s="2" t="str">
        <f>_xlfn.XLOOKUP(A717,Sheet1!A:A,Sheet1!B:B)</f>
        <v>Elizabeth Green</v>
      </c>
      <c r="C717" s="2" t="str">
        <f>_xlfn.XLOOKUP(A:A,Sheet1!A:A,Sheet1!D:D)</f>
        <v>Female</v>
      </c>
      <c r="D717" s="8">
        <f>_xlfn.XLOOKUP(A:A,Sheet1!A:A,Sheet1!F:F)</f>
        <v>43</v>
      </c>
      <c r="E717" s="2" t="str">
        <f>_xlfn.XLOOKUP(A:A,Sheet1!A:A,Sheet1!G:G)</f>
        <v>Australia</v>
      </c>
      <c r="F717" s="8" t="str">
        <f>_xlfn.XLOOKUP(A:A,Sheet1!A:A,Sheet1!H:H)</f>
        <v>English</v>
      </c>
      <c r="G717" s="8" t="str">
        <f>_xlfn.XLOOKUP(A:A,Sheet1!A:A,Sheet1!I:I)</f>
        <v>Web Development</v>
      </c>
      <c r="H717" s="8">
        <f>_xlfn.XLOOKUP(A:A,Sheet1!A:A,Sheet1!K:K)</f>
        <v>22</v>
      </c>
      <c r="I717" s="9">
        <f>_xlfn.XLOOKUP(A:A,Sheet1!A:A,Sheet1!M:M)</f>
        <v>40</v>
      </c>
      <c r="J717" s="10">
        <f>_xlfn.XLOOKUP(A:A,Sheet1!A:A,Sheet1!O:O)</f>
        <v>4.5</v>
      </c>
      <c r="K717" t="str">
        <f>_xlfn.XLOOKUP(A:A,Sheet1!A:A,Sheet1!P:P)</f>
        <v>No</v>
      </c>
      <c r="L717" s="12">
        <f>_xlfn.XLOOKUP(A:A,Sheet1!A:A,Sheet1!S:S)</f>
        <v>0.79269417475728277</v>
      </c>
    </row>
    <row r="718" spans="1:12" x14ac:dyDescent="0.35">
      <c r="A718" s="8" t="s">
        <v>1457</v>
      </c>
      <c r="B718" s="2" t="str">
        <f>_xlfn.XLOOKUP(A718,Sheet1!A:A,Sheet1!B:B)</f>
        <v>Alex Smith</v>
      </c>
      <c r="C718" s="2" t="str">
        <f>_xlfn.XLOOKUP(A:A,Sheet1!A:A,Sheet1!D:D)</f>
        <v>Male</v>
      </c>
      <c r="D718" s="8">
        <f>_xlfn.XLOOKUP(A:A,Sheet1!A:A,Sheet1!F:F)</f>
        <v>44</v>
      </c>
      <c r="E718" s="2" t="str">
        <f>_xlfn.XLOOKUP(A:A,Sheet1!A:A,Sheet1!G:G)</f>
        <v>South Korea</v>
      </c>
      <c r="F718" s="8" t="str">
        <f>_xlfn.XLOOKUP(A:A,Sheet1!A:A,Sheet1!H:H)</f>
        <v>Korean</v>
      </c>
      <c r="G718" s="8" t="str">
        <f>_xlfn.XLOOKUP(A:A,Sheet1!A:A,Sheet1!I:I)</f>
        <v>Machine Learning</v>
      </c>
      <c r="H718" s="8">
        <f>_xlfn.XLOOKUP(A:A,Sheet1!A:A,Sheet1!K:K)</f>
        <v>1</v>
      </c>
      <c r="I718" s="9">
        <f>_xlfn.XLOOKUP(A:A,Sheet1!A:A,Sheet1!M:M)</f>
        <v>75</v>
      </c>
      <c r="J718" s="10">
        <f>_xlfn.XLOOKUP(A:A,Sheet1!A:A,Sheet1!O:O)</f>
        <v>4.3</v>
      </c>
      <c r="K718" t="str">
        <f>_xlfn.XLOOKUP(A:A,Sheet1!A:A,Sheet1!P:P)</f>
        <v>Yes</v>
      </c>
      <c r="L718" s="12">
        <f>_xlfn.XLOOKUP(A:A,Sheet1!A:A,Sheet1!S:S)</f>
        <v>0.79269417475728277</v>
      </c>
    </row>
    <row r="719" spans="1:12" x14ac:dyDescent="0.35">
      <c r="A719" s="8" t="s">
        <v>1459</v>
      </c>
      <c r="B719" s="2" t="str">
        <f>_xlfn.XLOOKUP(A719,Sheet1!A:A,Sheet1!B:B)</f>
        <v>Shane Hale</v>
      </c>
      <c r="C719" s="2" t="str">
        <f>_xlfn.XLOOKUP(A:A,Sheet1!A:A,Sheet1!D:D)</f>
        <v>Male</v>
      </c>
      <c r="D719" s="8">
        <f>_xlfn.XLOOKUP(A:A,Sheet1!A:A,Sheet1!F:F)</f>
        <v>34</v>
      </c>
      <c r="E719" s="2" t="str">
        <f>_xlfn.XLOOKUP(A:A,Sheet1!A:A,Sheet1!G:G)</f>
        <v>Canada</v>
      </c>
      <c r="F719" s="8" t="str">
        <f>_xlfn.XLOOKUP(A:A,Sheet1!A:A,Sheet1!H:H)</f>
        <v>English</v>
      </c>
      <c r="G719" s="8" t="str">
        <f>_xlfn.XLOOKUP(A:A,Sheet1!A:A,Sheet1!I:I)</f>
        <v>Cybersecurity</v>
      </c>
      <c r="H719" s="8">
        <f>_xlfn.XLOOKUP(A:A,Sheet1!A:A,Sheet1!K:K)</f>
        <v>4</v>
      </c>
      <c r="I719" s="9">
        <f>_xlfn.XLOOKUP(A:A,Sheet1!A:A,Sheet1!M:M)</f>
        <v>75</v>
      </c>
      <c r="J719" s="10">
        <f>_xlfn.XLOOKUP(A:A,Sheet1!A:A,Sheet1!O:O)</f>
        <v>4</v>
      </c>
      <c r="K719" t="str">
        <f>_xlfn.XLOOKUP(A:A,Sheet1!A:A,Sheet1!P:P)</f>
        <v>Yes</v>
      </c>
      <c r="L719" s="12">
        <f>_xlfn.XLOOKUP(A:A,Sheet1!A:A,Sheet1!S:S)</f>
        <v>0.79269417475728277</v>
      </c>
    </row>
    <row r="720" spans="1:12" x14ac:dyDescent="0.35">
      <c r="A720" s="8" t="s">
        <v>1461</v>
      </c>
      <c r="B720" s="2" t="str">
        <f>_xlfn.XLOOKUP(A720,Sheet1!A:A,Sheet1!B:B)</f>
        <v>Kathy Grimes</v>
      </c>
      <c r="C720" s="2" t="str">
        <f>_xlfn.XLOOKUP(A:A,Sheet1!A:A,Sheet1!D:D)</f>
        <v>Female</v>
      </c>
      <c r="D720" s="8">
        <f>_xlfn.XLOOKUP(A:A,Sheet1!A:A,Sheet1!F:F)</f>
        <v>27</v>
      </c>
      <c r="E720" s="2" t="str">
        <f>_xlfn.XLOOKUP(A:A,Sheet1!A:A,Sheet1!G:G)</f>
        <v>Brazil</v>
      </c>
      <c r="F720" s="8" t="str">
        <f>_xlfn.XLOOKUP(A:A,Sheet1!A:A,Sheet1!H:H)</f>
        <v>Portuguese</v>
      </c>
      <c r="G720" s="8" t="str">
        <f>_xlfn.XLOOKUP(A:A,Sheet1!A:A,Sheet1!I:I)</f>
        <v>Mobile Apps</v>
      </c>
      <c r="H720" s="8">
        <f>_xlfn.XLOOKUP(A:A,Sheet1!A:A,Sheet1!K:K)</f>
        <v>8</v>
      </c>
      <c r="I720" s="9">
        <f>_xlfn.XLOOKUP(A:A,Sheet1!A:A,Sheet1!M:M)</f>
        <v>50</v>
      </c>
      <c r="J720" s="10">
        <f>_xlfn.XLOOKUP(A:A,Sheet1!A:A,Sheet1!O:O)</f>
        <v>1.6</v>
      </c>
      <c r="K720" t="str">
        <f>_xlfn.XLOOKUP(A:A,Sheet1!A:A,Sheet1!P:P)</f>
        <v>Yes</v>
      </c>
      <c r="L720" s="12">
        <f>_xlfn.XLOOKUP(A:A,Sheet1!A:A,Sheet1!S:S)</f>
        <v>0.79269417475728277</v>
      </c>
    </row>
    <row r="721" spans="1:12" x14ac:dyDescent="0.35">
      <c r="A721" s="8" t="s">
        <v>1463</v>
      </c>
      <c r="B721" s="2" t="str">
        <f>_xlfn.XLOOKUP(A721,Sheet1!A:A,Sheet1!B:B)</f>
        <v>David Cherry</v>
      </c>
      <c r="C721" s="2" t="str">
        <f>_xlfn.XLOOKUP(A:A,Sheet1!A:A,Sheet1!D:D)</f>
        <v>Male</v>
      </c>
      <c r="D721" s="8">
        <f>_xlfn.XLOOKUP(A:A,Sheet1!A:A,Sheet1!F:F)</f>
        <v>50</v>
      </c>
      <c r="E721" s="2" t="str">
        <f>_xlfn.XLOOKUP(A:A,Sheet1!A:A,Sheet1!G:G)</f>
        <v>Japan</v>
      </c>
      <c r="F721" s="8" t="str">
        <f>_xlfn.XLOOKUP(A:A,Sheet1!A:A,Sheet1!H:H)</f>
        <v>Japanese</v>
      </c>
      <c r="G721" s="8" t="str">
        <f>_xlfn.XLOOKUP(A:A,Sheet1!A:A,Sheet1!I:I)</f>
        <v>Data Analysis</v>
      </c>
      <c r="H721" s="8">
        <f>_xlfn.XLOOKUP(A:A,Sheet1!A:A,Sheet1!K:K)</f>
        <v>3</v>
      </c>
      <c r="I721" s="9">
        <f>_xlfn.XLOOKUP(A:A,Sheet1!A:A,Sheet1!M:M)</f>
        <v>100</v>
      </c>
      <c r="J721" s="11">
        <v>0</v>
      </c>
      <c r="K721" t="str">
        <f>_xlfn.XLOOKUP(A:A,Sheet1!A:A,Sheet1!P:P)</f>
        <v>Yes</v>
      </c>
      <c r="L721" s="12">
        <f>_xlfn.XLOOKUP(A:A,Sheet1!A:A,Sheet1!S:S)</f>
        <v>0.79269417475728277</v>
      </c>
    </row>
    <row r="722" spans="1:12" x14ac:dyDescent="0.35">
      <c r="A722" s="8" t="s">
        <v>1465</v>
      </c>
      <c r="B722" s="2" t="str">
        <f>_xlfn.XLOOKUP(A722,Sheet1!A:A,Sheet1!B:B)</f>
        <v>Rachel Rogers</v>
      </c>
      <c r="C722" s="2" t="str">
        <f>_xlfn.XLOOKUP(A:A,Sheet1!A:A,Sheet1!D:D)</f>
        <v>Female</v>
      </c>
      <c r="D722" s="8">
        <f>_xlfn.XLOOKUP(A:A,Sheet1!A:A,Sheet1!F:F)</f>
        <v>52</v>
      </c>
      <c r="E722" s="2" t="str">
        <f>_xlfn.XLOOKUP(A:A,Sheet1!A:A,Sheet1!G:G)</f>
        <v>South Korea</v>
      </c>
      <c r="F722" s="8" t="str">
        <f>_xlfn.XLOOKUP(A:A,Sheet1!A:A,Sheet1!H:H)</f>
        <v>Korean</v>
      </c>
      <c r="G722" s="8" t="str">
        <f>_xlfn.XLOOKUP(A:A,Sheet1!A:A,Sheet1!I:I)</f>
        <v>UI/UX Design</v>
      </c>
      <c r="H722" s="8">
        <f>_xlfn.XLOOKUP(A:A,Sheet1!A:A,Sheet1!K:K)</f>
        <v>30</v>
      </c>
      <c r="I722" s="9">
        <f>_xlfn.XLOOKUP(A:A,Sheet1!A:A,Sheet1!M:M)</f>
        <v>75</v>
      </c>
      <c r="J722" s="10">
        <f>_xlfn.XLOOKUP(A:A,Sheet1!A:A,Sheet1!O:O)</f>
        <v>2.5125695216907653</v>
      </c>
      <c r="K722" t="str">
        <f>_xlfn.XLOOKUP(A:A,Sheet1!A:A,Sheet1!P:P)</f>
        <v>No</v>
      </c>
      <c r="L722" s="12">
        <f>_xlfn.XLOOKUP(A:A,Sheet1!A:A,Sheet1!S:S)</f>
        <v>0.94</v>
      </c>
    </row>
    <row r="723" spans="1:12" x14ac:dyDescent="0.35">
      <c r="A723" s="8" t="s">
        <v>1467</v>
      </c>
      <c r="B723" s="2" t="str">
        <f>_xlfn.XLOOKUP(A723,Sheet1!A:A,Sheet1!B:B)</f>
        <v>Travis Braun</v>
      </c>
      <c r="C723" s="2" t="str">
        <f>_xlfn.XLOOKUP(A:A,Sheet1!A:A,Sheet1!D:D)</f>
        <v>Male</v>
      </c>
      <c r="D723" s="8">
        <f>_xlfn.XLOOKUP(A:A,Sheet1!A:A,Sheet1!F:F)</f>
        <v>57</v>
      </c>
      <c r="E723" s="2" t="str">
        <f>_xlfn.XLOOKUP(A:A,Sheet1!A:A,Sheet1!G:G)</f>
        <v>Spain</v>
      </c>
      <c r="F723" s="8" t="str">
        <f>_xlfn.XLOOKUP(A:A,Sheet1!A:A,Sheet1!H:H)</f>
        <v>Spanish</v>
      </c>
      <c r="G723" s="8" t="str">
        <f>_xlfn.XLOOKUP(A:A,Sheet1!A:A,Sheet1!I:I)</f>
        <v>Blockchain Development</v>
      </c>
      <c r="H723" s="8">
        <f>_xlfn.XLOOKUP(A:A,Sheet1!A:A,Sheet1!K:K)</f>
        <v>11</v>
      </c>
      <c r="I723" s="9">
        <f>_xlfn.XLOOKUP(A:A,Sheet1!A:A,Sheet1!M:M)</f>
        <v>20</v>
      </c>
      <c r="J723" s="10">
        <f>_xlfn.XLOOKUP(A:A,Sheet1!A:A,Sheet1!O:O)</f>
        <v>4.9000000000000004</v>
      </c>
      <c r="K723" t="str">
        <f>_xlfn.XLOOKUP(A:A,Sheet1!A:A,Sheet1!P:P)</f>
        <v>Yes</v>
      </c>
      <c r="L723" s="12">
        <f>_xlfn.XLOOKUP(A:A,Sheet1!A:A,Sheet1!S:S)</f>
        <v>0.79269417475728277</v>
      </c>
    </row>
    <row r="724" spans="1:12" x14ac:dyDescent="0.35">
      <c r="A724" s="8" t="s">
        <v>1469</v>
      </c>
      <c r="B724" s="2" t="str">
        <f>_xlfn.XLOOKUP(A724,Sheet1!A:A,Sheet1!B:B)</f>
        <v>Shawna Palmer</v>
      </c>
      <c r="C724" s="2" t="str">
        <f>_xlfn.XLOOKUP(A:A,Sheet1!A:A,Sheet1!D:D)</f>
        <v>Female</v>
      </c>
      <c r="D724" s="8">
        <f>_xlfn.XLOOKUP(A:A,Sheet1!A:A,Sheet1!F:F)</f>
        <v>53</v>
      </c>
      <c r="E724" s="2" t="str">
        <f>_xlfn.XLOOKUP(A:A,Sheet1!A:A,Sheet1!G:G)</f>
        <v>Mexico</v>
      </c>
      <c r="F724" s="8" t="str">
        <f>_xlfn.XLOOKUP(A:A,Sheet1!A:A,Sheet1!H:H)</f>
        <v>Spanish</v>
      </c>
      <c r="G724" s="8" t="str">
        <f>_xlfn.XLOOKUP(A:A,Sheet1!A:A,Sheet1!I:I)</f>
        <v>DevOps</v>
      </c>
      <c r="H724" s="8">
        <f>_xlfn.XLOOKUP(A:A,Sheet1!A:A,Sheet1!K:K)</f>
        <v>8</v>
      </c>
      <c r="I724" s="9">
        <f>_xlfn.XLOOKUP(A:A,Sheet1!A:A,Sheet1!M:M)</f>
        <v>20</v>
      </c>
      <c r="J724" s="10">
        <f>_xlfn.XLOOKUP(A:A,Sheet1!A:A,Sheet1!O:O)</f>
        <v>2.8</v>
      </c>
      <c r="K724" t="str">
        <f>_xlfn.XLOOKUP(A:A,Sheet1!A:A,Sheet1!P:P)</f>
        <v>Yes</v>
      </c>
      <c r="L724" s="12">
        <f>_xlfn.XLOOKUP(A:A,Sheet1!A:A,Sheet1!S:S)</f>
        <v>0.79269417475728277</v>
      </c>
    </row>
    <row r="725" spans="1:12" x14ac:dyDescent="0.35">
      <c r="A725" s="8" t="s">
        <v>1471</v>
      </c>
      <c r="B725" s="2" t="str">
        <f>_xlfn.XLOOKUP(A725,Sheet1!A:A,Sheet1!B:B)</f>
        <v>Bradley Gaines</v>
      </c>
      <c r="C725" s="2" t="str">
        <f>_xlfn.XLOOKUP(A:A,Sheet1!A:A,Sheet1!D:D)</f>
        <v>Male</v>
      </c>
      <c r="D725" s="8">
        <f>_xlfn.XLOOKUP(A:A,Sheet1!A:A,Sheet1!F:F)</f>
        <v>51</v>
      </c>
      <c r="E725" s="2" t="str">
        <f>_xlfn.XLOOKUP(A:A,Sheet1!A:A,Sheet1!G:G)</f>
        <v>Turkey</v>
      </c>
      <c r="F725" s="8" t="str">
        <f>_xlfn.XLOOKUP(A:A,Sheet1!A:A,Sheet1!H:H)</f>
        <v>Turkish</v>
      </c>
      <c r="G725" s="8" t="str">
        <f>_xlfn.XLOOKUP(A:A,Sheet1!A:A,Sheet1!I:I)</f>
        <v>UI/UX Design</v>
      </c>
      <c r="H725" s="8">
        <f>_xlfn.XLOOKUP(A:A,Sheet1!A:A,Sheet1!K:K)</f>
        <v>11</v>
      </c>
      <c r="I725" s="9">
        <f>_xlfn.XLOOKUP(A:A,Sheet1!A:A,Sheet1!M:M)</f>
        <v>30</v>
      </c>
      <c r="J725" s="10">
        <f>_xlfn.XLOOKUP(A:A,Sheet1!A:A,Sheet1!O:O)</f>
        <v>3.6</v>
      </c>
      <c r="K725" t="str">
        <f>_xlfn.XLOOKUP(A:A,Sheet1!A:A,Sheet1!P:P)</f>
        <v>Yes</v>
      </c>
      <c r="L725" s="12">
        <f>_xlfn.XLOOKUP(A:A,Sheet1!A:A,Sheet1!S:S)</f>
        <v>0.77</v>
      </c>
    </row>
    <row r="726" spans="1:12" x14ac:dyDescent="0.35">
      <c r="A726" s="8" t="s">
        <v>1473</v>
      </c>
      <c r="B726" s="2" t="str">
        <f>_xlfn.XLOOKUP(A726,Sheet1!A:A,Sheet1!B:B)</f>
        <v>April Ford</v>
      </c>
      <c r="C726" s="2" t="str">
        <f>_xlfn.XLOOKUP(A:A,Sheet1!A:A,Sheet1!D:D)</f>
        <v>Female</v>
      </c>
      <c r="D726" s="8">
        <f>_xlfn.XLOOKUP(A:A,Sheet1!A:A,Sheet1!F:F)</f>
        <v>37</v>
      </c>
      <c r="E726" s="2" t="str">
        <f>_xlfn.XLOOKUP(A:A,Sheet1!A:A,Sheet1!G:G)</f>
        <v>Canada</v>
      </c>
      <c r="F726" s="8" t="str">
        <f>_xlfn.XLOOKUP(A:A,Sheet1!A:A,Sheet1!H:H)</f>
        <v>English</v>
      </c>
      <c r="G726" s="8" t="str">
        <f>_xlfn.XLOOKUP(A:A,Sheet1!A:A,Sheet1!I:I)</f>
        <v>Cybersecurity</v>
      </c>
      <c r="H726" s="8">
        <f>_xlfn.XLOOKUP(A:A,Sheet1!A:A,Sheet1!K:K)</f>
        <v>9</v>
      </c>
      <c r="I726" s="9">
        <f>_xlfn.XLOOKUP(A:A,Sheet1!A:A,Sheet1!M:M)</f>
        <v>50</v>
      </c>
      <c r="J726" s="10">
        <f>_xlfn.XLOOKUP(A:A,Sheet1!A:A,Sheet1!O:O)</f>
        <v>2.5125695216907653</v>
      </c>
      <c r="K726" t="str">
        <f>_xlfn.XLOOKUP(A:A,Sheet1!A:A,Sheet1!P:P)</f>
        <v>Yes</v>
      </c>
      <c r="L726" s="12">
        <f>_xlfn.XLOOKUP(A:A,Sheet1!A:A,Sheet1!S:S)</f>
        <v>0.84</v>
      </c>
    </row>
    <row r="727" spans="1:12" x14ac:dyDescent="0.35">
      <c r="A727" s="8" t="s">
        <v>1475</v>
      </c>
      <c r="B727" s="2" t="str">
        <f>_xlfn.XLOOKUP(A727,Sheet1!A:A,Sheet1!B:B)</f>
        <v>James Gonzalez</v>
      </c>
      <c r="C727" s="2" t="str">
        <f>_xlfn.XLOOKUP(A:A,Sheet1!A:A,Sheet1!D:D)</f>
        <v>Male</v>
      </c>
      <c r="D727" s="8">
        <f>_xlfn.XLOOKUP(A:A,Sheet1!A:A,Sheet1!F:F)</f>
        <v>40</v>
      </c>
      <c r="E727" s="2" t="str">
        <f>_xlfn.XLOOKUP(A:A,Sheet1!A:A,Sheet1!G:G)</f>
        <v>Spain</v>
      </c>
      <c r="F727" s="8" t="str">
        <f>_xlfn.XLOOKUP(A:A,Sheet1!A:A,Sheet1!H:H)</f>
        <v>Spanish</v>
      </c>
      <c r="G727" s="8" t="str">
        <f>_xlfn.XLOOKUP(A:A,Sheet1!A:A,Sheet1!I:I)</f>
        <v>Web Development</v>
      </c>
      <c r="H727" s="8">
        <f>_xlfn.XLOOKUP(A:A,Sheet1!A:A,Sheet1!K:K)</f>
        <v>7</v>
      </c>
      <c r="I727" s="9">
        <f>_xlfn.XLOOKUP(A:A,Sheet1!A:A,Sheet1!M:M)</f>
        <v>40</v>
      </c>
      <c r="J727" s="10">
        <f>_xlfn.XLOOKUP(A:A,Sheet1!A:A,Sheet1!O:O)</f>
        <v>4.5</v>
      </c>
      <c r="K727" t="str">
        <f>_xlfn.XLOOKUP(A:A,Sheet1!A:A,Sheet1!P:P)</f>
        <v>No</v>
      </c>
      <c r="L727" s="12">
        <f>_xlfn.XLOOKUP(A:A,Sheet1!A:A,Sheet1!S:S)</f>
        <v>0.79</v>
      </c>
    </row>
    <row r="728" spans="1:12" x14ac:dyDescent="0.35">
      <c r="A728" s="8" t="s">
        <v>1477</v>
      </c>
      <c r="B728" s="2" t="str">
        <f>_xlfn.XLOOKUP(A728,Sheet1!A:A,Sheet1!B:B)</f>
        <v>John Castillo</v>
      </c>
      <c r="C728" s="2" t="str">
        <f>_xlfn.XLOOKUP(A:A,Sheet1!A:A,Sheet1!D:D)</f>
        <v>Male</v>
      </c>
      <c r="D728" s="8">
        <f>_xlfn.XLOOKUP(A:A,Sheet1!A:A,Sheet1!F:F)</f>
        <v>60</v>
      </c>
      <c r="E728" s="2" t="str">
        <f>_xlfn.XLOOKUP(A:A,Sheet1!A:A,Sheet1!G:G)</f>
        <v>Japan</v>
      </c>
      <c r="F728" s="8" t="str">
        <f>_xlfn.XLOOKUP(A:A,Sheet1!A:A,Sheet1!H:H)</f>
        <v>Japanese</v>
      </c>
      <c r="G728" s="8" t="str">
        <f>_xlfn.XLOOKUP(A:A,Sheet1!A:A,Sheet1!I:I)</f>
        <v>Data Analysis</v>
      </c>
      <c r="H728" s="8">
        <f>_xlfn.XLOOKUP(A:A,Sheet1!A:A,Sheet1!K:K)</f>
        <v>24</v>
      </c>
      <c r="I728" s="9">
        <f>_xlfn.XLOOKUP(A:A,Sheet1!A:A,Sheet1!M:M)</f>
        <v>40</v>
      </c>
      <c r="J728" s="10">
        <f>_xlfn.XLOOKUP(A:A,Sheet1!A:A,Sheet1!O:O)</f>
        <v>3.1</v>
      </c>
      <c r="K728" t="str">
        <f>_xlfn.XLOOKUP(A:A,Sheet1!A:A,Sheet1!P:P)</f>
        <v>No</v>
      </c>
      <c r="L728" s="12">
        <f>_xlfn.XLOOKUP(A:A,Sheet1!A:A,Sheet1!S:S)</f>
        <v>0.69</v>
      </c>
    </row>
    <row r="729" spans="1:12" x14ac:dyDescent="0.35">
      <c r="A729" s="8" t="s">
        <v>1479</v>
      </c>
      <c r="B729" s="2" t="str">
        <f>_xlfn.XLOOKUP(A729,Sheet1!A:A,Sheet1!B:B)</f>
        <v>Ian Hayes</v>
      </c>
      <c r="C729" s="2" t="str">
        <f>_xlfn.XLOOKUP(A:A,Sheet1!A:A,Sheet1!D:D)</f>
        <v>Male</v>
      </c>
      <c r="D729" s="8">
        <f>_xlfn.XLOOKUP(A:A,Sheet1!A:A,Sheet1!F:F)</f>
        <v>60</v>
      </c>
      <c r="E729" s="2" t="str">
        <f>_xlfn.XLOOKUP(A:A,Sheet1!A:A,Sheet1!G:G)</f>
        <v>France</v>
      </c>
      <c r="F729" s="8" t="str">
        <f>_xlfn.XLOOKUP(A:A,Sheet1!A:A,Sheet1!H:H)</f>
        <v>French</v>
      </c>
      <c r="G729" s="8" t="str">
        <f>_xlfn.XLOOKUP(A:A,Sheet1!A:A,Sheet1!I:I)</f>
        <v>UI/UX Design</v>
      </c>
      <c r="H729" s="8">
        <f>_xlfn.XLOOKUP(A:A,Sheet1!A:A,Sheet1!K:K)</f>
        <v>0</v>
      </c>
      <c r="I729" s="9">
        <f>_xlfn.XLOOKUP(A:A,Sheet1!A:A,Sheet1!M:M)</f>
        <v>40</v>
      </c>
      <c r="J729" s="10">
        <f>_xlfn.XLOOKUP(A:A,Sheet1!A:A,Sheet1!O:O)</f>
        <v>4.9000000000000004</v>
      </c>
      <c r="K729" t="str">
        <f>_xlfn.XLOOKUP(A:A,Sheet1!A:A,Sheet1!P:P)</f>
        <v>Yes</v>
      </c>
      <c r="L729" s="12">
        <f>_xlfn.XLOOKUP(A:A,Sheet1!A:A,Sheet1!S:S)</f>
        <v>0.68</v>
      </c>
    </row>
    <row r="730" spans="1:12" x14ac:dyDescent="0.35">
      <c r="A730" s="8" t="s">
        <v>1481</v>
      </c>
      <c r="B730" s="2" t="str">
        <f>_xlfn.XLOOKUP(A730,Sheet1!A:A,Sheet1!B:B)</f>
        <v>Christine Castro</v>
      </c>
      <c r="C730" s="2" t="str">
        <f>_xlfn.XLOOKUP(A:A,Sheet1!A:A,Sheet1!D:D)</f>
        <v>Female</v>
      </c>
      <c r="D730" s="8">
        <f>_xlfn.XLOOKUP(A:A,Sheet1!A:A,Sheet1!F:F)</f>
        <v>53</v>
      </c>
      <c r="E730" s="2" t="str">
        <f>_xlfn.XLOOKUP(A:A,Sheet1!A:A,Sheet1!G:G)</f>
        <v>South Korea</v>
      </c>
      <c r="F730" s="8" t="str">
        <f>_xlfn.XLOOKUP(A:A,Sheet1!A:A,Sheet1!H:H)</f>
        <v>Korean</v>
      </c>
      <c r="G730" s="8" t="str">
        <f>_xlfn.XLOOKUP(A:A,Sheet1!A:A,Sheet1!I:I)</f>
        <v>UI/UX Design</v>
      </c>
      <c r="H730" s="8">
        <f>_xlfn.XLOOKUP(A:A,Sheet1!A:A,Sheet1!K:K)</f>
        <v>21</v>
      </c>
      <c r="I730" s="9">
        <f>_xlfn.XLOOKUP(A:A,Sheet1!A:A,Sheet1!M:M)</f>
        <v>30</v>
      </c>
      <c r="J730" s="10">
        <f>_xlfn.XLOOKUP(A:A,Sheet1!A:A,Sheet1!O:O)</f>
        <v>4.2</v>
      </c>
      <c r="K730" t="str">
        <f>_xlfn.XLOOKUP(A:A,Sheet1!A:A,Sheet1!P:P)</f>
        <v>Yes</v>
      </c>
      <c r="L730" s="12">
        <f>_xlfn.XLOOKUP(A:A,Sheet1!A:A,Sheet1!S:S)</f>
        <v>0.73</v>
      </c>
    </row>
    <row r="731" spans="1:12" x14ac:dyDescent="0.35">
      <c r="A731" s="8" t="s">
        <v>1483</v>
      </c>
      <c r="B731" s="2" t="str">
        <f>_xlfn.XLOOKUP(A731,Sheet1!A:A,Sheet1!B:B)</f>
        <v>Jessica Chaney</v>
      </c>
      <c r="C731" s="2" t="str">
        <f>_xlfn.XLOOKUP(A:A,Sheet1!A:A,Sheet1!D:D)</f>
        <v>Female</v>
      </c>
      <c r="D731" s="8">
        <f>_xlfn.XLOOKUP(A:A,Sheet1!A:A,Sheet1!F:F)</f>
        <v>20</v>
      </c>
      <c r="E731" s="2" t="str">
        <f>_xlfn.XLOOKUP(A:A,Sheet1!A:A,Sheet1!G:G)</f>
        <v>Mexico</v>
      </c>
      <c r="F731" s="8" t="str">
        <f>_xlfn.XLOOKUP(A:A,Sheet1!A:A,Sheet1!H:H)</f>
        <v>Spanish</v>
      </c>
      <c r="G731" s="8" t="str">
        <f>_xlfn.XLOOKUP(A:A,Sheet1!A:A,Sheet1!I:I)</f>
        <v>Blockchain Development</v>
      </c>
      <c r="H731" s="8">
        <f>_xlfn.XLOOKUP(A:A,Sheet1!A:A,Sheet1!K:K)</f>
        <v>0</v>
      </c>
      <c r="I731" s="9">
        <f>_xlfn.XLOOKUP(A:A,Sheet1!A:A,Sheet1!M:M)</f>
        <v>75</v>
      </c>
      <c r="J731" s="10">
        <f>_xlfn.XLOOKUP(A:A,Sheet1!A:A,Sheet1!O:O)</f>
        <v>3.2</v>
      </c>
      <c r="K731" t="str">
        <f>_xlfn.XLOOKUP(A:A,Sheet1!A:A,Sheet1!P:P)</f>
        <v>Yes</v>
      </c>
      <c r="L731" s="12">
        <f>_xlfn.XLOOKUP(A:A,Sheet1!A:A,Sheet1!S:S)</f>
        <v>0.74</v>
      </c>
    </row>
    <row r="732" spans="1:12" x14ac:dyDescent="0.35">
      <c r="A732" s="8" t="s">
        <v>1485</v>
      </c>
      <c r="B732" s="2" t="str">
        <f>_xlfn.XLOOKUP(A732,Sheet1!A:A,Sheet1!B:B)</f>
        <v>John Gray</v>
      </c>
      <c r="C732" s="2" t="str">
        <f>_xlfn.XLOOKUP(A:A,Sheet1!A:A,Sheet1!D:D)</f>
        <v>Male</v>
      </c>
      <c r="D732" s="8">
        <f>_xlfn.XLOOKUP(A:A,Sheet1!A:A,Sheet1!F:F)</f>
        <v>42</v>
      </c>
      <c r="E732" s="2" t="str">
        <f>_xlfn.XLOOKUP(A:A,Sheet1!A:A,Sheet1!G:G)</f>
        <v>Russia</v>
      </c>
      <c r="F732" s="8" t="str">
        <f>_xlfn.XLOOKUP(A:A,Sheet1!A:A,Sheet1!H:H)</f>
        <v>Russian</v>
      </c>
      <c r="G732" s="8" t="str">
        <f>_xlfn.XLOOKUP(A:A,Sheet1!A:A,Sheet1!I:I)</f>
        <v>Web Development</v>
      </c>
      <c r="H732" s="8">
        <f>_xlfn.XLOOKUP(A:A,Sheet1!A:A,Sheet1!K:K)</f>
        <v>7</v>
      </c>
      <c r="I732" s="9">
        <f>_xlfn.XLOOKUP(A:A,Sheet1!A:A,Sheet1!M:M)</f>
        <v>20</v>
      </c>
      <c r="J732" s="10">
        <f>_xlfn.XLOOKUP(A:A,Sheet1!A:A,Sheet1!O:O)</f>
        <v>2.5125695216907653</v>
      </c>
      <c r="K732" t="str">
        <f>_xlfn.XLOOKUP(A:A,Sheet1!A:A,Sheet1!P:P)</f>
        <v>No</v>
      </c>
      <c r="L732" s="12">
        <f>_xlfn.XLOOKUP(A:A,Sheet1!A:A,Sheet1!S:S)</f>
        <v>1</v>
      </c>
    </row>
    <row r="733" spans="1:12" x14ac:dyDescent="0.35">
      <c r="A733" s="8" t="s">
        <v>1487</v>
      </c>
      <c r="B733" s="2" t="str">
        <f>_xlfn.XLOOKUP(A733,Sheet1!A:A,Sheet1!B:B)</f>
        <v>Shane Booker</v>
      </c>
      <c r="C733" s="2" t="str">
        <f>_xlfn.XLOOKUP(A:A,Sheet1!A:A,Sheet1!D:D)</f>
        <v>Male</v>
      </c>
      <c r="D733" s="8">
        <f>_xlfn.XLOOKUP(A:A,Sheet1!A:A,Sheet1!F:F)</f>
        <v>21</v>
      </c>
      <c r="E733" s="2" t="str">
        <f>_xlfn.XLOOKUP(A:A,Sheet1!A:A,Sheet1!G:G)</f>
        <v>United Kingdom</v>
      </c>
      <c r="F733" s="8" t="str">
        <f>_xlfn.XLOOKUP(A:A,Sheet1!A:A,Sheet1!H:H)</f>
        <v>English</v>
      </c>
      <c r="G733" s="8" t="str">
        <f>_xlfn.XLOOKUP(A:A,Sheet1!A:A,Sheet1!I:I)</f>
        <v>Mobile Apps</v>
      </c>
      <c r="H733" s="8">
        <f>_xlfn.XLOOKUP(A:A,Sheet1!A:A,Sheet1!K:K)</f>
        <v>3</v>
      </c>
      <c r="I733" s="9">
        <f>_xlfn.XLOOKUP(A:A,Sheet1!A:A,Sheet1!M:M)</f>
        <v>40</v>
      </c>
      <c r="J733" s="11">
        <v>0</v>
      </c>
      <c r="K733" t="str">
        <f>_xlfn.XLOOKUP(A:A,Sheet1!A:A,Sheet1!P:P)</f>
        <v>No</v>
      </c>
      <c r="L733" s="12">
        <f>_xlfn.XLOOKUP(A:A,Sheet1!A:A,Sheet1!S:S)</f>
        <v>0.87</v>
      </c>
    </row>
    <row r="734" spans="1:12" x14ac:dyDescent="0.35">
      <c r="A734" s="8" t="s">
        <v>1489</v>
      </c>
      <c r="B734" s="2" t="str">
        <f>_xlfn.XLOOKUP(A734,Sheet1!A:A,Sheet1!B:B)</f>
        <v>Kyle Hall</v>
      </c>
      <c r="C734" s="2" t="str">
        <f>_xlfn.XLOOKUP(A:A,Sheet1!A:A,Sheet1!D:D)</f>
        <v>Male</v>
      </c>
      <c r="D734" s="8">
        <f>_xlfn.XLOOKUP(A:A,Sheet1!A:A,Sheet1!F:F)</f>
        <v>39</v>
      </c>
      <c r="E734" s="2" t="str">
        <f>_xlfn.XLOOKUP(A:A,Sheet1!A:A,Sheet1!G:G)</f>
        <v>Germany</v>
      </c>
      <c r="F734" s="8" t="str">
        <f>_xlfn.XLOOKUP(A:A,Sheet1!A:A,Sheet1!H:H)</f>
        <v>German</v>
      </c>
      <c r="G734" s="8" t="str">
        <f>_xlfn.XLOOKUP(A:A,Sheet1!A:A,Sheet1!I:I)</f>
        <v>Web Development</v>
      </c>
      <c r="H734" s="8">
        <f>_xlfn.XLOOKUP(A:A,Sheet1!A:A,Sheet1!K:K)</f>
        <v>21</v>
      </c>
      <c r="I734" s="9">
        <f>_xlfn.XLOOKUP(A:A,Sheet1!A:A,Sheet1!M:M)</f>
        <v>100</v>
      </c>
      <c r="J734" s="10">
        <f>_xlfn.XLOOKUP(A:A,Sheet1!A:A,Sheet1!O:O)</f>
        <v>2.2000000000000002</v>
      </c>
      <c r="K734" t="str">
        <f>_xlfn.XLOOKUP(A:A,Sheet1!A:A,Sheet1!P:P)</f>
        <v>No</v>
      </c>
      <c r="L734" s="12">
        <f>_xlfn.XLOOKUP(A:A,Sheet1!A:A,Sheet1!S:S)</f>
        <v>0.79</v>
      </c>
    </row>
    <row r="735" spans="1:12" x14ac:dyDescent="0.35">
      <c r="A735" s="8" t="s">
        <v>1491</v>
      </c>
      <c r="B735" s="2" t="str">
        <f>_xlfn.XLOOKUP(A735,Sheet1!A:A,Sheet1!B:B)</f>
        <v>Ronald Munoz</v>
      </c>
      <c r="C735" s="2" t="str">
        <f>_xlfn.XLOOKUP(A:A,Sheet1!A:A,Sheet1!D:D)</f>
        <v>Male</v>
      </c>
      <c r="D735" s="8">
        <f>_xlfn.XLOOKUP(A:A,Sheet1!A:A,Sheet1!F:F)</f>
        <v>32</v>
      </c>
      <c r="E735" s="2" t="str">
        <f>_xlfn.XLOOKUP(A:A,Sheet1!A:A,Sheet1!G:G)</f>
        <v>India</v>
      </c>
      <c r="F735" s="8" t="str">
        <f>_xlfn.XLOOKUP(A:A,Sheet1!A:A,Sheet1!H:H)</f>
        <v>Hindi</v>
      </c>
      <c r="G735" s="8" t="str">
        <f>_xlfn.XLOOKUP(A:A,Sheet1!A:A,Sheet1!I:I)</f>
        <v>Blockchain Development</v>
      </c>
      <c r="H735" s="8">
        <f>_xlfn.XLOOKUP(A:A,Sheet1!A:A,Sheet1!K:K)</f>
        <v>9</v>
      </c>
      <c r="I735" s="9">
        <f>_xlfn.XLOOKUP(A:A,Sheet1!A:A,Sheet1!M:M)</f>
        <v>30</v>
      </c>
      <c r="J735" s="10">
        <f>_xlfn.XLOOKUP(A:A,Sheet1!A:A,Sheet1!O:O)</f>
        <v>1.5</v>
      </c>
      <c r="K735" t="str">
        <f>_xlfn.XLOOKUP(A:A,Sheet1!A:A,Sheet1!P:P)</f>
        <v>No</v>
      </c>
      <c r="L735" s="12">
        <f>_xlfn.XLOOKUP(A:A,Sheet1!A:A,Sheet1!S:S)</f>
        <v>0.68</v>
      </c>
    </row>
    <row r="736" spans="1:12" x14ac:dyDescent="0.35">
      <c r="A736" s="8" t="s">
        <v>1493</v>
      </c>
      <c r="B736" s="2" t="str">
        <f>_xlfn.XLOOKUP(A736,Sheet1!A:A,Sheet1!B:B)</f>
        <v>Christopher Long</v>
      </c>
      <c r="C736" s="2" t="str">
        <f>_xlfn.XLOOKUP(A:A,Sheet1!A:A,Sheet1!D:D)</f>
        <v>Male</v>
      </c>
      <c r="D736" s="8">
        <f>_xlfn.XLOOKUP(A:A,Sheet1!A:A,Sheet1!F:F)</f>
        <v>35</v>
      </c>
      <c r="E736" s="2" t="str">
        <f>_xlfn.XLOOKUP(A:A,Sheet1!A:A,Sheet1!G:G)</f>
        <v>Germany</v>
      </c>
      <c r="F736" s="8" t="str">
        <f>_xlfn.XLOOKUP(A:A,Sheet1!A:A,Sheet1!H:H)</f>
        <v>German</v>
      </c>
      <c r="G736" s="8" t="str">
        <f>_xlfn.XLOOKUP(A:A,Sheet1!A:A,Sheet1!I:I)</f>
        <v>Data Analysis</v>
      </c>
      <c r="H736" s="8">
        <f>_xlfn.XLOOKUP(A:A,Sheet1!A:A,Sheet1!K:K)</f>
        <v>9</v>
      </c>
      <c r="I736" s="9">
        <f>_xlfn.XLOOKUP(A:A,Sheet1!A:A,Sheet1!M:M)</f>
        <v>100</v>
      </c>
      <c r="J736" s="10">
        <f>_xlfn.XLOOKUP(A:A,Sheet1!A:A,Sheet1!O:O)</f>
        <v>2.5125695216907653</v>
      </c>
      <c r="K736" t="str">
        <f>_xlfn.XLOOKUP(A:A,Sheet1!A:A,Sheet1!P:P)</f>
        <v>No</v>
      </c>
      <c r="L736" s="12">
        <f>_xlfn.XLOOKUP(A:A,Sheet1!A:A,Sheet1!S:S)</f>
        <v>0.84</v>
      </c>
    </row>
    <row r="737" spans="1:12" x14ac:dyDescent="0.35">
      <c r="A737" s="8" t="s">
        <v>1495</v>
      </c>
      <c r="B737" s="2" t="str">
        <f>_xlfn.XLOOKUP(A737,Sheet1!A:A,Sheet1!B:B)</f>
        <v>Sandra Ali</v>
      </c>
      <c r="C737" s="2" t="str">
        <f>_xlfn.XLOOKUP(A:A,Sheet1!A:A,Sheet1!D:D)</f>
        <v>Female</v>
      </c>
      <c r="D737" s="8">
        <f>_xlfn.XLOOKUP(A:A,Sheet1!A:A,Sheet1!F:F)</f>
        <v>35</v>
      </c>
      <c r="E737" s="2" t="str">
        <f>_xlfn.XLOOKUP(A:A,Sheet1!A:A,Sheet1!G:G)</f>
        <v>France</v>
      </c>
      <c r="F737" s="8" t="str">
        <f>_xlfn.XLOOKUP(A:A,Sheet1!A:A,Sheet1!H:H)</f>
        <v>French</v>
      </c>
      <c r="G737" s="8" t="str">
        <f>_xlfn.XLOOKUP(A:A,Sheet1!A:A,Sheet1!I:I)</f>
        <v>UI/UX Design</v>
      </c>
      <c r="H737" s="8">
        <f>_xlfn.XLOOKUP(A:A,Sheet1!A:A,Sheet1!K:K)</f>
        <v>17</v>
      </c>
      <c r="I737" s="9">
        <f>_xlfn.XLOOKUP(A:A,Sheet1!A:A,Sheet1!M:M)</f>
        <v>50</v>
      </c>
      <c r="J737" s="10">
        <f>_xlfn.XLOOKUP(A:A,Sheet1!A:A,Sheet1!O:O)</f>
        <v>3.1</v>
      </c>
      <c r="K737" t="str">
        <f>_xlfn.XLOOKUP(A:A,Sheet1!A:A,Sheet1!P:P)</f>
        <v>No</v>
      </c>
      <c r="L737" s="12">
        <f>_xlfn.XLOOKUP(A:A,Sheet1!A:A,Sheet1!S:S)</f>
        <v>0.71</v>
      </c>
    </row>
    <row r="738" spans="1:12" x14ac:dyDescent="0.35">
      <c r="A738" s="8" t="s">
        <v>1497</v>
      </c>
      <c r="B738" s="2" t="str">
        <f>_xlfn.XLOOKUP(A738,Sheet1!A:A,Sheet1!B:B)</f>
        <v>Jessica Garza</v>
      </c>
      <c r="C738" s="2" t="str">
        <f>_xlfn.XLOOKUP(A:A,Sheet1!A:A,Sheet1!D:D)</f>
        <v>Female</v>
      </c>
      <c r="D738" s="8">
        <f>_xlfn.XLOOKUP(A:A,Sheet1!A:A,Sheet1!F:F)</f>
        <v>23</v>
      </c>
      <c r="E738" s="2" t="str">
        <f>_xlfn.XLOOKUP(A:A,Sheet1!A:A,Sheet1!G:G)</f>
        <v>Argentina</v>
      </c>
      <c r="F738" s="8" t="str">
        <f>_xlfn.XLOOKUP(A:A,Sheet1!A:A,Sheet1!H:H)</f>
        <v>Spanish</v>
      </c>
      <c r="G738" s="8" t="str">
        <f>_xlfn.XLOOKUP(A:A,Sheet1!A:A,Sheet1!I:I)</f>
        <v>UI/UX Design</v>
      </c>
      <c r="H738" s="8">
        <f>_xlfn.XLOOKUP(A:A,Sheet1!A:A,Sheet1!K:K)</f>
        <v>0</v>
      </c>
      <c r="I738" s="9">
        <f>_xlfn.XLOOKUP(A:A,Sheet1!A:A,Sheet1!M:M)</f>
        <v>75</v>
      </c>
      <c r="J738" s="11">
        <v>0</v>
      </c>
      <c r="K738" t="str">
        <f>_xlfn.XLOOKUP(A:A,Sheet1!A:A,Sheet1!P:P)</f>
        <v>No</v>
      </c>
      <c r="L738" s="12">
        <f>_xlfn.XLOOKUP(A:A,Sheet1!A:A,Sheet1!S:S)</f>
        <v>0.92</v>
      </c>
    </row>
    <row r="739" spans="1:12" x14ac:dyDescent="0.35">
      <c r="A739" s="8" t="s">
        <v>1499</v>
      </c>
      <c r="B739" s="2" t="str">
        <f>_xlfn.XLOOKUP(A739,Sheet1!A:A,Sheet1!B:B)</f>
        <v>Gregory Waters</v>
      </c>
      <c r="C739" s="2" t="str">
        <f>_xlfn.XLOOKUP(A:A,Sheet1!A:A,Sheet1!D:D)</f>
        <v>Male</v>
      </c>
      <c r="D739" s="8">
        <f>_xlfn.XLOOKUP(A:A,Sheet1!A:A,Sheet1!F:F)</f>
        <v>26</v>
      </c>
      <c r="E739" s="2" t="str">
        <f>_xlfn.XLOOKUP(A:A,Sheet1!A:A,Sheet1!G:G)</f>
        <v>Netherlands</v>
      </c>
      <c r="F739" s="8" t="str">
        <f>_xlfn.XLOOKUP(A:A,Sheet1!A:A,Sheet1!H:H)</f>
        <v>Dutch</v>
      </c>
      <c r="G739" s="8" t="str">
        <f>_xlfn.XLOOKUP(A:A,Sheet1!A:A,Sheet1!I:I)</f>
        <v>AI</v>
      </c>
      <c r="H739" s="8">
        <f>_xlfn.XLOOKUP(A:A,Sheet1!A:A,Sheet1!K:K)</f>
        <v>6</v>
      </c>
      <c r="I739" s="9">
        <f>_xlfn.XLOOKUP(A:A,Sheet1!A:A,Sheet1!M:M)</f>
        <v>100</v>
      </c>
      <c r="J739" s="10">
        <f>_xlfn.XLOOKUP(A:A,Sheet1!A:A,Sheet1!O:O)</f>
        <v>2.5125695216907653</v>
      </c>
      <c r="K739" t="str">
        <f>_xlfn.XLOOKUP(A:A,Sheet1!A:A,Sheet1!P:P)</f>
        <v>No</v>
      </c>
      <c r="L739" s="12">
        <f>_xlfn.XLOOKUP(A:A,Sheet1!A:A,Sheet1!S:S)</f>
        <v>0.69</v>
      </c>
    </row>
    <row r="740" spans="1:12" x14ac:dyDescent="0.35">
      <c r="A740" s="8" t="s">
        <v>1501</v>
      </c>
      <c r="B740" s="2" t="str">
        <f>_xlfn.XLOOKUP(A740,Sheet1!A:A,Sheet1!B:B)</f>
        <v>Misty Adams</v>
      </c>
      <c r="C740" s="2" t="str">
        <f>_xlfn.XLOOKUP(A:A,Sheet1!A:A,Sheet1!D:D)</f>
        <v>Female</v>
      </c>
      <c r="D740" s="8">
        <f>_xlfn.XLOOKUP(A:A,Sheet1!A:A,Sheet1!F:F)</f>
        <v>34</v>
      </c>
      <c r="E740" s="2" t="str">
        <f>_xlfn.XLOOKUP(A:A,Sheet1!A:A,Sheet1!G:G)</f>
        <v>Canada</v>
      </c>
      <c r="F740" s="8" t="str">
        <f>_xlfn.XLOOKUP(A:A,Sheet1!A:A,Sheet1!H:H)</f>
        <v>English</v>
      </c>
      <c r="G740" s="8" t="str">
        <f>_xlfn.XLOOKUP(A:A,Sheet1!A:A,Sheet1!I:I)</f>
        <v>Machine Learning</v>
      </c>
      <c r="H740" s="8">
        <f>_xlfn.XLOOKUP(A:A,Sheet1!A:A,Sheet1!K:K)</f>
        <v>3</v>
      </c>
      <c r="I740" s="9">
        <f>_xlfn.XLOOKUP(A:A,Sheet1!A:A,Sheet1!M:M)</f>
        <v>40</v>
      </c>
      <c r="J740" s="11">
        <v>0</v>
      </c>
      <c r="K740" t="str">
        <f>_xlfn.XLOOKUP(A:A,Sheet1!A:A,Sheet1!P:P)</f>
        <v>Yes</v>
      </c>
      <c r="L740" s="12">
        <f>_xlfn.XLOOKUP(A:A,Sheet1!A:A,Sheet1!S:S)</f>
        <v>0.71</v>
      </c>
    </row>
    <row r="741" spans="1:12" x14ac:dyDescent="0.35">
      <c r="A741" s="8" t="s">
        <v>1503</v>
      </c>
      <c r="B741" s="2" t="str">
        <f>_xlfn.XLOOKUP(A741,Sheet1!A:A,Sheet1!B:B)</f>
        <v>Megan Brown</v>
      </c>
      <c r="C741" s="2" t="str">
        <f>_xlfn.XLOOKUP(A:A,Sheet1!A:A,Sheet1!D:D)</f>
        <v>Female</v>
      </c>
      <c r="D741" s="8">
        <f>_xlfn.XLOOKUP(A:A,Sheet1!A:A,Sheet1!F:F)</f>
        <v>34</v>
      </c>
      <c r="E741" s="2" t="str">
        <f>_xlfn.XLOOKUP(A:A,Sheet1!A:A,Sheet1!G:G)</f>
        <v>Germany</v>
      </c>
      <c r="F741" s="8" t="str">
        <f>_xlfn.XLOOKUP(A:A,Sheet1!A:A,Sheet1!H:H)</f>
        <v>German</v>
      </c>
      <c r="G741" s="8" t="str">
        <f>_xlfn.XLOOKUP(A:A,Sheet1!A:A,Sheet1!I:I)</f>
        <v>Blockchain Development</v>
      </c>
      <c r="H741" s="8">
        <f>_xlfn.XLOOKUP(A:A,Sheet1!A:A,Sheet1!K:K)</f>
        <v>3</v>
      </c>
      <c r="I741" s="9">
        <f>_xlfn.XLOOKUP(A:A,Sheet1!A:A,Sheet1!M:M)</f>
        <v>40</v>
      </c>
      <c r="J741" s="10">
        <f>_xlfn.XLOOKUP(A:A,Sheet1!A:A,Sheet1!O:O)</f>
        <v>2.5125695216907653</v>
      </c>
      <c r="K741" t="str">
        <f>_xlfn.XLOOKUP(A:A,Sheet1!A:A,Sheet1!P:P)</f>
        <v>No</v>
      </c>
      <c r="L741" s="12">
        <f>_xlfn.XLOOKUP(A:A,Sheet1!A:A,Sheet1!S:S)</f>
        <v>0.77</v>
      </c>
    </row>
    <row r="742" spans="1:12" x14ac:dyDescent="0.35">
      <c r="A742" s="8" t="s">
        <v>1505</v>
      </c>
      <c r="B742" s="2" t="str">
        <f>_xlfn.XLOOKUP(A742,Sheet1!A:A,Sheet1!B:B)</f>
        <v>Gregory Brown</v>
      </c>
      <c r="C742" s="2" t="str">
        <f>_xlfn.XLOOKUP(A:A,Sheet1!A:A,Sheet1!D:D)</f>
        <v>Male</v>
      </c>
      <c r="D742" s="8">
        <f>_xlfn.XLOOKUP(A:A,Sheet1!A:A,Sheet1!F:F)</f>
        <v>57</v>
      </c>
      <c r="E742" s="2" t="str">
        <f>_xlfn.XLOOKUP(A:A,Sheet1!A:A,Sheet1!G:G)</f>
        <v>Italy</v>
      </c>
      <c r="F742" s="8" t="str">
        <f>_xlfn.XLOOKUP(A:A,Sheet1!A:A,Sheet1!H:H)</f>
        <v>Italian</v>
      </c>
      <c r="G742" s="8" t="str">
        <f>_xlfn.XLOOKUP(A:A,Sheet1!A:A,Sheet1!I:I)</f>
        <v>Web Development</v>
      </c>
      <c r="H742" s="8">
        <f>_xlfn.XLOOKUP(A:A,Sheet1!A:A,Sheet1!K:K)</f>
        <v>31</v>
      </c>
      <c r="I742" s="9">
        <f>_xlfn.XLOOKUP(A:A,Sheet1!A:A,Sheet1!M:M)</f>
        <v>50</v>
      </c>
      <c r="J742" s="10">
        <f>_xlfn.XLOOKUP(A:A,Sheet1!A:A,Sheet1!O:O)</f>
        <v>3</v>
      </c>
      <c r="K742" t="str">
        <f>_xlfn.XLOOKUP(A:A,Sheet1!A:A,Sheet1!P:P)</f>
        <v>Yes</v>
      </c>
      <c r="L742" s="12">
        <f>_xlfn.XLOOKUP(A:A,Sheet1!A:A,Sheet1!S:S)</f>
        <v>0.87</v>
      </c>
    </row>
    <row r="743" spans="1:12" x14ac:dyDescent="0.35">
      <c r="A743" s="8" t="s">
        <v>1507</v>
      </c>
      <c r="B743" s="2" t="str">
        <f>_xlfn.XLOOKUP(A743,Sheet1!A:A,Sheet1!B:B)</f>
        <v xml:space="preserve">Scott Alexander </v>
      </c>
      <c r="C743" s="2" t="str">
        <f>_xlfn.XLOOKUP(A:A,Sheet1!A:A,Sheet1!D:D)</f>
        <v>Male</v>
      </c>
      <c r="D743" s="8">
        <f>_xlfn.XLOOKUP(A:A,Sheet1!A:A,Sheet1!F:F)</f>
        <v>46</v>
      </c>
      <c r="E743" s="2" t="str">
        <f>_xlfn.XLOOKUP(A:A,Sheet1!A:A,Sheet1!G:G)</f>
        <v>Canada</v>
      </c>
      <c r="F743" s="8" t="str">
        <f>_xlfn.XLOOKUP(A:A,Sheet1!A:A,Sheet1!H:H)</f>
        <v>English</v>
      </c>
      <c r="G743" s="8" t="str">
        <f>_xlfn.XLOOKUP(A:A,Sheet1!A:A,Sheet1!I:I)</f>
        <v>Web Development</v>
      </c>
      <c r="H743" s="8">
        <f>_xlfn.XLOOKUP(A:A,Sheet1!A:A,Sheet1!K:K)</f>
        <v>5</v>
      </c>
      <c r="I743" s="9">
        <f>_xlfn.XLOOKUP(A:A,Sheet1!A:A,Sheet1!M:M)</f>
        <v>30</v>
      </c>
      <c r="J743" s="10">
        <f>_xlfn.XLOOKUP(A:A,Sheet1!A:A,Sheet1!O:O)</f>
        <v>2.6</v>
      </c>
      <c r="K743" t="str">
        <f>_xlfn.XLOOKUP(A:A,Sheet1!A:A,Sheet1!P:P)</f>
        <v>No</v>
      </c>
      <c r="L743" s="12">
        <f>_xlfn.XLOOKUP(A:A,Sheet1!A:A,Sheet1!S:S)</f>
        <v>0.76</v>
      </c>
    </row>
    <row r="744" spans="1:12" x14ac:dyDescent="0.35">
      <c r="A744" s="8" t="s">
        <v>1508</v>
      </c>
      <c r="B744" s="2" t="str">
        <f>_xlfn.XLOOKUP(A744,Sheet1!A:A,Sheet1!B:B)</f>
        <v>Eric Nguyen</v>
      </c>
      <c r="C744" s="2" t="str">
        <f>_xlfn.XLOOKUP(A:A,Sheet1!A:A,Sheet1!D:D)</f>
        <v>Male</v>
      </c>
      <c r="D744" s="8">
        <f>_xlfn.XLOOKUP(A:A,Sheet1!A:A,Sheet1!F:F)</f>
        <v>55</v>
      </c>
      <c r="E744" s="2" t="str">
        <f>_xlfn.XLOOKUP(A:A,Sheet1!A:A,Sheet1!G:G)</f>
        <v>India</v>
      </c>
      <c r="F744" s="8" t="str">
        <f>_xlfn.XLOOKUP(A:A,Sheet1!A:A,Sheet1!H:H)</f>
        <v>Hindi</v>
      </c>
      <c r="G744" s="8" t="str">
        <f>_xlfn.XLOOKUP(A:A,Sheet1!A:A,Sheet1!I:I)</f>
        <v>AI</v>
      </c>
      <c r="H744" s="8">
        <f>_xlfn.XLOOKUP(A:A,Sheet1!A:A,Sheet1!K:K)</f>
        <v>37</v>
      </c>
      <c r="I744" s="9">
        <f>_xlfn.XLOOKUP(A:A,Sheet1!A:A,Sheet1!M:M)</f>
        <v>75</v>
      </c>
      <c r="J744" s="10">
        <f>_xlfn.XLOOKUP(A:A,Sheet1!A:A,Sheet1!O:O)</f>
        <v>4.0999999999999996</v>
      </c>
      <c r="K744" t="str">
        <f>_xlfn.XLOOKUP(A:A,Sheet1!A:A,Sheet1!P:P)</f>
        <v>No</v>
      </c>
      <c r="L744" s="12">
        <f>_xlfn.XLOOKUP(A:A,Sheet1!A:A,Sheet1!S:S)</f>
        <v>0.79269417475728277</v>
      </c>
    </row>
    <row r="745" spans="1:12" x14ac:dyDescent="0.35">
      <c r="A745" s="8" t="s">
        <v>1510</v>
      </c>
      <c r="B745" s="2" t="str">
        <f>_xlfn.XLOOKUP(A745,Sheet1!A:A,Sheet1!B:B)</f>
        <v>Wendy Boyer</v>
      </c>
      <c r="C745" s="2" t="str">
        <f>_xlfn.XLOOKUP(A:A,Sheet1!A:A,Sheet1!D:D)</f>
        <v>Female</v>
      </c>
      <c r="D745" s="8">
        <f>_xlfn.XLOOKUP(A:A,Sheet1!A:A,Sheet1!F:F)</f>
        <v>32</v>
      </c>
      <c r="E745" s="2" t="str">
        <f>_xlfn.XLOOKUP(A:A,Sheet1!A:A,Sheet1!G:G)</f>
        <v>Australia</v>
      </c>
      <c r="F745" s="8" t="str">
        <f>_xlfn.XLOOKUP(A:A,Sheet1!A:A,Sheet1!H:H)</f>
        <v>English</v>
      </c>
      <c r="G745" s="8" t="str">
        <f>_xlfn.XLOOKUP(A:A,Sheet1!A:A,Sheet1!I:I)</f>
        <v>DevOps</v>
      </c>
      <c r="H745" s="8">
        <f>_xlfn.XLOOKUP(A:A,Sheet1!A:A,Sheet1!K:K)</f>
        <v>10</v>
      </c>
      <c r="I745" s="9">
        <f>_xlfn.XLOOKUP(A:A,Sheet1!A:A,Sheet1!M:M)</f>
        <v>50</v>
      </c>
      <c r="J745" s="10">
        <f>_xlfn.XLOOKUP(A:A,Sheet1!A:A,Sheet1!O:O)</f>
        <v>1.5</v>
      </c>
      <c r="K745" t="str">
        <f>_xlfn.XLOOKUP(A:A,Sheet1!A:A,Sheet1!P:P)</f>
        <v>No</v>
      </c>
      <c r="L745" s="12">
        <f>_xlfn.XLOOKUP(A:A,Sheet1!A:A,Sheet1!S:S)</f>
        <v>0.65</v>
      </c>
    </row>
    <row r="746" spans="1:12" x14ac:dyDescent="0.35">
      <c r="A746" s="8" t="s">
        <v>1512</v>
      </c>
      <c r="B746" s="2" t="str">
        <f>_xlfn.XLOOKUP(A746,Sheet1!A:A,Sheet1!B:B)</f>
        <v>Mark Clark</v>
      </c>
      <c r="C746" s="2" t="str">
        <f>_xlfn.XLOOKUP(A:A,Sheet1!A:A,Sheet1!D:D)</f>
        <v>Male</v>
      </c>
      <c r="D746" s="8">
        <f>_xlfn.XLOOKUP(A:A,Sheet1!A:A,Sheet1!F:F)</f>
        <v>53</v>
      </c>
      <c r="E746" s="2" t="str">
        <f>_xlfn.XLOOKUP(A:A,Sheet1!A:A,Sheet1!G:G)</f>
        <v>Indonesia</v>
      </c>
      <c r="F746" s="8" t="str">
        <f>_xlfn.XLOOKUP(A:A,Sheet1!A:A,Sheet1!H:H)</f>
        <v>Indonesian</v>
      </c>
      <c r="G746" s="8" t="str">
        <f>_xlfn.XLOOKUP(A:A,Sheet1!A:A,Sheet1!I:I)</f>
        <v>AI</v>
      </c>
      <c r="H746" s="8">
        <f>_xlfn.XLOOKUP(A:A,Sheet1!A:A,Sheet1!K:K)</f>
        <v>28</v>
      </c>
      <c r="I746" s="9">
        <f>_xlfn.XLOOKUP(A:A,Sheet1!A:A,Sheet1!M:M)</f>
        <v>50</v>
      </c>
      <c r="J746" s="10">
        <f>_xlfn.XLOOKUP(A:A,Sheet1!A:A,Sheet1!O:O)</f>
        <v>2.9</v>
      </c>
      <c r="K746" t="str">
        <f>_xlfn.XLOOKUP(A:A,Sheet1!A:A,Sheet1!P:P)</f>
        <v>Yes</v>
      </c>
      <c r="L746" s="12">
        <f>_xlfn.XLOOKUP(A:A,Sheet1!A:A,Sheet1!S:S)</f>
        <v>0.82</v>
      </c>
    </row>
    <row r="747" spans="1:12" x14ac:dyDescent="0.35">
      <c r="A747" s="8" t="s">
        <v>1514</v>
      </c>
      <c r="B747" s="2" t="str">
        <f>_xlfn.XLOOKUP(A747,Sheet1!A:A,Sheet1!B:B)</f>
        <v>Carl Kline</v>
      </c>
      <c r="C747" s="2" t="str">
        <f>_xlfn.XLOOKUP(A:A,Sheet1!A:A,Sheet1!D:D)</f>
        <v>Male</v>
      </c>
      <c r="D747" s="8">
        <f>_xlfn.XLOOKUP(A:A,Sheet1!A:A,Sheet1!F:F)</f>
        <v>59</v>
      </c>
      <c r="E747" s="2" t="str">
        <f>_xlfn.XLOOKUP(A:A,Sheet1!A:A,Sheet1!G:G)</f>
        <v>Mexico</v>
      </c>
      <c r="F747" s="8" t="str">
        <f>_xlfn.XLOOKUP(A:A,Sheet1!A:A,Sheet1!H:H)</f>
        <v>Spanish</v>
      </c>
      <c r="G747" s="8" t="str">
        <f>_xlfn.XLOOKUP(A:A,Sheet1!A:A,Sheet1!I:I)</f>
        <v>AI</v>
      </c>
      <c r="H747" s="8">
        <f>_xlfn.XLOOKUP(A:A,Sheet1!A:A,Sheet1!K:K)</f>
        <v>0</v>
      </c>
      <c r="I747" s="9">
        <f>_xlfn.XLOOKUP(A:A,Sheet1!A:A,Sheet1!M:M)</f>
        <v>100</v>
      </c>
      <c r="J747" s="11">
        <v>0</v>
      </c>
      <c r="K747" t="str">
        <f>_xlfn.XLOOKUP(A:A,Sheet1!A:A,Sheet1!P:P)</f>
        <v>Yes</v>
      </c>
      <c r="L747" s="12">
        <f>_xlfn.XLOOKUP(A:A,Sheet1!A:A,Sheet1!S:S)</f>
        <v>0.87</v>
      </c>
    </row>
    <row r="748" spans="1:12" x14ac:dyDescent="0.35">
      <c r="A748" s="8" t="s">
        <v>1516</v>
      </c>
      <c r="B748" s="2" t="str">
        <f>_xlfn.XLOOKUP(A748,Sheet1!A:A,Sheet1!B:B)</f>
        <v>Linda Williams</v>
      </c>
      <c r="C748" s="2" t="str">
        <f>_xlfn.XLOOKUP(A:A,Sheet1!A:A,Sheet1!D:D)</f>
        <v>Female</v>
      </c>
      <c r="D748" s="8">
        <f>_xlfn.XLOOKUP(A:A,Sheet1!A:A,Sheet1!F:F)</f>
        <v>44</v>
      </c>
      <c r="E748" s="2" t="str">
        <f>_xlfn.XLOOKUP(A:A,Sheet1!A:A,Sheet1!G:G)</f>
        <v>Netherlands</v>
      </c>
      <c r="F748" s="8" t="str">
        <f>_xlfn.XLOOKUP(A:A,Sheet1!A:A,Sheet1!H:H)</f>
        <v>Dutch</v>
      </c>
      <c r="G748" s="8" t="str">
        <f>_xlfn.XLOOKUP(A:A,Sheet1!A:A,Sheet1!I:I)</f>
        <v>Machine Learning</v>
      </c>
      <c r="H748" s="8">
        <f>_xlfn.XLOOKUP(A:A,Sheet1!A:A,Sheet1!K:K)</f>
        <v>19</v>
      </c>
      <c r="I748" s="9">
        <f>_xlfn.XLOOKUP(A:A,Sheet1!A:A,Sheet1!M:M)</f>
        <v>40</v>
      </c>
      <c r="J748" s="10">
        <f>_xlfn.XLOOKUP(A:A,Sheet1!A:A,Sheet1!O:O)</f>
        <v>4.9000000000000004</v>
      </c>
      <c r="K748" t="str">
        <f>_xlfn.XLOOKUP(A:A,Sheet1!A:A,Sheet1!P:P)</f>
        <v>No</v>
      </c>
      <c r="L748" s="12">
        <f>_xlfn.XLOOKUP(A:A,Sheet1!A:A,Sheet1!S:S)</f>
        <v>1</v>
      </c>
    </row>
    <row r="749" spans="1:12" x14ac:dyDescent="0.35">
      <c r="A749" s="8" t="s">
        <v>1518</v>
      </c>
      <c r="B749" s="2" t="str">
        <f>_xlfn.XLOOKUP(A749,Sheet1!A:A,Sheet1!B:B)</f>
        <v>Jason Edwards</v>
      </c>
      <c r="C749" s="2" t="str">
        <f>_xlfn.XLOOKUP(A:A,Sheet1!A:A,Sheet1!D:D)</f>
        <v>Male</v>
      </c>
      <c r="D749" s="8">
        <f>_xlfn.XLOOKUP(A:A,Sheet1!A:A,Sheet1!F:F)</f>
        <v>35</v>
      </c>
      <c r="E749" s="2" t="str">
        <f>_xlfn.XLOOKUP(A:A,Sheet1!A:A,Sheet1!G:G)</f>
        <v>Egypt</v>
      </c>
      <c r="F749" s="8" t="str">
        <f>_xlfn.XLOOKUP(A:A,Sheet1!A:A,Sheet1!H:H)</f>
        <v>Arabic</v>
      </c>
      <c r="G749" s="8" t="str">
        <f>_xlfn.XLOOKUP(A:A,Sheet1!A:A,Sheet1!I:I)</f>
        <v>Blockchain Development</v>
      </c>
      <c r="H749" s="8">
        <f>_xlfn.XLOOKUP(A:A,Sheet1!A:A,Sheet1!K:K)</f>
        <v>9</v>
      </c>
      <c r="I749" s="9">
        <f>_xlfn.XLOOKUP(A:A,Sheet1!A:A,Sheet1!M:M)</f>
        <v>50</v>
      </c>
      <c r="J749" s="10">
        <f>_xlfn.XLOOKUP(A:A,Sheet1!A:A,Sheet1!O:O)</f>
        <v>3</v>
      </c>
      <c r="K749" t="str">
        <f>_xlfn.XLOOKUP(A:A,Sheet1!A:A,Sheet1!P:P)</f>
        <v>No</v>
      </c>
      <c r="L749" s="12">
        <f>_xlfn.XLOOKUP(A:A,Sheet1!A:A,Sheet1!S:S)</f>
        <v>0.71</v>
      </c>
    </row>
    <row r="750" spans="1:12" x14ac:dyDescent="0.35">
      <c r="A750" s="8" t="s">
        <v>1520</v>
      </c>
      <c r="B750" s="2" t="str">
        <f>_xlfn.XLOOKUP(A750,Sheet1!A:A,Sheet1!B:B)</f>
        <v>Madison Mcintosh</v>
      </c>
      <c r="C750" s="2" t="str">
        <f>_xlfn.XLOOKUP(A:A,Sheet1!A:A,Sheet1!D:D)</f>
        <v>Female</v>
      </c>
      <c r="D750" s="8">
        <f>_xlfn.XLOOKUP(A:A,Sheet1!A:A,Sheet1!F:F)</f>
        <v>42</v>
      </c>
      <c r="E750" s="2" t="str">
        <f>_xlfn.XLOOKUP(A:A,Sheet1!A:A,Sheet1!G:G)</f>
        <v>China</v>
      </c>
      <c r="F750" s="8" t="str">
        <f>_xlfn.XLOOKUP(A:A,Sheet1!A:A,Sheet1!H:H)</f>
        <v>Mandarin</v>
      </c>
      <c r="G750" s="8" t="str">
        <f>_xlfn.XLOOKUP(A:A,Sheet1!A:A,Sheet1!I:I)</f>
        <v>Machine Learning</v>
      </c>
      <c r="H750" s="8">
        <f>_xlfn.XLOOKUP(A:A,Sheet1!A:A,Sheet1!K:K)</f>
        <v>5</v>
      </c>
      <c r="I750" s="9">
        <f>_xlfn.XLOOKUP(A:A,Sheet1!A:A,Sheet1!M:M)</f>
        <v>30</v>
      </c>
      <c r="J750" s="10">
        <f>_xlfn.XLOOKUP(A:A,Sheet1!A:A,Sheet1!O:O)</f>
        <v>4.9000000000000004</v>
      </c>
      <c r="K750" t="str">
        <f>_xlfn.XLOOKUP(A:A,Sheet1!A:A,Sheet1!P:P)</f>
        <v>Yes</v>
      </c>
      <c r="L750" s="12">
        <f>_xlfn.XLOOKUP(A:A,Sheet1!A:A,Sheet1!S:S)</f>
        <v>0.87</v>
      </c>
    </row>
    <row r="751" spans="1:12" x14ac:dyDescent="0.35">
      <c r="A751" s="8" t="s">
        <v>1522</v>
      </c>
      <c r="B751" s="2" t="str">
        <f>_xlfn.XLOOKUP(A751,Sheet1!A:A,Sheet1!B:B)</f>
        <v>Desiree Winters</v>
      </c>
      <c r="C751" s="2" t="str">
        <f>_xlfn.XLOOKUP(A:A,Sheet1!A:A,Sheet1!D:D)</f>
        <v>Female</v>
      </c>
      <c r="D751" s="8">
        <f>_xlfn.XLOOKUP(A:A,Sheet1!A:A,Sheet1!F:F)</f>
        <v>58</v>
      </c>
      <c r="E751" s="2" t="str">
        <f>_xlfn.XLOOKUP(A:A,Sheet1!A:A,Sheet1!G:G)</f>
        <v>South Korea</v>
      </c>
      <c r="F751" s="8" t="str">
        <f>_xlfn.XLOOKUP(A:A,Sheet1!A:A,Sheet1!H:H)</f>
        <v>Korean</v>
      </c>
      <c r="G751" s="8" t="str">
        <f>_xlfn.XLOOKUP(A:A,Sheet1!A:A,Sheet1!I:I)</f>
        <v>Blockchain Development</v>
      </c>
      <c r="H751" s="8">
        <f>_xlfn.XLOOKUP(A:A,Sheet1!A:A,Sheet1!K:K)</f>
        <v>0</v>
      </c>
      <c r="I751" s="9">
        <f>_xlfn.XLOOKUP(A:A,Sheet1!A:A,Sheet1!M:M)</f>
        <v>30</v>
      </c>
      <c r="J751" s="10">
        <f>_xlfn.XLOOKUP(A:A,Sheet1!A:A,Sheet1!O:O)</f>
        <v>4.5999999999999996</v>
      </c>
      <c r="K751" t="str">
        <f>_xlfn.XLOOKUP(A:A,Sheet1!A:A,Sheet1!P:P)</f>
        <v>No</v>
      </c>
      <c r="L751" s="12">
        <f>_xlfn.XLOOKUP(A:A,Sheet1!A:A,Sheet1!S:S)</f>
        <v>0.7</v>
      </c>
    </row>
    <row r="752" spans="1:12" x14ac:dyDescent="0.35">
      <c r="A752" s="8" t="s">
        <v>1524</v>
      </c>
      <c r="B752" s="2" t="str">
        <f>_xlfn.XLOOKUP(A752,Sheet1!A:A,Sheet1!B:B)</f>
        <v>Ryan Taylor</v>
      </c>
      <c r="C752" s="2" t="str">
        <f>_xlfn.XLOOKUP(A:A,Sheet1!A:A,Sheet1!D:D)</f>
        <v>Male</v>
      </c>
      <c r="D752" s="8">
        <f>_xlfn.XLOOKUP(A:A,Sheet1!A:A,Sheet1!F:F)</f>
        <v>41</v>
      </c>
      <c r="E752" s="2" t="str">
        <f>_xlfn.XLOOKUP(A:A,Sheet1!A:A,Sheet1!G:G)</f>
        <v>Netherlands</v>
      </c>
      <c r="F752" s="8" t="str">
        <f>_xlfn.XLOOKUP(A:A,Sheet1!A:A,Sheet1!H:H)</f>
        <v>Dutch</v>
      </c>
      <c r="G752" s="8" t="str">
        <f>_xlfn.XLOOKUP(A:A,Sheet1!A:A,Sheet1!I:I)</f>
        <v>AI</v>
      </c>
      <c r="H752" s="8">
        <f>_xlfn.XLOOKUP(A:A,Sheet1!A:A,Sheet1!K:K)</f>
        <v>21</v>
      </c>
      <c r="I752" s="9">
        <f>_xlfn.XLOOKUP(A:A,Sheet1!A:A,Sheet1!M:M)</f>
        <v>100</v>
      </c>
      <c r="J752" s="10">
        <f>_xlfn.XLOOKUP(A:A,Sheet1!A:A,Sheet1!O:O)</f>
        <v>2.2000000000000002</v>
      </c>
      <c r="K752" t="str">
        <f>_xlfn.XLOOKUP(A:A,Sheet1!A:A,Sheet1!P:P)</f>
        <v>Yes</v>
      </c>
      <c r="L752" s="12">
        <f>_xlfn.XLOOKUP(A:A,Sheet1!A:A,Sheet1!S:S)</f>
        <v>0.83</v>
      </c>
    </row>
    <row r="753" spans="1:12" x14ac:dyDescent="0.35">
      <c r="A753" s="8" t="s">
        <v>1526</v>
      </c>
      <c r="B753" s="2" t="str">
        <f>_xlfn.XLOOKUP(A753,Sheet1!A:A,Sheet1!B:B)</f>
        <v>Patricia Scott</v>
      </c>
      <c r="C753" s="2" t="str">
        <f>_xlfn.XLOOKUP(A:A,Sheet1!A:A,Sheet1!D:D)</f>
        <v>Female</v>
      </c>
      <c r="D753" s="8">
        <f>_xlfn.XLOOKUP(A:A,Sheet1!A:A,Sheet1!F:F)</f>
        <v>41</v>
      </c>
      <c r="E753" s="2" t="str">
        <f>_xlfn.XLOOKUP(A:A,Sheet1!A:A,Sheet1!G:G)</f>
        <v>Argentina</v>
      </c>
      <c r="F753" s="8" t="str">
        <f>_xlfn.XLOOKUP(A:A,Sheet1!A:A,Sheet1!H:H)</f>
        <v>Spanish</v>
      </c>
      <c r="G753" s="8" t="str">
        <f>_xlfn.XLOOKUP(A:A,Sheet1!A:A,Sheet1!I:I)</f>
        <v>Web Development</v>
      </c>
      <c r="H753" s="8">
        <f>_xlfn.XLOOKUP(A:A,Sheet1!A:A,Sheet1!K:K)</f>
        <v>0</v>
      </c>
      <c r="I753" s="9">
        <f>_xlfn.XLOOKUP(A:A,Sheet1!A:A,Sheet1!M:M)</f>
        <v>40</v>
      </c>
      <c r="J753" s="10">
        <f>_xlfn.XLOOKUP(A:A,Sheet1!A:A,Sheet1!O:O)</f>
        <v>2.5125695216907653</v>
      </c>
      <c r="K753" t="str">
        <f>_xlfn.XLOOKUP(A:A,Sheet1!A:A,Sheet1!P:P)</f>
        <v>Yes</v>
      </c>
      <c r="L753" s="12">
        <f>_xlfn.XLOOKUP(A:A,Sheet1!A:A,Sheet1!S:S)</f>
        <v>0.74</v>
      </c>
    </row>
    <row r="754" spans="1:12" x14ac:dyDescent="0.35">
      <c r="A754" s="8" t="s">
        <v>1528</v>
      </c>
      <c r="B754" s="2" t="str">
        <f>_xlfn.XLOOKUP(A754,Sheet1!A:A,Sheet1!B:B)</f>
        <v>Erin Jimenez</v>
      </c>
      <c r="C754" s="2" t="str">
        <f>_xlfn.XLOOKUP(A:A,Sheet1!A:A,Sheet1!D:D)</f>
        <v>Female</v>
      </c>
      <c r="D754" s="8">
        <f>_xlfn.XLOOKUP(A:A,Sheet1!A:A,Sheet1!F:F)</f>
        <v>23</v>
      </c>
      <c r="E754" s="2" t="str">
        <f>_xlfn.XLOOKUP(A:A,Sheet1!A:A,Sheet1!G:G)</f>
        <v>Canada</v>
      </c>
      <c r="F754" s="8" t="str">
        <f>_xlfn.XLOOKUP(A:A,Sheet1!A:A,Sheet1!H:H)</f>
        <v>English</v>
      </c>
      <c r="G754" s="8" t="str">
        <f>_xlfn.XLOOKUP(A:A,Sheet1!A:A,Sheet1!I:I)</f>
        <v>Blockchain Development</v>
      </c>
      <c r="H754" s="8">
        <f>_xlfn.XLOOKUP(A:A,Sheet1!A:A,Sheet1!K:K)</f>
        <v>0</v>
      </c>
      <c r="I754" s="9">
        <f>_xlfn.XLOOKUP(A:A,Sheet1!A:A,Sheet1!M:M)</f>
        <v>30</v>
      </c>
      <c r="J754" s="10">
        <f>_xlfn.XLOOKUP(A:A,Sheet1!A:A,Sheet1!O:O)</f>
        <v>1.1000000000000001</v>
      </c>
      <c r="K754" t="str">
        <f>_xlfn.XLOOKUP(A:A,Sheet1!A:A,Sheet1!P:P)</f>
        <v>Yes</v>
      </c>
      <c r="L754" s="12">
        <f>_xlfn.XLOOKUP(A:A,Sheet1!A:A,Sheet1!S:S)</f>
        <v>0.86</v>
      </c>
    </row>
    <row r="755" spans="1:12" x14ac:dyDescent="0.35">
      <c r="A755" s="8" t="s">
        <v>1530</v>
      </c>
      <c r="B755" s="2" t="str">
        <f>_xlfn.XLOOKUP(A755,Sheet1!A:A,Sheet1!B:B)</f>
        <v>Anthony Krause</v>
      </c>
      <c r="C755" s="2" t="str">
        <f>_xlfn.XLOOKUP(A:A,Sheet1!A:A,Sheet1!D:D)</f>
        <v>Male</v>
      </c>
      <c r="D755" s="8">
        <f>_xlfn.XLOOKUP(A:A,Sheet1!A:A,Sheet1!F:F)</f>
        <v>51</v>
      </c>
      <c r="E755" s="2" t="str">
        <f>_xlfn.XLOOKUP(A:A,Sheet1!A:A,Sheet1!G:G)</f>
        <v>China</v>
      </c>
      <c r="F755" s="8" t="str">
        <f>_xlfn.XLOOKUP(A:A,Sheet1!A:A,Sheet1!H:H)</f>
        <v>Mandarin</v>
      </c>
      <c r="G755" s="8" t="str">
        <f>_xlfn.XLOOKUP(A:A,Sheet1!A:A,Sheet1!I:I)</f>
        <v>Blockchain Development</v>
      </c>
      <c r="H755" s="8">
        <f>_xlfn.XLOOKUP(A:A,Sheet1!A:A,Sheet1!K:K)</f>
        <v>17</v>
      </c>
      <c r="I755" s="9">
        <f>_xlfn.XLOOKUP(A:A,Sheet1!A:A,Sheet1!M:M)</f>
        <v>40</v>
      </c>
      <c r="J755" s="10">
        <f>_xlfn.XLOOKUP(A:A,Sheet1!A:A,Sheet1!O:O)</f>
        <v>4.5</v>
      </c>
      <c r="K755" t="str">
        <f>_xlfn.XLOOKUP(A:A,Sheet1!A:A,Sheet1!P:P)</f>
        <v>Yes</v>
      </c>
      <c r="L755" s="12">
        <f>_xlfn.XLOOKUP(A:A,Sheet1!A:A,Sheet1!S:S)</f>
        <v>0.72</v>
      </c>
    </row>
    <row r="756" spans="1:12" x14ac:dyDescent="0.35">
      <c r="A756" s="8" t="s">
        <v>1532</v>
      </c>
      <c r="B756" s="2" t="str">
        <f>_xlfn.XLOOKUP(A756,Sheet1!A:A,Sheet1!B:B)</f>
        <v>Diane Dean</v>
      </c>
      <c r="C756" s="2" t="str">
        <f>_xlfn.XLOOKUP(A:A,Sheet1!A:A,Sheet1!D:D)</f>
        <v>Female</v>
      </c>
      <c r="D756" s="8">
        <f>_xlfn.XLOOKUP(A:A,Sheet1!A:A,Sheet1!F:F)</f>
        <v>42</v>
      </c>
      <c r="E756" s="2" t="str">
        <f>_xlfn.XLOOKUP(A:A,Sheet1!A:A,Sheet1!G:G)</f>
        <v>France</v>
      </c>
      <c r="F756" s="8" t="str">
        <f>_xlfn.XLOOKUP(A:A,Sheet1!A:A,Sheet1!H:H)</f>
        <v>French</v>
      </c>
      <c r="G756" s="8" t="str">
        <f>_xlfn.XLOOKUP(A:A,Sheet1!A:A,Sheet1!I:I)</f>
        <v>AI</v>
      </c>
      <c r="H756" s="8">
        <f>_xlfn.XLOOKUP(A:A,Sheet1!A:A,Sheet1!K:K)</f>
        <v>21</v>
      </c>
      <c r="I756" s="9">
        <f>_xlfn.XLOOKUP(A:A,Sheet1!A:A,Sheet1!M:M)</f>
        <v>40</v>
      </c>
      <c r="J756" s="10">
        <f>_xlfn.XLOOKUP(A:A,Sheet1!A:A,Sheet1!O:O)</f>
        <v>2.5</v>
      </c>
      <c r="K756" t="str">
        <f>_xlfn.XLOOKUP(A:A,Sheet1!A:A,Sheet1!P:P)</f>
        <v>Yes</v>
      </c>
      <c r="L756" s="12">
        <f>_xlfn.XLOOKUP(A:A,Sheet1!A:A,Sheet1!S:S)</f>
        <v>0.73</v>
      </c>
    </row>
    <row r="757" spans="1:12" x14ac:dyDescent="0.35">
      <c r="A757" s="8" t="s">
        <v>1534</v>
      </c>
      <c r="B757" s="2" t="str">
        <f>_xlfn.XLOOKUP(A757,Sheet1!A:A,Sheet1!B:B)</f>
        <v>Stuart Mckinney</v>
      </c>
      <c r="C757" s="2" t="str">
        <f>_xlfn.XLOOKUP(A:A,Sheet1!A:A,Sheet1!D:D)</f>
        <v>Male</v>
      </c>
      <c r="D757" s="8">
        <f>_xlfn.XLOOKUP(A:A,Sheet1!A:A,Sheet1!F:F)</f>
        <v>26</v>
      </c>
      <c r="E757" s="2" t="str">
        <f>_xlfn.XLOOKUP(A:A,Sheet1!A:A,Sheet1!G:G)</f>
        <v>Japan</v>
      </c>
      <c r="F757" s="8" t="str">
        <f>_xlfn.XLOOKUP(A:A,Sheet1!A:A,Sheet1!H:H)</f>
        <v>Japanese</v>
      </c>
      <c r="G757" s="8" t="str">
        <f>_xlfn.XLOOKUP(A:A,Sheet1!A:A,Sheet1!I:I)</f>
        <v>Data Analysis</v>
      </c>
      <c r="H757" s="8">
        <f>_xlfn.XLOOKUP(A:A,Sheet1!A:A,Sheet1!K:K)</f>
        <v>7</v>
      </c>
      <c r="I757" s="9">
        <f>_xlfn.XLOOKUP(A:A,Sheet1!A:A,Sheet1!M:M)</f>
        <v>75</v>
      </c>
      <c r="J757" s="10">
        <f>_xlfn.XLOOKUP(A:A,Sheet1!A:A,Sheet1!O:O)</f>
        <v>2.9</v>
      </c>
      <c r="K757" t="str">
        <f>_xlfn.XLOOKUP(A:A,Sheet1!A:A,Sheet1!P:P)</f>
        <v>No</v>
      </c>
      <c r="L757" s="12">
        <f>_xlfn.XLOOKUP(A:A,Sheet1!A:A,Sheet1!S:S)</f>
        <v>0.78</v>
      </c>
    </row>
    <row r="758" spans="1:12" x14ac:dyDescent="0.35">
      <c r="A758" s="8" t="s">
        <v>1536</v>
      </c>
      <c r="B758" s="2" t="str">
        <f>_xlfn.XLOOKUP(A758,Sheet1!A:A,Sheet1!B:B)</f>
        <v>Kellie Le</v>
      </c>
      <c r="C758" s="2" t="str">
        <f>_xlfn.XLOOKUP(A:A,Sheet1!A:A,Sheet1!D:D)</f>
        <v>Female</v>
      </c>
      <c r="D758" s="8">
        <f>_xlfn.XLOOKUP(A:A,Sheet1!A:A,Sheet1!F:F)</f>
        <v>49</v>
      </c>
      <c r="E758" s="2" t="str">
        <f>_xlfn.XLOOKUP(A:A,Sheet1!A:A,Sheet1!G:G)</f>
        <v>Indonesia</v>
      </c>
      <c r="F758" s="8" t="str">
        <f>_xlfn.XLOOKUP(A:A,Sheet1!A:A,Sheet1!H:H)</f>
        <v>Indonesian</v>
      </c>
      <c r="G758" s="8" t="str">
        <f>_xlfn.XLOOKUP(A:A,Sheet1!A:A,Sheet1!I:I)</f>
        <v>AI</v>
      </c>
      <c r="H758" s="8">
        <f>_xlfn.XLOOKUP(A:A,Sheet1!A:A,Sheet1!K:K)</f>
        <v>22</v>
      </c>
      <c r="I758" s="9">
        <f>_xlfn.XLOOKUP(A:A,Sheet1!A:A,Sheet1!M:M)</f>
        <v>75</v>
      </c>
      <c r="J758" s="11">
        <v>0</v>
      </c>
      <c r="K758" t="str">
        <f>_xlfn.XLOOKUP(A:A,Sheet1!A:A,Sheet1!P:P)</f>
        <v>Yes</v>
      </c>
      <c r="L758" s="12">
        <f>_xlfn.XLOOKUP(A:A,Sheet1!A:A,Sheet1!S:S)</f>
        <v>0.79269417475728277</v>
      </c>
    </row>
    <row r="759" spans="1:12" x14ac:dyDescent="0.35">
      <c r="A759" s="8" t="s">
        <v>1538</v>
      </c>
      <c r="B759" s="2" t="str">
        <f>_xlfn.XLOOKUP(A759,Sheet1!A:A,Sheet1!B:B)</f>
        <v>Lauren Henry</v>
      </c>
      <c r="C759" s="2" t="str">
        <f>_xlfn.XLOOKUP(A:A,Sheet1!A:A,Sheet1!D:D)</f>
        <v>Female</v>
      </c>
      <c r="D759" s="8">
        <f>_xlfn.XLOOKUP(A:A,Sheet1!A:A,Sheet1!F:F)</f>
        <v>37</v>
      </c>
      <c r="E759" s="2" t="str">
        <f>_xlfn.XLOOKUP(A:A,Sheet1!A:A,Sheet1!G:G)</f>
        <v>Italy</v>
      </c>
      <c r="F759" s="8" t="str">
        <f>_xlfn.XLOOKUP(A:A,Sheet1!A:A,Sheet1!H:H)</f>
        <v>Italian</v>
      </c>
      <c r="G759" s="8" t="str">
        <f>_xlfn.XLOOKUP(A:A,Sheet1!A:A,Sheet1!I:I)</f>
        <v>DevOps</v>
      </c>
      <c r="H759" s="8">
        <f>_xlfn.XLOOKUP(A:A,Sheet1!A:A,Sheet1!K:K)</f>
        <v>9</v>
      </c>
      <c r="I759" s="9">
        <f>_xlfn.XLOOKUP(A:A,Sheet1!A:A,Sheet1!M:M)</f>
        <v>75</v>
      </c>
      <c r="J759" s="10">
        <f>_xlfn.XLOOKUP(A:A,Sheet1!A:A,Sheet1!O:O)</f>
        <v>3.5</v>
      </c>
      <c r="K759" t="str">
        <f>_xlfn.XLOOKUP(A:A,Sheet1!A:A,Sheet1!P:P)</f>
        <v>No</v>
      </c>
      <c r="L759" s="12">
        <f>_xlfn.XLOOKUP(A:A,Sheet1!A:A,Sheet1!S:S)</f>
        <v>0.75</v>
      </c>
    </row>
    <row r="760" spans="1:12" x14ac:dyDescent="0.35">
      <c r="A760" s="8" t="s">
        <v>1540</v>
      </c>
      <c r="B760" s="2" t="str">
        <f>_xlfn.XLOOKUP(A760,Sheet1!A:A,Sheet1!B:B)</f>
        <v>Brandon Fox</v>
      </c>
      <c r="C760" s="2" t="str">
        <f>_xlfn.XLOOKUP(A:A,Sheet1!A:A,Sheet1!D:D)</f>
        <v>Male</v>
      </c>
      <c r="D760" s="8">
        <f>_xlfn.XLOOKUP(A:A,Sheet1!A:A,Sheet1!F:F)</f>
        <v>31</v>
      </c>
      <c r="E760" s="2" t="str">
        <f>_xlfn.XLOOKUP(A:A,Sheet1!A:A,Sheet1!G:G)</f>
        <v>Australia</v>
      </c>
      <c r="F760" s="8" t="str">
        <f>_xlfn.XLOOKUP(A:A,Sheet1!A:A,Sheet1!H:H)</f>
        <v>English</v>
      </c>
      <c r="G760" s="8" t="str">
        <f>_xlfn.XLOOKUP(A:A,Sheet1!A:A,Sheet1!I:I)</f>
        <v>AI</v>
      </c>
      <c r="H760" s="8">
        <f>_xlfn.XLOOKUP(A:A,Sheet1!A:A,Sheet1!K:K)</f>
        <v>1</v>
      </c>
      <c r="I760" s="9">
        <f>_xlfn.XLOOKUP(A:A,Sheet1!A:A,Sheet1!M:M)</f>
        <v>40</v>
      </c>
      <c r="J760" s="10">
        <f>_xlfn.XLOOKUP(A:A,Sheet1!A:A,Sheet1!O:O)</f>
        <v>4.5</v>
      </c>
      <c r="K760" t="str">
        <f>_xlfn.XLOOKUP(A:A,Sheet1!A:A,Sheet1!P:P)</f>
        <v>No</v>
      </c>
      <c r="L760" s="12">
        <f>_xlfn.XLOOKUP(A:A,Sheet1!A:A,Sheet1!S:S)</f>
        <v>0.96</v>
      </c>
    </row>
    <row r="761" spans="1:12" x14ac:dyDescent="0.35">
      <c r="A761" s="8" t="s">
        <v>1542</v>
      </c>
      <c r="B761" s="2" t="str">
        <f>_xlfn.XLOOKUP(A761,Sheet1!A:A,Sheet1!B:B)</f>
        <v>Richard Smith</v>
      </c>
      <c r="C761" s="2" t="str">
        <f>_xlfn.XLOOKUP(A:A,Sheet1!A:A,Sheet1!D:D)</f>
        <v>Male</v>
      </c>
      <c r="D761" s="8">
        <f>_xlfn.XLOOKUP(A:A,Sheet1!A:A,Sheet1!F:F)</f>
        <v>51</v>
      </c>
      <c r="E761" s="2" t="str">
        <f>_xlfn.XLOOKUP(A:A,Sheet1!A:A,Sheet1!G:G)</f>
        <v>South Korea</v>
      </c>
      <c r="F761" s="8" t="str">
        <f>_xlfn.XLOOKUP(A:A,Sheet1!A:A,Sheet1!H:H)</f>
        <v>Korean</v>
      </c>
      <c r="G761" s="8" t="str">
        <f>_xlfn.XLOOKUP(A:A,Sheet1!A:A,Sheet1!I:I)</f>
        <v>Mobile Apps</v>
      </c>
      <c r="H761" s="8">
        <f>_xlfn.XLOOKUP(A:A,Sheet1!A:A,Sheet1!K:K)</f>
        <v>5</v>
      </c>
      <c r="I761" s="9">
        <f>_xlfn.XLOOKUP(A:A,Sheet1!A:A,Sheet1!M:M)</f>
        <v>40</v>
      </c>
      <c r="J761" s="10">
        <f>_xlfn.XLOOKUP(A:A,Sheet1!A:A,Sheet1!O:O)</f>
        <v>1.7</v>
      </c>
      <c r="K761" t="str">
        <f>_xlfn.XLOOKUP(A:A,Sheet1!A:A,Sheet1!P:P)</f>
        <v>Yes</v>
      </c>
      <c r="L761" s="12">
        <f>_xlfn.XLOOKUP(A:A,Sheet1!A:A,Sheet1!S:S)</f>
        <v>0.61</v>
      </c>
    </row>
    <row r="762" spans="1:12" x14ac:dyDescent="0.35">
      <c r="A762" s="8" t="s">
        <v>1544</v>
      </c>
      <c r="B762" s="2" t="str">
        <f>_xlfn.XLOOKUP(A762,Sheet1!A:A,Sheet1!B:B)</f>
        <v>John White</v>
      </c>
      <c r="C762" s="2" t="str">
        <f>_xlfn.XLOOKUP(A:A,Sheet1!A:A,Sheet1!D:D)</f>
        <v>Male</v>
      </c>
      <c r="D762" s="8">
        <f>_xlfn.XLOOKUP(A:A,Sheet1!A:A,Sheet1!F:F)</f>
        <v>60</v>
      </c>
      <c r="E762" s="2" t="str">
        <f>_xlfn.XLOOKUP(A:A,Sheet1!A:A,Sheet1!G:G)</f>
        <v>China</v>
      </c>
      <c r="F762" s="8" t="str">
        <f>_xlfn.XLOOKUP(A:A,Sheet1!A:A,Sheet1!H:H)</f>
        <v>Mandarin</v>
      </c>
      <c r="G762" s="8" t="str">
        <f>_xlfn.XLOOKUP(A:A,Sheet1!A:A,Sheet1!I:I)</f>
        <v>DevOps</v>
      </c>
      <c r="H762" s="8">
        <f>_xlfn.XLOOKUP(A:A,Sheet1!A:A,Sheet1!K:K)</f>
        <v>40</v>
      </c>
      <c r="I762" s="9">
        <f>_xlfn.XLOOKUP(A:A,Sheet1!A:A,Sheet1!M:M)</f>
        <v>50</v>
      </c>
      <c r="J762" s="10">
        <f>_xlfn.XLOOKUP(A:A,Sheet1!A:A,Sheet1!O:O)</f>
        <v>4.5999999999999996</v>
      </c>
      <c r="K762" t="str">
        <f>_xlfn.XLOOKUP(A:A,Sheet1!A:A,Sheet1!P:P)</f>
        <v>Yes</v>
      </c>
      <c r="L762" s="12">
        <f>_xlfn.XLOOKUP(A:A,Sheet1!A:A,Sheet1!S:S)</f>
        <v>1</v>
      </c>
    </row>
    <row r="763" spans="1:12" x14ac:dyDescent="0.35">
      <c r="A763" s="8" t="s">
        <v>1546</v>
      </c>
      <c r="B763" s="2" t="str">
        <f>_xlfn.XLOOKUP(A763,Sheet1!A:A,Sheet1!B:B)</f>
        <v>Gilbert Mcintyre</v>
      </c>
      <c r="C763" s="2" t="str">
        <f>_xlfn.XLOOKUP(A:A,Sheet1!A:A,Sheet1!D:D)</f>
        <v>Male</v>
      </c>
      <c r="D763" s="8">
        <f>_xlfn.XLOOKUP(A:A,Sheet1!A:A,Sheet1!F:F)</f>
        <v>51</v>
      </c>
      <c r="E763" s="2" t="str">
        <f>_xlfn.XLOOKUP(A:A,Sheet1!A:A,Sheet1!G:G)</f>
        <v>Canada</v>
      </c>
      <c r="F763" s="8" t="str">
        <f>_xlfn.XLOOKUP(A:A,Sheet1!A:A,Sheet1!H:H)</f>
        <v>English</v>
      </c>
      <c r="G763" s="8" t="str">
        <f>_xlfn.XLOOKUP(A:A,Sheet1!A:A,Sheet1!I:I)</f>
        <v>Blockchain Development</v>
      </c>
      <c r="H763" s="8">
        <f>_xlfn.XLOOKUP(A:A,Sheet1!A:A,Sheet1!K:K)</f>
        <v>19</v>
      </c>
      <c r="I763" s="9">
        <f>_xlfn.XLOOKUP(A:A,Sheet1!A:A,Sheet1!M:M)</f>
        <v>50</v>
      </c>
      <c r="J763" s="10">
        <f>_xlfn.XLOOKUP(A:A,Sheet1!A:A,Sheet1!O:O)</f>
        <v>2.5125695216907653</v>
      </c>
      <c r="K763" t="str">
        <f>_xlfn.XLOOKUP(A:A,Sheet1!A:A,Sheet1!P:P)</f>
        <v>Yes</v>
      </c>
      <c r="L763" s="12">
        <f>_xlfn.XLOOKUP(A:A,Sheet1!A:A,Sheet1!S:S)</f>
        <v>0.82</v>
      </c>
    </row>
    <row r="764" spans="1:12" x14ac:dyDescent="0.35">
      <c r="A764" s="8" t="s">
        <v>1548</v>
      </c>
      <c r="B764" s="2" t="str">
        <f>_xlfn.XLOOKUP(A764,Sheet1!A:A,Sheet1!B:B)</f>
        <v>Christopher Sparks</v>
      </c>
      <c r="C764" s="2" t="str">
        <f>_xlfn.XLOOKUP(A:A,Sheet1!A:A,Sheet1!D:D)</f>
        <v>Male</v>
      </c>
      <c r="D764" s="8">
        <f>_xlfn.XLOOKUP(A:A,Sheet1!A:A,Sheet1!F:F)</f>
        <v>37</v>
      </c>
      <c r="E764" s="2" t="str">
        <f>_xlfn.XLOOKUP(A:A,Sheet1!A:A,Sheet1!G:G)</f>
        <v>Germany</v>
      </c>
      <c r="F764" s="8" t="str">
        <f>_xlfn.XLOOKUP(A:A,Sheet1!A:A,Sheet1!H:H)</f>
        <v>German</v>
      </c>
      <c r="G764" s="8" t="str">
        <f>_xlfn.XLOOKUP(A:A,Sheet1!A:A,Sheet1!I:I)</f>
        <v>Graphic Design</v>
      </c>
      <c r="H764" s="8">
        <f>_xlfn.XLOOKUP(A:A,Sheet1!A:A,Sheet1!K:K)</f>
        <v>12</v>
      </c>
      <c r="I764" s="9">
        <f>_xlfn.XLOOKUP(A:A,Sheet1!A:A,Sheet1!M:M)</f>
        <v>40</v>
      </c>
      <c r="J764" s="10">
        <f>_xlfn.XLOOKUP(A:A,Sheet1!A:A,Sheet1!O:O)</f>
        <v>4.9000000000000004</v>
      </c>
      <c r="K764" t="str">
        <f>_xlfn.XLOOKUP(A:A,Sheet1!A:A,Sheet1!P:P)</f>
        <v>Yes</v>
      </c>
      <c r="L764" s="12">
        <f>_xlfn.XLOOKUP(A:A,Sheet1!A:A,Sheet1!S:S)</f>
        <v>0.8</v>
      </c>
    </row>
    <row r="765" spans="1:12" x14ac:dyDescent="0.35">
      <c r="A765" s="8" t="s">
        <v>1550</v>
      </c>
      <c r="B765" s="2" t="str">
        <f>_xlfn.XLOOKUP(A765,Sheet1!A:A,Sheet1!B:B)</f>
        <v>Aaron Hicks</v>
      </c>
      <c r="C765" s="2" t="str">
        <f>_xlfn.XLOOKUP(A:A,Sheet1!A:A,Sheet1!D:D)</f>
        <v>Male</v>
      </c>
      <c r="D765" s="8">
        <f>_xlfn.XLOOKUP(A:A,Sheet1!A:A,Sheet1!F:F)</f>
        <v>52</v>
      </c>
      <c r="E765" s="2" t="str">
        <f>_xlfn.XLOOKUP(A:A,Sheet1!A:A,Sheet1!G:G)</f>
        <v>India</v>
      </c>
      <c r="F765" s="8" t="str">
        <f>_xlfn.XLOOKUP(A:A,Sheet1!A:A,Sheet1!H:H)</f>
        <v>Hindi</v>
      </c>
      <c r="G765" s="8" t="str">
        <f>_xlfn.XLOOKUP(A:A,Sheet1!A:A,Sheet1!I:I)</f>
        <v>Blockchain Development</v>
      </c>
      <c r="H765" s="8">
        <f>_xlfn.XLOOKUP(A:A,Sheet1!A:A,Sheet1!K:K)</f>
        <v>7</v>
      </c>
      <c r="I765" s="9">
        <f>_xlfn.XLOOKUP(A:A,Sheet1!A:A,Sheet1!M:M)</f>
        <v>40</v>
      </c>
      <c r="J765" s="10">
        <f>_xlfn.XLOOKUP(A:A,Sheet1!A:A,Sheet1!O:O)</f>
        <v>2.2000000000000002</v>
      </c>
      <c r="K765" t="str">
        <f>_xlfn.XLOOKUP(A:A,Sheet1!A:A,Sheet1!P:P)</f>
        <v>No</v>
      </c>
      <c r="L765" s="12">
        <f>_xlfn.XLOOKUP(A:A,Sheet1!A:A,Sheet1!S:S)</f>
        <v>0.96</v>
      </c>
    </row>
    <row r="766" spans="1:12" x14ac:dyDescent="0.35">
      <c r="A766" s="8" t="s">
        <v>1552</v>
      </c>
      <c r="B766" s="2" t="str">
        <f>_xlfn.XLOOKUP(A766,Sheet1!A:A,Sheet1!B:B)</f>
        <v>Jose Patterson</v>
      </c>
      <c r="C766" s="2" t="str">
        <f>_xlfn.XLOOKUP(A:A,Sheet1!A:A,Sheet1!D:D)</f>
        <v>Male</v>
      </c>
      <c r="D766" s="8">
        <f>_xlfn.XLOOKUP(A:A,Sheet1!A:A,Sheet1!F:F)</f>
        <v>27</v>
      </c>
      <c r="E766" s="2" t="str">
        <f>_xlfn.XLOOKUP(A:A,Sheet1!A:A,Sheet1!G:G)</f>
        <v>Indonesia</v>
      </c>
      <c r="F766" s="8" t="str">
        <f>_xlfn.XLOOKUP(A:A,Sheet1!A:A,Sheet1!H:H)</f>
        <v>Indonesian</v>
      </c>
      <c r="G766" s="8" t="str">
        <f>_xlfn.XLOOKUP(A:A,Sheet1!A:A,Sheet1!I:I)</f>
        <v>Blockchain Development</v>
      </c>
      <c r="H766" s="8">
        <f>_xlfn.XLOOKUP(A:A,Sheet1!A:A,Sheet1!K:K)</f>
        <v>4</v>
      </c>
      <c r="I766" s="9">
        <f>_xlfn.XLOOKUP(A:A,Sheet1!A:A,Sheet1!M:M)</f>
        <v>20</v>
      </c>
      <c r="J766" s="10">
        <f>_xlfn.XLOOKUP(A:A,Sheet1!A:A,Sheet1!O:O)</f>
        <v>2.5125695216907653</v>
      </c>
      <c r="K766" t="str">
        <f>_xlfn.XLOOKUP(A:A,Sheet1!A:A,Sheet1!P:P)</f>
        <v>No</v>
      </c>
      <c r="L766" s="12">
        <f>_xlfn.XLOOKUP(A:A,Sheet1!A:A,Sheet1!S:S)</f>
        <v>0.63</v>
      </c>
    </row>
    <row r="767" spans="1:12" x14ac:dyDescent="0.35">
      <c r="A767" s="8" t="s">
        <v>1554</v>
      </c>
      <c r="B767" s="2" t="str">
        <f>_xlfn.XLOOKUP(A767,Sheet1!A:A,Sheet1!B:B)</f>
        <v>Bryan Long</v>
      </c>
      <c r="C767" s="2" t="str">
        <f>_xlfn.XLOOKUP(A:A,Sheet1!A:A,Sheet1!D:D)</f>
        <v>Male</v>
      </c>
      <c r="D767" s="8">
        <f>_xlfn.XLOOKUP(A:A,Sheet1!A:A,Sheet1!F:F)</f>
        <v>48</v>
      </c>
      <c r="E767" s="2" t="str">
        <f>_xlfn.XLOOKUP(A:A,Sheet1!A:A,Sheet1!G:G)</f>
        <v>Australia</v>
      </c>
      <c r="F767" s="8" t="str">
        <f>_xlfn.XLOOKUP(A:A,Sheet1!A:A,Sheet1!H:H)</f>
        <v>English</v>
      </c>
      <c r="G767" s="8" t="str">
        <f>_xlfn.XLOOKUP(A:A,Sheet1!A:A,Sheet1!I:I)</f>
        <v>Graphic Design</v>
      </c>
      <c r="H767" s="8">
        <f>_xlfn.XLOOKUP(A:A,Sheet1!A:A,Sheet1!K:K)</f>
        <v>24</v>
      </c>
      <c r="I767" s="9">
        <f>_xlfn.XLOOKUP(A:A,Sheet1!A:A,Sheet1!M:M)</f>
        <v>40</v>
      </c>
      <c r="J767" s="10">
        <f>_xlfn.XLOOKUP(A:A,Sheet1!A:A,Sheet1!O:O)</f>
        <v>2.2000000000000002</v>
      </c>
      <c r="K767" t="str">
        <f>_xlfn.XLOOKUP(A:A,Sheet1!A:A,Sheet1!P:P)</f>
        <v>No</v>
      </c>
      <c r="L767" s="12">
        <f>_xlfn.XLOOKUP(A:A,Sheet1!A:A,Sheet1!S:S)</f>
        <v>0.67</v>
      </c>
    </row>
    <row r="768" spans="1:12" x14ac:dyDescent="0.35">
      <c r="A768" s="8" t="s">
        <v>1556</v>
      </c>
      <c r="B768" s="2" t="str">
        <f>_xlfn.XLOOKUP(A768,Sheet1!A:A,Sheet1!B:B)</f>
        <v>Tammy Gomez</v>
      </c>
      <c r="C768" s="2" t="str">
        <f>_xlfn.XLOOKUP(A:A,Sheet1!A:A,Sheet1!D:D)</f>
        <v>Female</v>
      </c>
      <c r="D768" s="8">
        <f>_xlfn.XLOOKUP(A:A,Sheet1!A:A,Sheet1!F:F)</f>
        <v>22</v>
      </c>
      <c r="E768" s="2" t="str">
        <f>_xlfn.XLOOKUP(A:A,Sheet1!A:A,Sheet1!G:G)</f>
        <v>Japan</v>
      </c>
      <c r="F768" s="8" t="str">
        <f>_xlfn.XLOOKUP(A:A,Sheet1!A:A,Sheet1!H:H)</f>
        <v>Japanese</v>
      </c>
      <c r="G768" s="8" t="str">
        <f>_xlfn.XLOOKUP(A:A,Sheet1!A:A,Sheet1!I:I)</f>
        <v>Data Analysis</v>
      </c>
      <c r="H768" s="8">
        <f>_xlfn.XLOOKUP(A:A,Sheet1!A:A,Sheet1!K:K)</f>
        <v>1</v>
      </c>
      <c r="I768" s="9">
        <f>_xlfn.XLOOKUP(A:A,Sheet1!A:A,Sheet1!M:M)</f>
        <v>30</v>
      </c>
      <c r="J768" s="10">
        <f>_xlfn.XLOOKUP(A:A,Sheet1!A:A,Sheet1!O:O)</f>
        <v>3.3</v>
      </c>
      <c r="K768" t="str">
        <f>_xlfn.XLOOKUP(A:A,Sheet1!A:A,Sheet1!P:P)</f>
        <v>Yes</v>
      </c>
      <c r="L768" s="12">
        <f>_xlfn.XLOOKUP(A:A,Sheet1!A:A,Sheet1!S:S)</f>
        <v>0.61</v>
      </c>
    </row>
    <row r="769" spans="1:12" x14ac:dyDescent="0.35">
      <c r="A769" s="8" t="s">
        <v>1558</v>
      </c>
      <c r="B769" s="2" t="str">
        <f>_xlfn.XLOOKUP(A769,Sheet1!A:A,Sheet1!B:B)</f>
        <v>Diana Raymond</v>
      </c>
      <c r="C769" s="2" t="str">
        <f>_xlfn.XLOOKUP(A:A,Sheet1!A:A,Sheet1!D:D)</f>
        <v>Female</v>
      </c>
      <c r="D769" s="8">
        <f>_xlfn.XLOOKUP(A:A,Sheet1!A:A,Sheet1!F:F)</f>
        <v>48</v>
      </c>
      <c r="E769" s="2" t="str">
        <f>_xlfn.XLOOKUP(A:A,Sheet1!A:A,Sheet1!G:G)</f>
        <v>Germany</v>
      </c>
      <c r="F769" s="8" t="str">
        <f>_xlfn.XLOOKUP(A:A,Sheet1!A:A,Sheet1!H:H)</f>
        <v>German</v>
      </c>
      <c r="G769" s="8" t="str">
        <f>_xlfn.XLOOKUP(A:A,Sheet1!A:A,Sheet1!I:I)</f>
        <v>Mobile Apps</v>
      </c>
      <c r="H769" s="8">
        <f>_xlfn.XLOOKUP(A:A,Sheet1!A:A,Sheet1!K:K)</f>
        <v>28</v>
      </c>
      <c r="I769" s="9">
        <f>_xlfn.XLOOKUP(A:A,Sheet1!A:A,Sheet1!M:M)</f>
        <v>30</v>
      </c>
      <c r="J769" s="10">
        <f>_xlfn.XLOOKUP(A:A,Sheet1!A:A,Sheet1!O:O)</f>
        <v>4.9000000000000004</v>
      </c>
      <c r="K769" t="str">
        <f>_xlfn.XLOOKUP(A:A,Sheet1!A:A,Sheet1!P:P)</f>
        <v>No</v>
      </c>
      <c r="L769" s="12">
        <f>_xlfn.XLOOKUP(A:A,Sheet1!A:A,Sheet1!S:S)</f>
        <v>0.77</v>
      </c>
    </row>
    <row r="770" spans="1:12" x14ac:dyDescent="0.35">
      <c r="A770" s="8" t="s">
        <v>1560</v>
      </c>
      <c r="B770" s="2" t="str">
        <f>_xlfn.XLOOKUP(A770,Sheet1!A:A,Sheet1!B:B)</f>
        <v>Jessica Armstrong</v>
      </c>
      <c r="C770" s="2" t="str">
        <f>_xlfn.XLOOKUP(A:A,Sheet1!A:A,Sheet1!D:D)</f>
        <v>Female</v>
      </c>
      <c r="D770" s="8">
        <f>_xlfn.XLOOKUP(A:A,Sheet1!A:A,Sheet1!F:F)</f>
        <v>54</v>
      </c>
      <c r="E770" s="2" t="str">
        <f>_xlfn.XLOOKUP(A:A,Sheet1!A:A,Sheet1!G:G)</f>
        <v>United States</v>
      </c>
      <c r="F770" s="8" t="str">
        <f>_xlfn.XLOOKUP(A:A,Sheet1!A:A,Sheet1!H:H)</f>
        <v>English</v>
      </c>
      <c r="G770" s="8" t="str">
        <f>_xlfn.XLOOKUP(A:A,Sheet1!A:A,Sheet1!I:I)</f>
        <v>Mobile Apps</v>
      </c>
      <c r="H770" s="8">
        <f>_xlfn.XLOOKUP(A:A,Sheet1!A:A,Sheet1!K:K)</f>
        <v>19</v>
      </c>
      <c r="I770" s="9">
        <f>_xlfn.XLOOKUP(A:A,Sheet1!A:A,Sheet1!M:M)</f>
        <v>75</v>
      </c>
      <c r="J770" s="11">
        <v>0</v>
      </c>
      <c r="K770" t="str">
        <f>_xlfn.XLOOKUP(A:A,Sheet1!A:A,Sheet1!P:P)</f>
        <v>No</v>
      </c>
      <c r="L770" s="12">
        <f>_xlfn.XLOOKUP(A:A,Sheet1!A:A,Sheet1!S:S)</f>
        <v>0.79269417475728277</v>
      </c>
    </row>
    <row r="771" spans="1:12" x14ac:dyDescent="0.35">
      <c r="A771" s="8" t="s">
        <v>1562</v>
      </c>
      <c r="B771" s="2" t="str">
        <f>_xlfn.XLOOKUP(A771,Sheet1!A:A,Sheet1!B:B)</f>
        <v>Amanda Martin</v>
      </c>
      <c r="C771" s="2" t="str">
        <f>_xlfn.XLOOKUP(A:A,Sheet1!A:A,Sheet1!D:D)</f>
        <v>Female</v>
      </c>
      <c r="D771" s="8">
        <f>_xlfn.XLOOKUP(A:A,Sheet1!A:A,Sheet1!F:F)</f>
        <v>52</v>
      </c>
      <c r="E771" s="2" t="str">
        <f>_xlfn.XLOOKUP(A:A,Sheet1!A:A,Sheet1!G:G)</f>
        <v>South Korea</v>
      </c>
      <c r="F771" s="8" t="str">
        <f>_xlfn.XLOOKUP(A:A,Sheet1!A:A,Sheet1!H:H)</f>
        <v>Korean</v>
      </c>
      <c r="G771" s="8" t="str">
        <f>_xlfn.XLOOKUP(A:A,Sheet1!A:A,Sheet1!I:I)</f>
        <v>Data Analysis</v>
      </c>
      <c r="H771" s="8">
        <f>_xlfn.XLOOKUP(A:A,Sheet1!A:A,Sheet1!K:K)</f>
        <v>4</v>
      </c>
      <c r="I771" s="9">
        <f>_xlfn.XLOOKUP(A:A,Sheet1!A:A,Sheet1!M:M)</f>
        <v>50</v>
      </c>
      <c r="J771" s="10">
        <f>_xlfn.XLOOKUP(A:A,Sheet1!A:A,Sheet1!O:O)</f>
        <v>2.5125695216907653</v>
      </c>
      <c r="K771" t="str">
        <f>_xlfn.XLOOKUP(A:A,Sheet1!A:A,Sheet1!P:P)</f>
        <v>No</v>
      </c>
      <c r="L771" s="12">
        <f>_xlfn.XLOOKUP(A:A,Sheet1!A:A,Sheet1!S:S)</f>
        <v>0.84</v>
      </c>
    </row>
    <row r="772" spans="1:12" x14ac:dyDescent="0.35">
      <c r="A772" s="8" t="s">
        <v>1564</v>
      </c>
      <c r="B772" s="2" t="str">
        <f>_xlfn.XLOOKUP(A772,Sheet1!A:A,Sheet1!B:B)</f>
        <v>Anne Hamilton</v>
      </c>
      <c r="C772" s="2" t="str">
        <f>_xlfn.XLOOKUP(A:A,Sheet1!A:A,Sheet1!D:D)</f>
        <v>Female</v>
      </c>
      <c r="D772" s="8">
        <f>_xlfn.XLOOKUP(A:A,Sheet1!A:A,Sheet1!F:F)</f>
        <v>39</v>
      </c>
      <c r="E772" s="2" t="str">
        <f>_xlfn.XLOOKUP(A:A,Sheet1!A:A,Sheet1!G:G)</f>
        <v>Turkey</v>
      </c>
      <c r="F772" s="8" t="str">
        <f>_xlfn.XLOOKUP(A:A,Sheet1!A:A,Sheet1!H:H)</f>
        <v>Turkish</v>
      </c>
      <c r="G772" s="8" t="str">
        <f>_xlfn.XLOOKUP(A:A,Sheet1!A:A,Sheet1!I:I)</f>
        <v>Web Development</v>
      </c>
      <c r="H772" s="8">
        <f>_xlfn.XLOOKUP(A:A,Sheet1!A:A,Sheet1!K:K)</f>
        <v>20</v>
      </c>
      <c r="I772" s="9">
        <f>_xlfn.XLOOKUP(A:A,Sheet1!A:A,Sheet1!M:M)</f>
        <v>100</v>
      </c>
      <c r="J772" s="10">
        <f>_xlfn.XLOOKUP(A:A,Sheet1!A:A,Sheet1!O:O)</f>
        <v>2.5125695216907653</v>
      </c>
      <c r="K772" t="str">
        <f>_xlfn.XLOOKUP(A:A,Sheet1!A:A,Sheet1!P:P)</f>
        <v>Yes</v>
      </c>
      <c r="L772" s="12">
        <f>_xlfn.XLOOKUP(A:A,Sheet1!A:A,Sheet1!S:S)</f>
        <v>0.89</v>
      </c>
    </row>
    <row r="773" spans="1:12" x14ac:dyDescent="0.35">
      <c r="A773" s="8" t="s">
        <v>1566</v>
      </c>
      <c r="B773" s="2" t="str">
        <f>_xlfn.XLOOKUP(A773,Sheet1!A:A,Sheet1!B:B)</f>
        <v>Heather Curtis</v>
      </c>
      <c r="C773" s="2" t="str">
        <f>_xlfn.XLOOKUP(A:A,Sheet1!A:A,Sheet1!D:D)</f>
        <v>Female</v>
      </c>
      <c r="D773" s="8">
        <f>_xlfn.XLOOKUP(A:A,Sheet1!A:A,Sheet1!F:F)</f>
        <v>54</v>
      </c>
      <c r="E773" s="2" t="str">
        <f>_xlfn.XLOOKUP(A:A,Sheet1!A:A,Sheet1!G:G)</f>
        <v>Russia</v>
      </c>
      <c r="F773" s="8" t="str">
        <f>_xlfn.XLOOKUP(A:A,Sheet1!A:A,Sheet1!H:H)</f>
        <v>Russian</v>
      </c>
      <c r="G773" s="8" t="str">
        <f>_xlfn.XLOOKUP(A:A,Sheet1!A:A,Sheet1!I:I)</f>
        <v>Mobile Apps</v>
      </c>
      <c r="H773" s="8">
        <f>_xlfn.XLOOKUP(A:A,Sheet1!A:A,Sheet1!K:K)</f>
        <v>19</v>
      </c>
      <c r="I773" s="9">
        <f>_xlfn.XLOOKUP(A:A,Sheet1!A:A,Sheet1!M:M)</f>
        <v>30</v>
      </c>
      <c r="J773" s="10">
        <f>_xlfn.XLOOKUP(A:A,Sheet1!A:A,Sheet1!O:O)</f>
        <v>4</v>
      </c>
      <c r="K773" t="str">
        <f>_xlfn.XLOOKUP(A:A,Sheet1!A:A,Sheet1!P:P)</f>
        <v>No</v>
      </c>
      <c r="L773" s="12">
        <f>_xlfn.XLOOKUP(A:A,Sheet1!A:A,Sheet1!S:S)</f>
        <v>0.9</v>
      </c>
    </row>
    <row r="774" spans="1:12" x14ac:dyDescent="0.35">
      <c r="A774" s="8" t="s">
        <v>1568</v>
      </c>
      <c r="B774" s="2" t="str">
        <f>_xlfn.XLOOKUP(A774,Sheet1!A:A,Sheet1!B:B)</f>
        <v>Tiffany Moses</v>
      </c>
      <c r="C774" s="2" t="str">
        <f>_xlfn.XLOOKUP(A:A,Sheet1!A:A,Sheet1!D:D)</f>
        <v>Female</v>
      </c>
      <c r="D774" s="8">
        <f>_xlfn.XLOOKUP(A:A,Sheet1!A:A,Sheet1!F:F)</f>
        <v>22</v>
      </c>
      <c r="E774" s="2" t="str">
        <f>_xlfn.XLOOKUP(A:A,Sheet1!A:A,Sheet1!G:G)</f>
        <v>United States</v>
      </c>
      <c r="F774" s="8" t="str">
        <f>_xlfn.XLOOKUP(A:A,Sheet1!A:A,Sheet1!H:H)</f>
        <v>English</v>
      </c>
      <c r="G774" s="8" t="str">
        <f>_xlfn.XLOOKUP(A:A,Sheet1!A:A,Sheet1!I:I)</f>
        <v>Cybersecurity</v>
      </c>
      <c r="H774" s="8">
        <f>_xlfn.XLOOKUP(A:A,Sheet1!A:A,Sheet1!K:K)</f>
        <v>1</v>
      </c>
      <c r="I774" s="9">
        <f>_xlfn.XLOOKUP(A:A,Sheet1!A:A,Sheet1!M:M)</f>
        <v>20</v>
      </c>
      <c r="J774" s="10">
        <f>_xlfn.XLOOKUP(A:A,Sheet1!A:A,Sheet1!O:O)</f>
        <v>4.8</v>
      </c>
      <c r="K774" t="str">
        <f>_xlfn.XLOOKUP(A:A,Sheet1!A:A,Sheet1!P:P)</f>
        <v>No</v>
      </c>
      <c r="L774" s="12">
        <f>_xlfn.XLOOKUP(A:A,Sheet1!A:A,Sheet1!S:S)</f>
        <v>0.87</v>
      </c>
    </row>
    <row r="775" spans="1:12" x14ac:dyDescent="0.35">
      <c r="A775" s="8" t="s">
        <v>1570</v>
      </c>
      <c r="B775" s="2" t="str">
        <f>_xlfn.XLOOKUP(A775,Sheet1!A:A,Sheet1!B:B)</f>
        <v>Jacqueline Moon</v>
      </c>
      <c r="C775" s="2" t="str">
        <f>_xlfn.XLOOKUP(A:A,Sheet1!A:A,Sheet1!D:D)</f>
        <v>Female</v>
      </c>
      <c r="D775" s="8">
        <f>_xlfn.XLOOKUP(A:A,Sheet1!A:A,Sheet1!F:F)</f>
        <v>29</v>
      </c>
      <c r="E775" s="2" t="str">
        <f>_xlfn.XLOOKUP(A:A,Sheet1!A:A,Sheet1!G:G)</f>
        <v>South Africa</v>
      </c>
      <c r="F775" s="8" t="str">
        <f>_xlfn.XLOOKUP(A:A,Sheet1!A:A,Sheet1!H:H)</f>
        <v>Afrikaans</v>
      </c>
      <c r="G775" s="8" t="str">
        <f>_xlfn.XLOOKUP(A:A,Sheet1!A:A,Sheet1!I:I)</f>
        <v>Mobile Apps</v>
      </c>
      <c r="H775" s="8">
        <f>_xlfn.XLOOKUP(A:A,Sheet1!A:A,Sheet1!K:K)</f>
        <v>8</v>
      </c>
      <c r="I775" s="9">
        <f>_xlfn.XLOOKUP(A:A,Sheet1!A:A,Sheet1!M:M)</f>
        <v>50</v>
      </c>
      <c r="J775" s="11">
        <v>0</v>
      </c>
      <c r="K775" t="str">
        <f>_xlfn.XLOOKUP(A:A,Sheet1!A:A,Sheet1!P:P)</f>
        <v>No</v>
      </c>
      <c r="L775" s="12">
        <f>_xlfn.XLOOKUP(A:A,Sheet1!A:A,Sheet1!S:S)</f>
        <v>0.77</v>
      </c>
    </row>
    <row r="776" spans="1:12" x14ac:dyDescent="0.35">
      <c r="A776" s="8" t="s">
        <v>1572</v>
      </c>
      <c r="B776" s="2" t="str">
        <f>_xlfn.XLOOKUP(A776,Sheet1!A:A,Sheet1!B:B)</f>
        <v>James Campbell</v>
      </c>
      <c r="C776" s="2" t="str">
        <f>_xlfn.XLOOKUP(A:A,Sheet1!A:A,Sheet1!D:D)</f>
        <v>Male</v>
      </c>
      <c r="D776" s="8">
        <f>_xlfn.XLOOKUP(A:A,Sheet1!A:A,Sheet1!F:F)</f>
        <v>23</v>
      </c>
      <c r="E776" s="2" t="str">
        <f>_xlfn.XLOOKUP(A:A,Sheet1!A:A,Sheet1!G:G)</f>
        <v>Spain</v>
      </c>
      <c r="F776" s="8" t="str">
        <f>_xlfn.XLOOKUP(A:A,Sheet1!A:A,Sheet1!H:H)</f>
        <v>Spanish</v>
      </c>
      <c r="G776" s="8" t="str">
        <f>_xlfn.XLOOKUP(A:A,Sheet1!A:A,Sheet1!I:I)</f>
        <v>DevOps</v>
      </c>
      <c r="H776" s="8">
        <f>_xlfn.XLOOKUP(A:A,Sheet1!A:A,Sheet1!K:K)</f>
        <v>3</v>
      </c>
      <c r="I776" s="9">
        <f>_xlfn.XLOOKUP(A:A,Sheet1!A:A,Sheet1!M:M)</f>
        <v>30</v>
      </c>
      <c r="J776" s="10">
        <f>_xlfn.XLOOKUP(A:A,Sheet1!A:A,Sheet1!O:O)</f>
        <v>1.6</v>
      </c>
      <c r="K776" t="str">
        <f>_xlfn.XLOOKUP(A:A,Sheet1!A:A,Sheet1!P:P)</f>
        <v>Yes</v>
      </c>
      <c r="L776" s="12">
        <f>_xlfn.XLOOKUP(A:A,Sheet1!A:A,Sheet1!S:S)</f>
        <v>0.72</v>
      </c>
    </row>
    <row r="777" spans="1:12" x14ac:dyDescent="0.35">
      <c r="A777" s="8" t="s">
        <v>1574</v>
      </c>
      <c r="B777" s="2" t="str">
        <f>_xlfn.XLOOKUP(A777,Sheet1!A:A,Sheet1!B:B)</f>
        <v>Melissa Vasquez</v>
      </c>
      <c r="C777" s="2" t="str">
        <f>_xlfn.XLOOKUP(A:A,Sheet1!A:A,Sheet1!D:D)</f>
        <v>Female</v>
      </c>
      <c r="D777" s="8">
        <f>_xlfn.XLOOKUP(A:A,Sheet1!A:A,Sheet1!F:F)</f>
        <v>58</v>
      </c>
      <c r="E777" s="2" t="str">
        <f>_xlfn.XLOOKUP(A:A,Sheet1!A:A,Sheet1!G:G)</f>
        <v>Mexico</v>
      </c>
      <c r="F777" s="8" t="str">
        <f>_xlfn.XLOOKUP(A:A,Sheet1!A:A,Sheet1!H:H)</f>
        <v>Spanish</v>
      </c>
      <c r="G777" s="8" t="str">
        <f>_xlfn.XLOOKUP(A:A,Sheet1!A:A,Sheet1!I:I)</f>
        <v>DevOps</v>
      </c>
      <c r="H777" s="8">
        <f>_xlfn.XLOOKUP(A:A,Sheet1!A:A,Sheet1!K:K)</f>
        <v>30</v>
      </c>
      <c r="I777" s="9">
        <f>_xlfn.XLOOKUP(A:A,Sheet1!A:A,Sheet1!M:M)</f>
        <v>50</v>
      </c>
      <c r="J777" s="10">
        <f>_xlfn.XLOOKUP(A:A,Sheet1!A:A,Sheet1!O:O)</f>
        <v>1.3</v>
      </c>
      <c r="K777" t="str">
        <f>_xlfn.XLOOKUP(A:A,Sheet1!A:A,Sheet1!P:P)</f>
        <v>Yes</v>
      </c>
      <c r="L777" s="12">
        <f>_xlfn.XLOOKUP(A:A,Sheet1!A:A,Sheet1!S:S)</f>
        <v>0.87</v>
      </c>
    </row>
    <row r="778" spans="1:12" x14ac:dyDescent="0.35">
      <c r="A778" s="8" t="s">
        <v>1576</v>
      </c>
      <c r="B778" s="2" t="str">
        <f>_xlfn.XLOOKUP(A778,Sheet1!A:A,Sheet1!B:B)</f>
        <v>Katherine Carlson</v>
      </c>
      <c r="C778" s="2" t="str">
        <f>_xlfn.XLOOKUP(A:A,Sheet1!A:A,Sheet1!D:D)</f>
        <v>Female</v>
      </c>
      <c r="D778" s="8">
        <f>_xlfn.XLOOKUP(A:A,Sheet1!A:A,Sheet1!F:F)</f>
        <v>56</v>
      </c>
      <c r="E778" s="2" t="str">
        <f>_xlfn.XLOOKUP(A:A,Sheet1!A:A,Sheet1!G:G)</f>
        <v>China</v>
      </c>
      <c r="F778" s="8" t="str">
        <f>_xlfn.XLOOKUP(A:A,Sheet1!A:A,Sheet1!H:H)</f>
        <v>Mandarin</v>
      </c>
      <c r="G778" s="8" t="str">
        <f>_xlfn.XLOOKUP(A:A,Sheet1!A:A,Sheet1!I:I)</f>
        <v>Blockchain Development</v>
      </c>
      <c r="H778" s="8">
        <f>_xlfn.XLOOKUP(A:A,Sheet1!A:A,Sheet1!K:K)</f>
        <v>3</v>
      </c>
      <c r="I778" s="9">
        <f>_xlfn.XLOOKUP(A:A,Sheet1!A:A,Sheet1!M:M)</f>
        <v>40</v>
      </c>
      <c r="J778" s="10">
        <f>_xlfn.XLOOKUP(A:A,Sheet1!A:A,Sheet1!O:O)</f>
        <v>4.0999999999999996</v>
      </c>
      <c r="K778" t="str">
        <f>_xlfn.XLOOKUP(A:A,Sheet1!A:A,Sheet1!P:P)</f>
        <v>Yes</v>
      </c>
      <c r="L778" s="12">
        <f>_xlfn.XLOOKUP(A:A,Sheet1!A:A,Sheet1!S:S)</f>
        <v>0.89</v>
      </c>
    </row>
    <row r="779" spans="1:12" x14ac:dyDescent="0.35">
      <c r="A779" s="8" t="s">
        <v>1578</v>
      </c>
      <c r="B779" s="2" t="str">
        <f>_xlfn.XLOOKUP(A779,Sheet1!A:A,Sheet1!B:B)</f>
        <v>Adam Clay</v>
      </c>
      <c r="C779" s="2" t="str">
        <f>_xlfn.XLOOKUP(A:A,Sheet1!A:A,Sheet1!D:D)</f>
        <v>Male</v>
      </c>
      <c r="D779" s="8">
        <f>_xlfn.XLOOKUP(A:A,Sheet1!A:A,Sheet1!F:F)</f>
        <v>48</v>
      </c>
      <c r="E779" s="2" t="str">
        <f>_xlfn.XLOOKUP(A:A,Sheet1!A:A,Sheet1!G:G)</f>
        <v>Turkey</v>
      </c>
      <c r="F779" s="8" t="str">
        <f>_xlfn.XLOOKUP(A:A,Sheet1!A:A,Sheet1!H:H)</f>
        <v>Turkish</v>
      </c>
      <c r="G779" s="8" t="str">
        <f>_xlfn.XLOOKUP(A:A,Sheet1!A:A,Sheet1!I:I)</f>
        <v>Web Development</v>
      </c>
      <c r="H779" s="8">
        <f>_xlfn.XLOOKUP(A:A,Sheet1!A:A,Sheet1!K:K)</f>
        <v>19</v>
      </c>
      <c r="I779" s="9">
        <f>_xlfn.XLOOKUP(A:A,Sheet1!A:A,Sheet1!M:M)</f>
        <v>40</v>
      </c>
      <c r="J779" s="10">
        <f>_xlfn.XLOOKUP(A:A,Sheet1!A:A,Sheet1!O:O)</f>
        <v>1.5</v>
      </c>
      <c r="K779" t="str">
        <f>_xlfn.XLOOKUP(A:A,Sheet1!A:A,Sheet1!P:P)</f>
        <v>No</v>
      </c>
      <c r="L779" s="12">
        <f>_xlfn.XLOOKUP(A:A,Sheet1!A:A,Sheet1!S:S)</f>
        <v>0.87</v>
      </c>
    </row>
    <row r="780" spans="1:12" x14ac:dyDescent="0.35">
      <c r="A780" s="8" t="s">
        <v>1580</v>
      </c>
      <c r="B780" s="2" t="str">
        <f>_xlfn.XLOOKUP(A780,Sheet1!A:A,Sheet1!B:B)</f>
        <v>Amy Combs</v>
      </c>
      <c r="C780" s="2" t="str">
        <f>_xlfn.XLOOKUP(A:A,Sheet1!A:A,Sheet1!D:D)</f>
        <v>Female</v>
      </c>
      <c r="D780" s="8">
        <f>_xlfn.XLOOKUP(A:A,Sheet1!A:A,Sheet1!F:F)</f>
        <v>31</v>
      </c>
      <c r="E780" s="2" t="str">
        <f>_xlfn.XLOOKUP(A:A,Sheet1!A:A,Sheet1!G:G)</f>
        <v>Russia</v>
      </c>
      <c r="F780" s="8" t="str">
        <f>_xlfn.XLOOKUP(A:A,Sheet1!A:A,Sheet1!H:H)</f>
        <v>Russian</v>
      </c>
      <c r="G780" s="8" t="str">
        <f>_xlfn.XLOOKUP(A:A,Sheet1!A:A,Sheet1!I:I)</f>
        <v>Mobile Apps</v>
      </c>
      <c r="H780" s="8">
        <f>_xlfn.XLOOKUP(A:A,Sheet1!A:A,Sheet1!K:K)</f>
        <v>11</v>
      </c>
      <c r="I780" s="9">
        <f>_xlfn.XLOOKUP(A:A,Sheet1!A:A,Sheet1!M:M)</f>
        <v>40</v>
      </c>
      <c r="J780" s="10">
        <f>_xlfn.XLOOKUP(A:A,Sheet1!A:A,Sheet1!O:O)</f>
        <v>4.3</v>
      </c>
      <c r="K780" t="str">
        <f>_xlfn.XLOOKUP(A:A,Sheet1!A:A,Sheet1!P:P)</f>
        <v>Yes</v>
      </c>
      <c r="L780" s="12">
        <f>_xlfn.XLOOKUP(A:A,Sheet1!A:A,Sheet1!S:S)</f>
        <v>0.76</v>
      </c>
    </row>
    <row r="781" spans="1:12" x14ac:dyDescent="0.35">
      <c r="A781" s="8" t="s">
        <v>1582</v>
      </c>
      <c r="B781" s="2" t="str">
        <f>_xlfn.XLOOKUP(A781,Sheet1!A:A,Sheet1!B:B)</f>
        <v>Anthony Case</v>
      </c>
      <c r="C781" s="2" t="str">
        <f>_xlfn.XLOOKUP(A:A,Sheet1!A:A,Sheet1!D:D)</f>
        <v>Male</v>
      </c>
      <c r="D781" s="8">
        <f>_xlfn.XLOOKUP(A:A,Sheet1!A:A,Sheet1!F:F)</f>
        <v>44</v>
      </c>
      <c r="E781" s="2" t="str">
        <f>_xlfn.XLOOKUP(A:A,Sheet1!A:A,Sheet1!G:G)</f>
        <v>Australia</v>
      </c>
      <c r="F781" s="8" t="str">
        <f>_xlfn.XLOOKUP(A:A,Sheet1!A:A,Sheet1!H:H)</f>
        <v>English</v>
      </c>
      <c r="G781" s="8" t="str">
        <f>_xlfn.XLOOKUP(A:A,Sheet1!A:A,Sheet1!I:I)</f>
        <v>Machine Learning</v>
      </c>
      <c r="H781" s="8">
        <f>_xlfn.XLOOKUP(A:A,Sheet1!A:A,Sheet1!K:K)</f>
        <v>26</v>
      </c>
      <c r="I781" s="9">
        <f>_xlfn.XLOOKUP(A:A,Sheet1!A:A,Sheet1!M:M)</f>
        <v>50</v>
      </c>
      <c r="J781" s="10">
        <f>_xlfn.XLOOKUP(A:A,Sheet1!A:A,Sheet1!O:O)</f>
        <v>1.6</v>
      </c>
      <c r="K781" t="str">
        <f>_xlfn.XLOOKUP(A:A,Sheet1!A:A,Sheet1!P:P)</f>
        <v>No</v>
      </c>
      <c r="L781" s="12">
        <f>_xlfn.XLOOKUP(A:A,Sheet1!A:A,Sheet1!S:S)</f>
        <v>1</v>
      </c>
    </row>
    <row r="782" spans="1:12" x14ac:dyDescent="0.35">
      <c r="A782" s="8" t="s">
        <v>1584</v>
      </c>
      <c r="B782" s="2" t="str">
        <f>_xlfn.XLOOKUP(A782,Sheet1!A:A,Sheet1!B:B)</f>
        <v>Kimberly Brown</v>
      </c>
      <c r="C782" s="2" t="str">
        <f>_xlfn.XLOOKUP(A:A,Sheet1!A:A,Sheet1!D:D)</f>
        <v>Female</v>
      </c>
      <c r="D782" s="8">
        <f>_xlfn.XLOOKUP(A:A,Sheet1!A:A,Sheet1!F:F)</f>
        <v>42</v>
      </c>
      <c r="E782" s="2" t="str">
        <f>_xlfn.XLOOKUP(A:A,Sheet1!A:A,Sheet1!G:G)</f>
        <v>Egypt</v>
      </c>
      <c r="F782" s="8" t="str">
        <f>_xlfn.XLOOKUP(A:A,Sheet1!A:A,Sheet1!H:H)</f>
        <v>Arabic</v>
      </c>
      <c r="G782" s="8" t="str">
        <f>_xlfn.XLOOKUP(A:A,Sheet1!A:A,Sheet1!I:I)</f>
        <v>Mobile Apps</v>
      </c>
      <c r="H782" s="8">
        <f>_xlfn.XLOOKUP(A:A,Sheet1!A:A,Sheet1!K:K)</f>
        <v>10</v>
      </c>
      <c r="I782" s="9">
        <f>_xlfn.XLOOKUP(A:A,Sheet1!A:A,Sheet1!M:M)</f>
        <v>100</v>
      </c>
      <c r="J782" s="10">
        <f>_xlfn.XLOOKUP(A:A,Sheet1!A:A,Sheet1!O:O)</f>
        <v>3.7</v>
      </c>
      <c r="K782" t="str">
        <f>_xlfn.XLOOKUP(A:A,Sheet1!A:A,Sheet1!P:P)</f>
        <v>Yes</v>
      </c>
      <c r="L782" s="12">
        <f>_xlfn.XLOOKUP(A:A,Sheet1!A:A,Sheet1!S:S)</f>
        <v>0.94</v>
      </c>
    </row>
    <row r="783" spans="1:12" x14ac:dyDescent="0.35">
      <c r="A783" s="8" t="s">
        <v>1586</v>
      </c>
      <c r="B783" s="2" t="str">
        <f>_xlfn.XLOOKUP(A783,Sheet1!A:A,Sheet1!B:B)</f>
        <v>Joshua Holloway</v>
      </c>
      <c r="C783" s="2" t="str">
        <f>_xlfn.XLOOKUP(A:A,Sheet1!A:A,Sheet1!D:D)</f>
        <v>Male</v>
      </c>
      <c r="D783" s="8">
        <f>_xlfn.XLOOKUP(A:A,Sheet1!A:A,Sheet1!F:F)</f>
        <v>59</v>
      </c>
      <c r="E783" s="2" t="str">
        <f>_xlfn.XLOOKUP(A:A,Sheet1!A:A,Sheet1!G:G)</f>
        <v>United States</v>
      </c>
      <c r="F783" s="8" t="str">
        <f>_xlfn.XLOOKUP(A:A,Sheet1!A:A,Sheet1!H:H)</f>
        <v>English</v>
      </c>
      <c r="G783" s="8" t="str">
        <f>_xlfn.XLOOKUP(A:A,Sheet1!A:A,Sheet1!I:I)</f>
        <v>Cybersecurity</v>
      </c>
      <c r="H783" s="8">
        <f>_xlfn.XLOOKUP(A:A,Sheet1!A:A,Sheet1!K:K)</f>
        <v>17</v>
      </c>
      <c r="I783" s="9">
        <f>_xlfn.XLOOKUP(A:A,Sheet1!A:A,Sheet1!M:M)</f>
        <v>50</v>
      </c>
      <c r="J783" s="10">
        <f>_xlfn.XLOOKUP(A:A,Sheet1!A:A,Sheet1!O:O)</f>
        <v>1.4</v>
      </c>
      <c r="K783" t="str">
        <f>_xlfn.XLOOKUP(A:A,Sheet1!A:A,Sheet1!P:P)</f>
        <v>Yes</v>
      </c>
      <c r="L783" s="12">
        <f>_xlfn.XLOOKUP(A:A,Sheet1!A:A,Sheet1!S:S)</f>
        <v>0.79269417475728277</v>
      </c>
    </row>
    <row r="784" spans="1:12" x14ac:dyDescent="0.35">
      <c r="A784" s="8" t="s">
        <v>1588</v>
      </c>
      <c r="B784" s="2" t="str">
        <f>_xlfn.XLOOKUP(A784,Sheet1!A:A,Sheet1!B:B)</f>
        <v>Cynthia Walton</v>
      </c>
      <c r="C784" s="2" t="str">
        <f>_xlfn.XLOOKUP(A:A,Sheet1!A:A,Sheet1!D:D)</f>
        <v>Female</v>
      </c>
      <c r="D784" s="8">
        <f>_xlfn.XLOOKUP(A:A,Sheet1!A:A,Sheet1!F:F)</f>
        <v>41</v>
      </c>
      <c r="E784" s="2" t="str">
        <f>_xlfn.XLOOKUP(A:A,Sheet1!A:A,Sheet1!G:G)</f>
        <v>Argentina</v>
      </c>
      <c r="F784" s="8" t="str">
        <f>_xlfn.XLOOKUP(A:A,Sheet1!A:A,Sheet1!H:H)</f>
        <v>Spanish</v>
      </c>
      <c r="G784" s="8" t="str">
        <f>_xlfn.XLOOKUP(A:A,Sheet1!A:A,Sheet1!I:I)</f>
        <v>Blockchain Development</v>
      </c>
      <c r="H784" s="8">
        <f>_xlfn.XLOOKUP(A:A,Sheet1!A:A,Sheet1!K:K)</f>
        <v>9</v>
      </c>
      <c r="I784" s="9">
        <f>_xlfn.XLOOKUP(A:A,Sheet1!A:A,Sheet1!M:M)</f>
        <v>100</v>
      </c>
      <c r="J784" s="10">
        <f>_xlfn.XLOOKUP(A:A,Sheet1!A:A,Sheet1!O:O)</f>
        <v>4.5</v>
      </c>
      <c r="K784" t="str">
        <f>_xlfn.XLOOKUP(A:A,Sheet1!A:A,Sheet1!P:P)</f>
        <v>Yes</v>
      </c>
      <c r="L784" s="12">
        <f>_xlfn.XLOOKUP(A:A,Sheet1!A:A,Sheet1!S:S)</f>
        <v>0.83</v>
      </c>
    </row>
    <row r="785" spans="1:12" x14ac:dyDescent="0.35">
      <c r="A785" s="8" t="s">
        <v>1590</v>
      </c>
      <c r="B785" s="2" t="str">
        <f>_xlfn.XLOOKUP(A785,Sheet1!A:A,Sheet1!B:B)</f>
        <v>Shawn Delgado</v>
      </c>
      <c r="C785" s="2" t="str">
        <f>_xlfn.XLOOKUP(A:A,Sheet1!A:A,Sheet1!D:D)</f>
        <v>Male</v>
      </c>
      <c r="D785" s="8">
        <f>_xlfn.XLOOKUP(A:A,Sheet1!A:A,Sheet1!F:F)</f>
        <v>21</v>
      </c>
      <c r="E785" s="2" t="str">
        <f>_xlfn.XLOOKUP(A:A,Sheet1!A:A,Sheet1!G:G)</f>
        <v>China</v>
      </c>
      <c r="F785" s="8" t="str">
        <f>_xlfn.XLOOKUP(A:A,Sheet1!A:A,Sheet1!H:H)</f>
        <v>Mandarin</v>
      </c>
      <c r="G785" s="8" t="str">
        <f>_xlfn.XLOOKUP(A:A,Sheet1!A:A,Sheet1!I:I)</f>
        <v>Data Analysis</v>
      </c>
      <c r="H785" s="8">
        <f>_xlfn.XLOOKUP(A:A,Sheet1!A:A,Sheet1!K:K)</f>
        <v>0</v>
      </c>
      <c r="I785" s="9">
        <f>_xlfn.XLOOKUP(A:A,Sheet1!A:A,Sheet1!M:M)</f>
        <v>40</v>
      </c>
      <c r="J785" s="10">
        <f>_xlfn.XLOOKUP(A:A,Sheet1!A:A,Sheet1!O:O)</f>
        <v>3.7</v>
      </c>
      <c r="K785" t="str">
        <f>_xlfn.XLOOKUP(A:A,Sheet1!A:A,Sheet1!P:P)</f>
        <v>No</v>
      </c>
      <c r="L785" s="12">
        <f>_xlfn.XLOOKUP(A:A,Sheet1!A:A,Sheet1!S:S)</f>
        <v>0.74</v>
      </c>
    </row>
    <row r="786" spans="1:12" x14ac:dyDescent="0.35">
      <c r="A786" s="8" t="s">
        <v>1592</v>
      </c>
      <c r="B786" s="2" t="str">
        <f>_xlfn.XLOOKUP(A786,Sheet1!A:A,Sheet1!B:B)</f>
        <v>Jeremy Smith</v>
      </c>
      <c r="C786" s="2" t="str">
        <f>_xlfn.XLOOKUP(A:A,Sheet1!A:A,Sheet1!D:D)</f>
        <v>Male</v>
      </c>
      <c r="D786" s="8">
        <f>_xlfn.XLOOKUP(A:A,Sheet1!A:A,Sheet1!F:F)</f>
        <v>53</v>
      </c>
      <c r="E786" s="2" t="str">
        <f>_xlfn.XLOOKUP(A:A,Sheet1!A:A,Sheet1!G:G)</f>
        <v>United Kingdom</v>
      </c>
      <c r="F786" s="8" t="str">
        <f>_xlfn.XLOOKUP(A:A,Sheet1!A:A,Sheet1!H:H)</f>
        <v>English</v>
      </c>
      <c r="G786" s="8" t="str">
        <f>_xlfn.XLOOKUP(A:A,Sheet1!A:A,Sheet1!I:I)</f>
        <v>DevOps</v>
      </c>
      <c r="H786" s="8">
        <f>_xlfn.XLOOKUP(A:A,Sheet1!A:A,Sheet1!K:K)</f>
        <v>5</v>
      </c>
      <c r="I786" s="9">
        <f>_xlfn.XLOOKUP(A:A,Sheet1!A:A,Sheet1!M:M)</f>
        <v>75</v>
      </c>
      <c r="J786" s="10">
        <f>_xlfn.XLOOKUP(A:A,Sheet1!A:A,Sheet1!O:O)</f>
        <v>1.1000000000000001</v>
      </c>
      <c r="K786" t="str">
        <f>_xlfn.XLOOKUP(A:A,Sheet1!A:A,Sheet1!P:P)</f>
        <v>No</v>
      </c>
      <c r="L786" s="12">
        <f>_xlfn.XLOOKUP(A:A,Sheet1!A:A,Sheet1!S:S)</f>
        <v>0.92</v>
      </c>
    </row>
    <row r="787" spans="1:12" x14ac:dyDescent="0.35">
      <c r="A787" s="8" t="s">
        <v>1594</v>
      </c>
      <c r="B787" s="2" t="str">
        <f>_xlfn.XLOOKUP(A787,Sheet1!A:A,Sheet1!B:B)</f>
        <v>Marc Ortiz</v>
      </c>
      <c r="C787" s="2" t="str">
        <f>_xlfn.XLOOKUP(A:A,Sheet1!A:A,Sheet1!D:D)</f>
        <v>Male</v>
      </c>
      <c r="D787" s="8">
        <f>_xlfn.XLOOKUP(A:A,Sheet1!A:A,Sheet1!F:F)</f>
        <v>35</v>
      </c>
      <c r="E787" s="2" t="str">
        <f>_xlfn.XLOOKUP(A:A,Sheet1!A:A,Sheet1!G:G)</f>
        <v>Argentina</v>
      </c>
      <c r="F787" s="8" t="str">
        <f>_xlfn.XLOOKUP(A:A,Sheet1!A:A,Sheet1!H:H)</f>
        <v>Spanish</v>
      </c>
      <c r="G787" s="8" t="str">
        <f>_xlfn.XLOOKUP(A:A,Sheet1!A:A,Sheet1!I:I)</f>
        <v>Mobile Apps</v>
      </c>
      <c r="H787" s="8">
        <f>_xlfn.XLOOKUP(A:A,Sheet1!A:A,Sheet1!K:K)</f>
        <v>15</v>
      </c>
      <c r="I787" s="9">
        <f>_xlfn.XLOOKUP(A:A,Sheet1!A:A,Sheet1!M:M)</f>
        <v>40</v>
      </c>
      <c r="J787" s="10">
        <f>_xlfn.XLOOKUP(A:A,Sheet1!A:A,Sheet1!O:O)</f>
        <v>3.7</v>
      </c>
      <c r="K787" t="str">
        <f>_xlfn.XLOOKUP(A:A,Sheet1!A:A,Sheet1!P:P)</f>
        <v>No</v>
      </c>
      <c r="L787" s="12">
        <f>_xlfn.XLOOKUP(A:A,Sheet1!A:A,Sheet1!S:S)</f>
        <v>0.66</v>
      </c>
    </row>
    <row r="788" spans="1:12" x14ac:dyDescent="0.35">
      <c r="A788" s="8" t="s">
        <v>1596</v>
      </c>
      <c r="B788" s="2" t="str">
        <f>_xlfn.XLOOKUP(A788,Sheet1!A:A,Sheet1!B:B)</f>
        <v>Michelle Gregory</v>
      </c>
      <c r="C788" s="2" t="str">
        <f>_xlfn.XLOOKUP(A:A,Sheet1!A:A,Sheet1!D:D)</f>
        <v>Female</v>
      </c>
      <c r="D788" s="8">
        <f>_xlfn.XLOOKUP(A:A,Sheet1!A:A,Sheet1!F:F)</f>
        <v>25</v>
      </c>
      <c r="E788" s="2" t="str">
        <f>_xlfn.XLOOKUP(A:A,Sheet1!A:A,Sheet1!G:G)</f>
        <v>Brazil</v>
      </c>
      <c r="F788" s="8" t="str">
        <f>_xlfn.XLOOKUP(A:A,Sheet1!A:A,Sheet1!H:H)</f>
        <v>Portuguese</v>
      </c>
      <c r="G788" s="8" t="str">
        <f>_xlfn.XLOOKUP(A:A,Sheet1!A:A,Sheet1!I:I)</f>
        <v>Machine Learning</v>
      </c>
      <c r="H788" s="8">
        <f>_xlfn.XLOOKUP(A:A,Sheet1!A:A,Sheet1!K:K)</f>
        <v>3</v>
      </c>
      <c r="I788" s="9">
        <f>_xlfn.XLOOKUP(A:A,Sheet1!A:A,Sheet1!M:M)</f>
        <v>50</v>
      </c>
      <c r="J788" s="10">
        <f>_xlfn.XLOOKUP(A:A,Sheet1!A:A,Sheet1!O:O)</f>
        <v>3.2</v>
      </c>
      <c r="K788" t="str">
        <f>_xlfn.XLOOKUP(A:A,Sheet1!A:A,Sheet1!P:P)</f>
        <v>Yes</v>
      </c>
      <c r="L788" s="12">
        <f>_xlfn.XLOOKUP(A:A,Sheet1!A:A,Sheet1!S:S)</f>
        <v>0.74</v>
      </c>
    </row>
    <row r="789" spans="1:12" x14ac:dyDescent="0.35">
      <c r="A789" s="8" t="s">
        <v>1598</v>
      </c>
      <c r="B789" s="2" t="str">
        <f>_xlfn.XLOOKUP(A789,Sheet1!A:A,Sheet1!B:B)</f>
        <v>Melanie Gay</v>
      </c>
      <c r="C789" s="2" t="str">
        <f>_xlfn.XLOOKUP(A:A,Sheet1!A:A,Sheet1!D:D)</f>
        <v>Female</v>
      </c>
      <c r="D789" s="8">
        <f>_xlfn.XLOOKUP(A:A,Sheet1!A:A,Sheet1!F:F)</f>
        <v>23</v>
      </c>
      <c r="E789" s="2" t="str">
        <f>_xlfn.XLOOKUP(A:A,Sheet1!A:A,Sheet1!G:G)</f>
        <v>Italy</v>
      </c>
      <c r="F789" s="8" t="str">
        <f>_xlfn.XLOOKUP(A:A,Sheet1!A:A,Sheet1!H:H)</f>
        <v>Italian</v>
      </c>
      <c r="G789" s="8" t="str">
        <f>_xlfn.XLOOKUP(A:A,Sheet1!A:A,Sheet1!I:I)</f>
        <v>UI/UX Design</v>
      </c>
      <c r="H789" s="8">
        <f>_xlfn.XLOOKUP(A:A,Sheet1!A:A,Sheet1!K:K)</f>
        <v>1</v>
      </c>
      <c r="I789" s="9">
        <f>_xlfn.XLOOKUP(A:A,Sheet1!A:A,Sheet1!M:M)</f>
        <v>30</v>
      </c>
      <c r="J789" s="10">
        <f>_xlfn.XLOOKUP(A:A,Sheet1!A:A,Sheet1!O:O)</f>
        <v>5</v>
      </c>
      <c r="K789" t="str">
        <f>_xlfn.XLOOKUP(A:A,Sheet1!A:A,Sheet1!P:P)</f>
        <v>No</v>
      </c>
      <c r="L789" s="12">
        <f>_xlfn.XLOOKUP(A:A,Sheet1!A:A,Sheet1!S:S)</f>
        <v>0.97</v>
      </c>
    </row>
    <row r="790" spans="1:12" x14ac:dyDescent="0.35">
      <c r="A790" s="8" t="s">
        <v>1600</v>
      </c>
      <c r="B790" s="2" t="str">
        <f>_xlfn.XLOOKUP(A790,Sheet1!A:A,Sheet1!B:B)</f>
        <v>Brittany Lambert</v>
      </c>
      <c r="C790" s="2" t="str">
        <f>_xlfn.XLOOKUP(A:A,Sheet1!A:A,Sheet1!D:D)</f>
        <v>Female</v>
      </c>
      <c r="D790" s="8">
        <f>_xlfn.XLOOKUP(A:A,Sheet1!A:A,Sheet1!F:F)</f>
        <v>56</v>
      </c>
      <c r="E790" s="2" t="str">
        <f>_xlfn.XLOOKUP(A:A,Sheet1!A:A,Sheet1!G:G)</f>
        <v>Egypt</v>
      </c>
      <c r="F790" s="8" t="str">
        <f>_xlfn.XLOOKUP(A:A,Sheet1!A:A,Sheet1!H:H)</f>
        <v>Arabic</v>
      </c>
      <c r="G790" s="8" t="str">
        <f>_xlfn.XLOOKUP(A:A,Sheet1!A:A,Sheet1!I:I)</f>
        <v>Graphic Design</v>
      </c>
      <c r="H790" s="8">
        <f>_xlfn.XLOOKUP(A:A,Sheet1!A:A,Sheet1!K:K)</f>
        <v>13</v>
      </c>
      <c r="I790" s="9">
        <f>_xlfn.XLOOKUP(A:A,Sheet1!A:A,Sheet1!M:M)</f>
        <v>30</v>
      </c>
      <c r="J790" s="11">
        <v>0</v>
      </c>
      <c r="K790" t="str">
        <f>_xlfn.XLOOKUP(A:A,Sheet1!A:A,Sheet1!P:P)</f>
        <v>No</v>
      </c>
      <c r="L790" s="12">
        <f>_xlfn.XLOOKUP(A:A,Sheet1!A:A,Sheet1!S:S)</f>
        <v>0.77</v>
      </c>
    </row>
    <row r="791" spans="1:12" x14ac:dyDescent="0.35">
      <c r="A791" s="8" t="s">
        <v>1602</v>
      </c>
      <c r="B791" s="2" t="str">
        <f>_xlfn.XLOOKUP(A791,Sheet1!A:A,Sheet1!B:B)</f>
        <v>Mary Hernandez</v>
      </c>
      <c r="C791" s="2" t="str">
        <f>_xlfn.XLOOKUP(A:A,Sheet1!A:A,Sheet1!D:D)</f>
        <v>Female</v>
      </c>
      <c r="D791" s="8">
        <f>_xlfn.XLOOKUP(A:A,Sheet1!A:A,Sheet1!F:F)</f>
        <v>31</v>
      </c>
      <c r="E791" s="2" t="str">
        <f>_xlfn.XLOOKUP(A:A,Sheet1!A:A,Sheet1!G:G)</f>
        <v>Mexico</v>
      </c>
      <c r="F791" s="8" t="str">
        <f>_xlfn.XLOOKUP(A:A,Sheet1!A:A,Sheet1!H:H)</f>
        <v>Spanish</v>
      </c>
      <c r="G791" s="8" t="str">
        <f>_xlfn.XLOOKUP(A:A,Sheet1!A:A,Sheet1!I:I)</f>
        <v>UI/UX Design</v>
      </c>
      <c r="H791" s="8">
        <f>_xlfn.XLOOKUP(A:A,Sheet1!A:A,Sheet1!K:K)</f>
        <v>6</v>
      </c>
      <c r="I791" s="9">
        <f>_xlfn.XLOOKUP(A:A,Sheet1!A:A,Sheet1!M:M)</f>
        <v>40</v>
      </c>
      <c r="J791" s="10">
        <f>_xlfn.XLOOKUP(A:A,Sheet1!A:A,Sheet1!O:O)</f>
        <v>3.5</v>
      </c>
      <c r="K791" t="str">
        <f>_xlfn.XLOOKUP(A:A,Sheet1!A:A,Sheet1!P:P)</f>
        <v>No</v>
      </c>
      <c r="L791" s="12">
        <f>_xlfn.XLOOKUP(A:A,Sheet1!A:A,Sheet1!S:S)</f>
        <v>0.86</v>
      </c>
    </row>
    <row r="792" spans="1:12" x14ac:dyDescent="0.35">
      <c r="A792" s="8" t="s">
        <v>1604</v>
      </c>
      <c r="B792" s="2" t="str">
        <f>_xlfn.XLOOKUP(A792,Sheet1!A:A,Sheet1!B:B)</f>
        <v>Jonathan Jones</v>
      </c>
      <c r="C792" s="2" t="str">
        <f>_xlfn.XLOOKUP(A:A,Sheet1!A:A,Sheet1!D:D)</f>
        <v>Male</v>
      </c>
      <c r="D792" s="8">
        <f>_xlfn.XLOOKUP(A:A,Sheet1!A:A,Sheet1!F:F)</f>
        <v>24</v>
      </c>
      <c r="E792" s="2" t="str">
        <f>_xlfn.XLOOKUP(A:A,Sheet1!A:A,Sheet1!G:G)</f>
        <v>United States</v>
      </c>
      <c r="F792" s="8" t="str">
        <f>_xlfn.XLOOKUP(A:A,Sheet1!A:A,Sheet1!H:H)</f>
        <v>English</v>
      </c>
      <c r="G792" s="8" t="str">
        <f>_xlfn.XLOOKUP(A:A,Sheet1!A:A,Sheet1!I:I)</f>
        <v>Cybersecurity</v>
      </c>
      <c r="H792" s="8">
        <f>_xlfn.XLOOKUP(A:A,Sheet1!A:A,Sheet1!K:K)</f>
        <v>4</v>
      </c>
      <c r="I792" s="9">
        <f>_xlfn.XLOOKUP(A:A,Sheet1!A:A,Sheet1!M:M)</f>
        <v>50</v>
      </c>
      <c r="J792" s="10">
        <f>_xlfn.XLOOKUP(A:A,Sheet1!A:A,Sheet1!O:O)</f>
        <v>3.1</v>
      </c>
      <c r="K792" t="str">
        <f>_xlfn.XLOOKUP(A:A,Sheet1!A:A,Sheet1!P:P)</f>
        <v>No</v>
      </c>
      <c r="L792" s="12">
        <f>_xlfn.XLOOKUP(A:A,Sheet1!A:A,Sheet1!S:S)</f>
        <v>0.95</v>
      </c>
    </row>
    <row r="793" spans="1:12" x14ac:dyDescent="0.35">
      <c r="A793" s="8" t="s">
        <v>1606</v>
      </c>
      <c r="B793" s="2" t="str">
        <f>_xlfn.XLOOKUP(A793,Sheet1!A:A,Sheet1!B:B)</f>
        <v>Gina Williams</v>
      </c>
      <c r="C793" s="2" t="str">
        <f>_xlfn.XLOOKUP(A:A,Sheet1!A:A,Sheet1!D:D)</f>
        <v>Female</v>
      </c>
      <c r="D793" s="8">
        <f>_xlfn.XLOOKUP(A:A,Sheet1!A:A,Sheet1!F:F)</f>
        <v>35</v>
      </c>
      <c r="E793" s="2" t="str">
        <f>_xlfn.XLOOKUP(A:A,Sheet1!A:A,Sheet1!G:G)</f>
        <v>Brazil</v>
      </c>
      <c r="F793" s="8" t="str">
        <f>_xlfn.XLOOKUP(A:A,Sheet1!A:A,Sheet1!H:H)</f>
        <v>Portuguese</v>
      </c>
      <c r="G793" s="8" t="str">
        <f>_xlfn.XLOOKUP(A:A,Sheet1!A:A,Sheet1!I:I)</f>
        <v>Cybersecurity</v>
      </c>
      <c r="H793" s="8">
        <f>_xlfn.XLOOKUP(A:A,Sheet1!A:A,Sheet1!K:K)</f>
        <v>7</v>
      </c>
      <c r="I793" s="9">
        <f>_xlfn.XLOOKUP(A:A,Sheet1!A:A,Sheet1!M:M)</f>
        <v>40</v>
      </c>
      <c r="J793" s="10">
        <f>_xlfn.XLOOKUP(A:A,Sheet1!A:A,Sheet1!O:O)</f>
        <v>3.9</v>
      </c>
      <c r="K793" t="str">
        <f>_xlfn.XLOOKUP(A:A,Sheet1!A:A,Sheet1!P:P)</f>
        <v>No</v>
      </c>
      <c r="L793" s="12">
        <f>_xlfn.XLOOKUP(A:A,Sheet1!A:A,Sheet1!S:S)</f>
        <v>0.72</v>
      </c>
    </row>
    <row r="794" spans="1:12" x14ac:dyDescent="0.35">
      <c r="A794" s="8" t="s">
        <v>1608</v>
      </c>
      <c r="B794" s="2" t="str">
        <f>_xlfn.XLOOKUP(A794,Sheet1!A:A,Sheet1!B:B)</f>
        <v>Kelly Lawson</v>
      </c>
      <c r="C794" s="2" t="str">
        <f>_xlfn.XLOOKUP(A:A,Sheet1!A:A,Sheet1!D:D)</f>
        <v>Female</v>
      </c>
      <c r="D794" s="8">
        <f>_xlfn.XLOOKUP(A:A,Sheet1!A:A,Sheet1!F:F)</f>
        <v>20</v>
      </c>
      <c r="E794" s="2" t="str">
        <f>_xlfn.XLOOKUP(A:A,Sheet1!A:A,Sheet1!G:G)</f>
        <v>Spain</v>
      </c>
      <c r="F794" s="8" t="str">
        <f>_xlfn.XLOOKUP(A:A,Sheet1!A:A,Sheet1!H:H)</f>
        <v>Spanish</v>
      </c>
      <c r="G794" s="8" t="str">
        <f>_xlfn.XLOOKUP(A:A,Sheet1!A:A,Sheet1!I:I)</f>
        <v>AI</v>
      </c>
      <c r="H794" s="8">
        <f>_xlfn.XLOOKUP(A:A,Sheet1!A:A,Sheet1!K:K)</f>
        <v>1</v>
      </c>
      <c r="I794" s="9">
        <f>_xlfn.XLOOKUP(A:A,Sheet1!A:A,Sheet1!M:M)</f>
        <v>40</v>
      </c>
      <c r="J794" s="10">
        <f>_xlfn.XLOOKUP(A:A,Sheet1!A:A,Sheet1!O:O)</f>
        <v>3.5</v>
      </c>
      <c r="K794" t="str">
        <f>_xlfn.XLOOKUP(A:A,Sheet1!A:A,Sheet1!P:P)</f>
        <v>No</v>
      </c>
      <c r="L794" s="12">
        <f>_xlfn.XLOOKUP(A:A,Sheet1!A:A,Sheet1!S:S)</f>
        <v>0.71</v>
      </c>
    </row>
    <row r="795" spans="1:12" x14ac:dyDescent="0.35">
      <c r="A795" s="8" t="s">
        <v>1610</v>
      </c>
      <c r="B795" s="2" t="str">
        <f>_xlfn.XLOOKUP(A795,Sheet1!A:A,Sheet1!B:B)</f>
        <v>Keith Smith</v>
      </c>
      <c r="C795" s="2" t="str">
        <f>_xlfn.XLOOKUP(A:A,Sheet1!A:A,Sheet1!D:D)</f>
        <v>Male</v>
      </c>
      <c r="D795" s="8">
        <f>_xlfn.XLOOKUP(A:A,Sheet1!A:A,Sheet1!F:F)</f>
        <v>26</v>
      </c>
      <c r="E795" s="2" t="str">
        <f>_xlfn.XLOOKUP(A:A,Sheet1!A:A,Sheet1!G:G)</f>
        <v>Australia</v>
      </c>
      <c r="F795" s="8" t="str">
        <f>_xlfn.XLOOKUP(A:A,Sheet1!A:A,Sheet1!H:H)</f>
        <v>English</v>
      </c>
      <c r="G795" s="8" t="str">
        <f>_xlfn.XLOOKUP(A:A,Sheet1!A:A,Sheet1!I:I)</f>
        <v>Data Analysis</v>
      </c>
      <c r="H795" s="8">
        <f>_xlfn.XLOOKUP(A:A,Sheet1!A:A,Sheet1!K:K)</f>
        <v>5</v>
      </c>
      <c r="I795" s="9">
        <f>_xlfn.XLOOKUP(A:A,Sheet1!A:A,Sheet1!M:M)</f>
        <v>100</v>
      </c>
      <c r="J795" s="10">
        <f>_xlfn.XLOOKUP(A:A,Sheet1!A:A,Sheet1!O:O)</f>
        <v>2.5</v>
      </c>
      <c r="K795" t="str">
        <f>_xlfn.XLOOKUP(A:A,Sheet1!A:A,Sheet1!P:P)</f>
        <v>Yes</v>
      </c>
      <c r="L795" s="12">
        <f>_xlfn.XLOOKUP(A:A,Sheet1!A:A,Sheet1!S:S)</f>
        <v>0.93</v>
      </c>
    </row>
    <row r="796" spans="1:12" x14ac:dyDescent="0.35">
      <c r="A796" s="8" t="s">
        <v>1612</v>
      </c>
      <c r="B796" s="2" t="str">
        <f>_xlfn.XLOOKUP(A796,Sheet1!A:A,Sheet1!B:B)</f>
        <v>Christopher Hunter</v>
      </c>
      <c r="C796" s="2" t="str">
        <f>_xlfn.XLOOKUP(A:A,Sheet1!A:A,Sheet1!D:D)</f>
        <v>Male</v>
      </c>
      <c r="D796" s="8">
        <f>_xlfn.XLOOKUP(A:A,Sheet1!A:A,Sheet1!F:F)</f>
        <v>54</v>
      </c>
      <c r="E796" s="2" t="str">
        <f>_xlfn.XLOOKUP(A:A,Sheet1!A:A,Sheet1!G:G)</f>
        <v>United Kingdom</v>
      </c>
      <c r="F796" s="8" t="str">
        <f>_xlfn.XLOOKUP(A:A,Sheet1!A:A,Sheet1!H:H)</f>
        <v>English</v>
      </c>
      <c r="G796" s="8" t="str">
        <f>_xlfn.XLOOKUP(A:A,Sheet1!A:A,Sheet1!I:I)</f>
        <v>DevOps</v>
      </c>
      <c r="H796" s="8">
        <f>_xlfn.XLOOKUP(A:A,Sheet1!A:A,Sheet1!K:K)</f>
        <v>29</v>
      </c>
      <c r="I796" s="9">
        <f>_xlfn.XLOOKUP(A:A,Sheet1!A:A,Sheet1!M:M)</f>
        <v>40</v>
      </c>
      <c r="J796" s="10">
        <f>_xlfn.XLOOKUP(A:A,Sheet1!A:A,Sheet1!O:O)</f>
        <v>3.1</v>
      </c>
      <c r="K796" t="str">
        <f>_xlfn.XLOOKUP(A:A,Sheet1!A:A,Sheet1!P:P)</f>
        <v>Yes</v>
      </c>
      <c r="L796" s="12">
        <f>_xlfn.XLOOKUP(A:A,Sheet1!A:A,Sheet1!S:S)</f>
        <v>0.79269417475728277</v>
      </c>
    </row>
    <row r="797" spans="1:12" x14ac:dyDescent="0.35">
      <c r="A797" s="8" t="s">
        <v>1614</v>
      </c>
      <c r="B797" s="2" t="str">
        <f>_xlfn.XLOOKUP(A797,Sheet1!A:A,Sheet1!B:B)</f>
        <v>Dwayne Parks</v>
      </c>
      <c r="C797" s="2" t="str">
        <f>_xlfn.XLOOKUP(A:A,Sheet1!A:A,Sheet1!D:D)</f>
        <v>Male</v>
      </c>
      <c r="D797" s="8">
        <f>_xlfn.XLOOKUP(A:A,Sheet1!A:A,Sheet1!F:F)</f>
        <v>53</v>
      </c>
      <c r="E797" s="2" t="str">
        <f>_xlfn.XLOOKUP(A:A,Sheet1!A:A,Sheet1!G:G)</f>
        <v>Russia</v>
      </c>
      <c r="F797" s="8" t="str">
        <f>_xlfn.XLOOKUP(A:A,Sheet1!A:A,Sheet1!H:H)</f>
        <v>Russian</v>
      </c>
      <c r="G797" s="8" t="str">
        <f>_xlfn.XLOOKUP(A:A,Sheet1!A:A,Sheet1!I:I)</f>
        <v>Cybersecurity</v>
      </c>
      <c r="H797" s="8">
        <f>_xlfn.XLOOKUP(A:A,Sheet1!A:A,Sheet1!K:K)</f>
        <v>12</v>
      </c>
      <c r="I797" s="9">
        <f>_xlfn.XLOOKUP(A:A,Sheet1!A:A,Sheet1!M:M)</f>
        <v>100</v>
      </c>
      <c r="J797" s="10">
        <f>_xlfn.XLOOKUP(A:A,Sheet1!A:A,Sheet1!O:O)</f>
        <v>4.7</v>
      </c>
      <c r="K797" t="str">
        <f>_xlfn.XLOOKUP(A:A,Sheet1!A:A,Sheet1!P:P)</f>
        <v>Yes</v>
      </c>
      <c r="L797" s="12">
        <f>_xlfn.XLOOKUP(A:A,Sheet1!A:A,Sheet1!S:S)</f>
        <v>0.87</v>
      </c>
    </row>
    <row r="798" spans="1:12" x14ac:dyDescent="0.35">
      <c r="A798" s="8" t="s">
        <v>1616</v>
      </c>
      <c r="B798" s="2" t="str">
        <f>_xlfn.XLOOKUP(A798,Sheet1!A:A,Sheet1!B:B)</f>
        <v>Mary Hall</v>
      </c>
      <c r="C798" s="2" t="str">
        <f>_xlfn.XLOOKUP(A:A,Sheet1!A:A,Sheet1!D:D)</f>
        <v>Female</v>
      </c>
      <c r="D798" s="8">
        <f>_xlfn.XLOOKUP(A:A,Sheet1!A:A,Sheet1!F:F)</f>
        <v>33</v>
      </c>
      <c r="E798" s="2" t="str">
        <f>_xlfn.XLOOKUP(A:A,Sheet1!A:A,Sheet1!G:G)</f>
        <v>Canada</v>
      </c>
      <c r="F798" s="8" t="str">
        <f>_xlfn.XLOOKUP(A:A,Sheet1!A:A,Sheet1!H:H)</f>
        <v>English</v>
      </c>
      <c r="G798" s="8" t="str">
        <f>_xlfn.XLOOKUP(A:A,Sheet1!A:A,Sheet1!I:I)</f>
        <v>DevOps</v>
      </c>
      <c r="H798" s="8">
        <f>_xlfn.XLOOKUP(A:A,Sheet1!A:A,Sheet1!K:K)</f>
        <v>4</v>
      </c>
      <c r="I798" s="9">
        <f>_xlfn.XLOOKUP(A:A,Sheet1!A:A,Sheet1!M:M)</f>
        <v>40</v>
      </c>
      <c r="J798" s="10">
        <f>_xlfn.XLOOKUP(A:A,Sheet1!A:A,Sheet1!O:O)</f>
        <v>1.9</v>
      </c>
      <c r="K798" t="str">
        <f>_xlfn.XLOOKUP(A:A,Sheet1!A:A,Sheet1!P:P)</f>
        <v>No</v>
      </c>
      <c r="L798" s="12">
        <f>_xlfn.XLOOKUP(A:A,Sheet1!A:A,Sheet1!S:S)</f>
        <v>0.73</v>
      </c>
    </row>
    <row r="799" spans="1:12" x14ac:dyDescent="0.35">
      <c r="A799" s="8" t="s">
        <v>1618</v>
      </c>
      <c r="B799" s="2" t="str">
        <f>_xlfn.XLOOKUP(A799,Sheet1!A:A,Sheet1!B:B)</f>
        <v>Jake Gilmore</v>
      </c>
      <c r="C799" s="2" t="str">
        <f>_xlfn.XLOOKUP(A:A,Sheet1!A:A,Sheet1!D:D)</f>
        <v>Male</v>
      </c>
      <c r="D799" s="8">
        <f>_xlfn.XLOOKUP(A:A,Sheet1!A:A,Sheet1!F:F)</f>
        <v>43</v>
      </c>
      <c r="E799" s="2" t="str">
        <f>_xlfn.XLOOKUP(A:A,Sheet1!A:A,Sheet1!G:G)</f>
        <v>Netherlands</v>
      </c>
      <c r="F799" s="8" t="str">
        <f>_xlfn.XLOOKUP(A:A,Sheet1!A:A,Sheet1!H:H)</f>
        <v>Dutch</v>
      </c>
      <c r="G799" s="8" t="str">
        <f>_xlfn.XLOOKUP(A:A,Sheet1!A:A,Sheet1!I:I)</f>
        <v>Web Development</v>
      </c>
      <c r="H799" s="8">
        <f>_xlfn.XLOOKUP(A:A,Sheet1!A:A,Sheet1!K:K)</f>
        <v>12</v>
      </c>
      <c r="I799" s="9">
        <f>_xlfn.XLOOKUP(A:A,Sheet1!A:A,Sheet1!M:M)</f>
        <v>40</v>
      </c>
      <c r="J799" s="10">
        <f>_xlfn.XLOOKUP(A:A,Sheet1!A:A,Sheet1!O:O)</f>
        <v>1.6</v>
      </c>
      <c r="K799" t="str">
        <f>_xlfn.XLOOKUP(A:A,Sheet1!A:A,Sheet1!P:P)</f>
        <v>Yes</v>
      </c>
      <c r="L799" s="12">
        <f>_xlfn.XLOOKUP(A:A,Sheet1!A:A,Sheet1!S:S)</f>
        <v>0.74</v>
      </c>
    </row>
    <row r="800" spans="1:12" x14ac:dyDescent="0.35">
      <c r="A800" s="8" t="s">
        <v>1620</v>
      </c>
      <c r="B800" s="2" t="str">
        <f>_xlfn.XLOOKUP(A800,Sheet1!A:A,Sheet1!B:B)</f>
        <v>Mark Lopez</v>
      </c>
      <c r="C800" s="2" t="str">
        <f>_xlfn.XLOOKUP(A:A,Sheet1!A:A,Sheet1!D:D)</f>
        <v>Male</v>
      </c>
      <c r="D800" s="8">
        <f>_xlfn.XLOOKUP(A:A,Sheet1!A:A,Sheet1!F:F)</f>
        <v>37</v>
      </c>
      <c r="E800" s="2" t="str">
        <f>_xlfn.XLOOKUP(A:A,Sheet1!A:A,Sheet1!G:G)</f>
        <v>Canada</v>
      </c>
      <c r="F800" s="8" t="str">
        <f>_xlfn.XLOOKUP(A:A,Sheet1!A:A,Sheet1!H:H)</f>
        <v>English</v>
      </c>
      <c r="G800" s="8" t="str">
        <f>_xlfn.XLOOKUP(A:A,Sheet1!A:A,Sheet1!I:I)</f>
        <v>DevOps</v>
      </c>
      <c r="H800" s="8">
        <f>_xlfn.XLOOKUP(A:A,Sheet1!A:A,Sheet1!K:K)</f>
        <v>3</v>
      </c>
      <c r="I800" s="9">
        <f>_xlfn.XLOOKUP(A:A,Sheet1!A:A,Sheet1!M:M)</f>
        <v>20</v>
      </c>
      <c r="J800" s="10">
        <f>_xlfn.XLOOKUP(A:A,Sheet1!A:A,Sheet1!O:O)</f>
        <v>2.5</v>
      </c>
      <c r="K800" t="str">
        <f>_xlfn.XLOOKUP(A:A,Sheet1!A:A,Sheet1!P:P)</f>
        <v>No</v>
      </c>
      <c r="L800" s="12">
        <f>_xlfn.XLOOKUP(A:A,Sheet1!A:A,Sheet1!S:S)</f>
        <v>0.62</v>
      </c>
    </row>
    <row r="801" spans="1:12" x14ac:dyDescent="0.35">
      <c r="A801" s="8" t="s">
        <v>1622</v>
      </c>
      <c r="B801" s="2" t="str">
        <f>_xlfn.XLOOKUP(A801,Sheet1!A:A,Sheet1!B:B)</f>
        <v>Dana Rice</v>
      </c>
      <c r="C801" s="2" t="str">
        <f>_xlfn.XLOOKUP(A:A,Sheet1!A:A,Sheet1!D:D)</f>
        <v>Female</v>
      </c>
      <c r="D801" s="8">
        <f>_xlfn.XLOOKUP(A:A,Sheet1!A:A,Sheet1!F:F)</f>
        <v>58</v>
      </c>
      <c r="E801" s="2" t="str">
        <f>_xlfn.XLOOKUP(A:A,Sheet1!A:A,Sheet1!G:G)</f>
        <v>France</v>
      </c>
      <c r="F801" s="8" t="str">
        <f>_xlfn.XLOOKUP(A:A,Sheet1!A:A,Sheet1!H:H)</f>
        <v>French</v>
      </c>
      <c r="G801" s="8" t="str">
        <f>_xlfn.XLOOKUP(A:A,Sheet1!A:A,Sheet1!I:I)</f>
        <v>Data Analysis</v>
      </c>
      <c r="H801" s="8">
        <f>_xlfn.XLOOKUP(A:A,Sheet1!A:A,Sheet1!K:K)</f>
        <v>15</v>
      </c>
      <c r="I801" s="9">
        <f>_xlfn.XLOOKUP(A:A,Sheet1!A:A,Sheet1!M:M)</f>
        <v>20</v>
      </c>
      <c r="J801" s="10">
        <f>_xlfn.XLOOKUP(A:A,Sheet1!A:A,Sheet1!O:O)</f>
        <v>3.5</v>
      </c>
      <c r="K801" t="str">
        <f>_xlfn.XLOOKUP(A:A,Sheet1!A:A,Sheet1!P:P)</f>
        <v>No</v>
      </c>
      <c r="L801" s="12">
        <f>_xlfn.XLOOKUP(A:A,Sheet1!A:A,Sheet1!S:S)</f>
        <v>0.98</v>
      </c>
    </row>
    <row r="802" spans="1:12" x14ac:dyDescent="0.35">
      <c r="A802" s="8" t="s">
        <v>1624</v>
      </c>
      <c r="B802" s="2" t="str">
        <f>_xlfn.XLOOKUP(A802,Sheet1!A:A,Sheet1!B:B)</f>
        <v>Beth Young</v>
      </c>
      <c r="C802" s="2" t="str">
        <f>_xlfn.XLOOKUP(A:A,Sheet1!A:A,Sheet1!D:D)</f>
        <v>Female</v>
      </c>
      <c r="D802" s="8">
        <f>_xlfn.XLOOKUP(A:A,Sheet1!A:A,Sheet1!F:F)</f>
        <v>39</v>
      </c>
      <c r="E802" s="2" t="str">
        <f>_xlfn.XLOOKUP(A:A,Sheet1!A:A,Sheet1!G:G)</f>
        <v>Spain</v>
      </c>
      <c r="F802" s="8" t="str">
        <f>_xlfn.XLOOKUP(A:A,Sheet1!A:A,Sheet1!H:H)</f>
        <v>Spanish</v>
      </c>
      <c r="G802" s="8" t="str">
        <f>_xlfn.XLOOKUP(A:A,Sheet1!A:A,Sheet1!I:I)</f>
        <v>Mobile Apps</v>
      </c>
      <c r="H802" s="8">
        <f>_xlfn.XLOOKUP(A:A,Sheet1!A:A,Sheet1!K:K)</f>
        <v>15</v>
      </c>
      <c r="I802" s="9">
        <f>_xlfn.XLOOKUP(A:A,Sheet1!A:A,Sheet1!M:M)</f>
        <v>50</v>
      </c>
      <c r="J802" s="10">
        <f>_xlfn.XLOOKUP(A:A,Sheet1!A:A,Sheet1!O:O)</f>
        <v>2.5125695216907653</v>
      </c>
      <c r="K802" t="str">
        <f>_xlfn.XLOOKUP(A:A,Sheet1!A:A,Sheet1!P:P)</f>
        <v>No</v>
      </c>
      <c r="L802" s="12">
        <f>_xlfn.XLOOKUP(A:A,Sheet1!A:A,Sheet1!S:S)</f>
        <v>0.8</v>
      </c>
    </row>
    <row r="803" spans="1:12" x14ac:dyDescent="0.35">
      <c r="A803" s="8" t="s">
        <v>1626</v>
      </c>
      <c r="B803" s="2" t="str">
        <f>_xlfn.XLOOKUP(A803,Sheet1!A:A,Sheet1!B:B)</f>
        <v>Ryan Powell</v>
      </c>
      <c r="C803" s="2" t="str">
        <f>_xlfn.XLOOKUP(A:A,Sheet1!A:A,Sheet1!D:D)</f>
        <v>Male</v>
      </c>
      <c r="D803" s="8">
        <f>_xlfn.XLOOKUP(A:A,Sheet1!A:A,Sheet1!F:F)</f>
        <v>43</v>
      </c>
      <c r="E803" s="2" t="str">
        <f>_xlfn.XLOOKUP(A:A,Sheet1!A:A,Sheet1!G:G)</f>
        <v>Turkey</v>
      </c>
      <c r="F803" s="8" t="str">
        <f>_xlfn.XLOOKUP(A:A,Sheet1!A:A,Sheet1!H:H)</f>
        <v>Turkish</v>
      </c>
      <c r="G803" s="8" t="str">
        <f>_xlfn.XLOOKUP(A:A,Sheet1!A:A,Sheet1!I:I)</f>
        <v>Graphic Design</v>
      </c>
      <c r="H803" s="8">
        <f>_xlfn.XLOOKUP(A:A,Sheet1!A:A,Sheet1!K:K)</f>
        <v>13</v>
      </c>
      <c r="I803" s="9">
        <f>_xlfn.XLOOKUP(A:A,Sheet1!A:A,Sheet1!M:M)</f>
        <v>20</v>
      </c>
      <c r="J803" s="10">
        <f>_xlfn.XLOOKUP(A:A,Sheet1!A:A,Sheet1!O:O)</f>
        <v>1.2</v>
      </c>
      <c r="K803" t="str">
        <f>_xlfn.XLOOKUP(A:A,Sheet1!A:A,Sheet1!P:P)</f>
        <v>Yes</v>
      </c>
      <c r="L803" s="12">
        <f>_xlfn.XLOOKUP(A:A,Sheet1!A:A,Sheet1!S:S)</f>
        <v>0.69</v>
      </c>
    </row>
    <row r="804" spans="1:12" x14ac:dyDescent="0.35">
      <c r="A804" s="8" t="s">
        <v>1628</v>
      </c>
      <c r="B804" s="2" t="str">
        <f>_xlfn.XLOOKUP(A804,Sheet1!A:A,Sheet1!B:B)</f>
        <v>Amanda Fowler</v>
      </c>
      <c r="C804" s="2" t="str">
        <f>_xlfn.XLOOKUP(A:A,Sheet1!A:A,Sheet1!D:D)</f>
        <v>Female</v>
      </c>
      <c r="D804" s="8">
        <f>_xlfn.XLOOKUP(A:A,Sheet1!A:A,Sheet1!F:F)</f>
        <v>40</v>
      </c>
      <c r="E804" s="2" t="str">
        <f>_xlfn.XLOOKUP(A:A,Sheet1!A:A,Sheet1!G:G)</f>
        <v>Spain</v>
      </c>
      <c r="F804" s="8" t="str">
        <f>_xlfn.XLOOKUP(A:A,Sheet1!A:A,Sheet1!H:H)</f>
        <v>Spanish</v>
      </c>
      <c r="G804" s="8" t="str">
        <f>_xlfn.XLOOKUP(A:A,Sheet1!A:A,Sheet1!I:I)</f>
        <v>Blockchain Development</v>
      </c>
      <c r="H804" s="8">
        <f>_xlfn.XLOOKUP(A:A,Sheet1!A:A,Sheet1!K:K)</f>
        <v>20</v>
      </c>
      <c r="I804" s="9">
        <f>_xlfn.XLOOKUP(A:A,Sheet1!A:A,Sheet1!M:M)</f>
        <v>30</v>
      </c>
      <c r="J804" s="10">
        <f>_xlfn.XLOOKUP(A:A,Sheet1!A:A,Sheet1!O:O)</f>
        <v>2.5125695216907653</v>
      </c>
      <c r="K804" t="str">
        <f>_xlfn.XLOOKUP(A:A,Sheet1!A:A,Sheet1!P:P)</f>
        <v>No</v>
      </c>
      <c r="L804" s="12">
        <f>_xlfn.XLOOKUP(A:A,Sheet1!A:A,Sheet1!S:S)</f>
        <v>0.9</v>
      </c>
    </row>
    <row r="805" spans="1:12" x14ac:dyDescent="0.35">
      <c r="A805" s="8" t="s">
        <v>1630</v>
      </c>
      <c r="B805" s="2" t="str">
        <f>_xlfn.XLOOKUP(A805,Sheet1!A:A,Sheet1!B:B)</f>
        <v>Lindsay Rivera</v>
      </c>
      <c r="C805" s="2" t="str">
        <f>_xlfn.XLOOKUP(A:A,Sheet1!A:A,Sheet1!D:D)</f>
        <v>Female</v>
      </c>
      <c r="D805" s="8">
        <f>_xlfn.XLOOKUP(A:A,Sheet1!A:A,Sheet1!F:F)</f>
        <v>51</v>
      </c>
      <c r="E805" s="2" t="str">
        <f>_xlfn.XLOOKUP(A:A,Sheet1!A:A,Sheet1!G:G)</f>
        <v>United Kingdom</v>
      </c>
      <c r="F805" s="8" t="str">
        <f>_xlfn.XLOOKUP(A:A,Sheet1!A:A,Sheet1!H:H)</f>
        <v>English</v>
      </c>
      <c r="G805" s="8" t="str">
        <f>_xlfn.XLOOKUP(A:A,Sheet1!A:A,Sheet1!I:I)</f>
        <v>Machine Learning</v>
      </c>
      <c r="H805" s="8">
        <f>_xlfn.XLOOKUP(A:A,Sheet1!A:A,Sheet1!K:K)</f>
        <v>30</v>
      </c>
      <c r="I805" s="9">
        <f>_xlfn.XLOOKUP(A:A,Sheet1!A:A,Sheet1!M:M)</f>
        <v>75</v>
      </c>
      <c r="J805" s="10">
        <f>_xlfn.XLOOKUP(A:A,Sheet1!A:A,Sheet1!O:O)</f>
        <v>2.5125695216907653</v>
      </c>
      <c r="K805" t="str">
        <f>_xlfn.XLOOKUP(A:A,Sheet1!A:A,Sheet1!P:P)</f>
        <v>Yes</v>
      </c>
      <c r="L805" s="12">
        <f>_xlfn.XLOOKUP(A:A,Sheet1!A:A,Sheet1!S:S)</f>
        <v>0.74</v>
      </c>
    </row>
    <row r="806" spans="1:12" x14ac:dyDescent="0.35">
      <c r="A806" s="8" t="s">
        <v>1632</v>
      </c>
      <c r="B806" s="2" t="str">
        <f>_xlfn.XLOOKUP(A806,Sheet1!A:A,Sheet1!B:B)</f>
        <v>Mark Ward</v>
      </c>
      <c r="C806" s="2" t="str">
        <f>_xlfn.XLOOKUP(A:A,Sheet1!A:A,Sheet1!D:D)</f>
        <v>Male</v>
      </c>
      <c r="D806" s="8">
        <f>_xlfn.XLOOKUP(A:A,Sheet1!A:A,Sheet1!F:F)</f>
        <v>23</v>
      </c>
      <c r="E806" s="2" t="str">
        <f>_xlfn.XLOOKUP(A:A,Sheet1!A:A,Sheet1!G:G)</f>
        <v>Germany</v>
      </c>
      <c r="F806" s="8" t="str">
        <f>_xlfn.XLOOKUP(A:A,Sheet1!A:A,Sheet1!H:H)</f>
        <v>German</v>
      </c>
      <c r="G806" s="8" t="str">
        <f>_xlfn.XLOOKUP(A:A,Sheet1!A:A,Sheet1!I:I)</f>
        <v>AI</v>
      </c>
      <c r="H806" s="8">
        <f>_xlfn.XLOOKUP(A:A,Sheet1!A:A,Sheet1!K:K)</f>
        <v>4</v>
      </c>
      <c r="I806" s="9">
        <f>_xlfn.XLOOKUP(A:A,Sheet1!A:A,Sheet1!M:M)</f>
        <v>50</v>
      </c>
      <c r="J806" s="10">
        <f>_xlfn.XLOOKUP(A:A,Sheet1!A:A,Sheet1!O:O)</f>
        <v>4.5</v>
      </c>
      <c r="K806" t="str">
        <f>_xlfn.XLOOKUP(A:A,Sheet1!A:A,Sheet1!P:P)</f>
        <v>No</v>
      </c>
      <c r="L806" s="12">
        <f>_xlfn.XLOOKUP(A:A,Sheet1!A:A,Sheet1!S:S)</f>
        <v>0.98</v>
      </c>
    </row>
    <row r="807" spans="1:12" x14ac:dyDescent="0.35">
      <c r="A807" s="8" t="s">
        <v>1634</v>
      </c>
      <c r="B807" s="2" t="str">
        <f>_xlfn.XLOOKUP(A807,Sheet1!A:A,Sheet1!B:B)</f>
        <v>Amanda Smith</v>
      </c>
      <c r="C807" s="2" t="str">
        <f>_xlfn.XLOOKUP(A:A,Sheet1!A:A,Sheet1!D:D)</f>
        <v>Female</v>
      </c>
      <c r="D807" s="8">
        <f>_xlfn.XLOOKUP(A:A,Sheet1!A:A,Sheet1!F:F)</f>
        <v>31</v>
      </c>
      <c r="E807" s="2" t="str">
        <f>_xlfn.XLOOKUP(A:A,Sheet1!A:A,Sheet1!G:G)</f>
        <v>Indonesia</v>
      </c>
      <c r="F807" s="8" t="str">
        <f>_xlfn.XLOOKUP(A:A,Sheet1!A:A,Sheet1!H:H)</f>
        <v>Indonesian</v>
      </c>
      <c r="G807" s="8" t="str">
        <f>_xlfn.XLOOKUP(A:A,Sheet1!A:A,Sheet1!I:I)</f>
        <v>Graphic Design</v>
      </c>
      <c r="H807" s="8">
        <f>_xlfn.XLOOKUP(A:A,Sheet1!A:A,Sheet1!K:K)</f>
        <v>9</v>
      </c>
      <c r="I807" s="9">
        <f>_xlfn.XLOOKUP(A:A,Sheet1!A:A,Sheet1!M:M)</f>
        <v>20</v>
      </c>
      <c r="J807" s="10">
        <f>_xlfn.XLOOKUP(A:A,Sheet1!A:A,Sheet1!O:O)</f>
        <v>2.5125695216907653</v>
      </c>
      <c r="K807" t="str">
        <f>_xlfn.XLOOKUP(A:A,Sheet1!A:A,Sheet1!P:P)</f>
        <v>Yes</v>
      </c>
      <c r="L807" s="12">
        <f>_xlfn.XLOOKUP(A:A,Sheet1!A:A,Sheet1!S:S)</f>
        <v>0.84</v>
      </c>
    </row>
    <row r="808" spans="1:12" x14ac:dyDescent="0.35">
      <c r="A808" s="8" t="s">
        <v>1636</v>
      </c>
      <c r="B808" s="2" t="str">
        <f>_xlfn.XLOOKUP(A808,Sheet1!A:A,Sheet1!B:B)</f>
        <v>Emily Brown</v>
      </c>
      <c r="C808" s="2" t="str">
        <f>_xlfn.XLOOKUP(A:A,Sheet1!A:A,Sheet1!D:D)</f>
        <v>Female</v>
      </c>
      <c r="D808" s="8">
        <f>_xlfn.XLOOKUP(A:A,Sheet1!A:A,Sheet1!F:F)</f>
        <v>44</v>
      </c>
      <c r="E808" s="2" t="str">
        <f>_xlfn.XLOOKUP(A:A,Sheet1!A:A,Sheet1!G:G)</f>
        <v>Russia</v>
      </c>
      <c r="F808" s="8" t="str">
        <f>_xlfn.XLOOKUP(A:A,Sheet1!A:A,Sheet1!H:H)</f>
        <v>Russian</v>
      </c>
      <c r="G808" s="8" t="str">
        <f>_xlfn.XLOOKUP(A:A,Sheet1!A:A,Sheet1!I:I)</f>
        <v>Web Development</v>
      </c>
      <c r="H808" s="8">
        <f>_xlfn.XLOOKUP(A:A,Sheet1!A:A,Sheet1!K:K)</f>
        <v>3</v>
      </c>
      <c r="I808" s="9">
        <f>_xlfn.XLOOKUP(A:A,Sheet1!A:A,Sheet1!M:M)</f>
        <v>20</v>
      </c>
      <c r="J808" s="10">
        <f>_xlfn.XLOOKUP(A:A,Sheet1!A:A,Sheet1!O:O)</f>
        <v>5</v>
      </c>
      <c r="K808" t="str">
        <f>_xlfn.XLOOKUP(A:A,Sheet1!A:A,Sheet1!P:P)</f>
        <v>Yes</v>
      </c>
      <c r="L808" s="12">
        <f>_xlfn.XLOOKUP(A:A,Sheet1!A:A,Sheet1!S:S)</f>
        <v>0.75</v>
      </c>
    </row>
    <row r="809" spans="1:12" x14ac:dyDescent="0.35">
      <c r="A809" s="8" t="s">
        <v>1638</v>
      </c>
      <c r="B809" s="2" t="str">
        <f>_xlfn.XLOOKUP(A809,Sheet1!A:A,Sheet1!B:B)</f>
        <v>Dwayne Cardenas</v>
      </c>
      <c r="C809" s="2" t="str">
        <f>_xlfn.XLOOKUP(A:A,Sheet1!A:A,Sheet1!D:D)</f>
        <v>Male</v>
      </c>
      <c r="D809" s="8">
        <f>_xlfn.XLOOKUP(A:A,Sheet1!A:A,Sheet1!F:F)</f>
        <v>56</v>
      </c>
      <c r="E809" s="2" t="str">
        <f>_xlfn.XLOOKUP(A:A,Sheet1!A:A,Sheet1!G:G)</f>
        <v>Germany</v>
      </c>
      <c r="F809" s="8" t="str">
        <f>_xlfn.XLOOKUP(A:A,Sheet1!A:A,Sheet1!H:H)</f>
        <v>German</v>
      </c>
      <c r="G809" s="8" t="str">
        <f>_xlfn.XLOOKUP(A:A,Sheet1!A:A,Sheet1!I:I)</f>
        <v>Mobile Apps</v>
      </c>
      <c r="H809" s="8">
        <f>_xlfn.XLOOKUP(A:A,Sheet1!A:A,Sheet1!K:K)</f>
        <v>23</v>
      </c>
      <c r="I809" s="9">
        <f>_xlfn.XLOOKUP(A:A,Sheet1!A:A,Sheet1!M:M)</f>
        <v>75</v>
      </c>
      <c r="J809" s="10">
        <f>_xlfn.XLOOKUP(A:A,Sheet1!A:A,Sheet1!O:O)</f>
        <v>3.9</v>
      </c>
      <c r="K809" t="str">
        <f>_xlfn.XLOOKUP(A:A,Sheet1!A:A,Sheet1!P:P)</f>
        <v>Yes</v>
      </c>
      <c r="L809" s="12">
        <f>_xlfn.XLOOKUP(A:A,Sheet1!A:A,Sheet1!S:S)</f>
        <v>0.79269417475728277</v>
      </c>
    </row>
    <row r="810" spans="1:12" x14ac:dyDescent="0.35">
      <c r="A810" s="8" t="s">
        <v>1640</v>
      </c>
      <c r="B810" s="2" t="str">
        <f>_xlfn.XLOOKUP(A810,Sheet1!A:A,Sheet1!B:B)</f>
        <v xml:space="preserve"> Rhonda Hernandez</v>
      </c>
      <c r="C810" s="2" t="str">
        <f>_xlfn.XLOOKUP(A:A,Sheet1!A:A,Sheet1!D:D)</f>
        <v>Female</v>
      </c>
      <c r="D810" s="8">
        <f>_xlfn.XLOOKUP(A:A,Sheet1!A:A,Sheet1!F:F)</f>
        <v>48</v>
      </c>
      <c r="E810" s="2" t="str">
        <f>_xlfn.XLOOKUP(A:A,Sheet1!A:A,Sheet1!G:G)</f>
        <v>Australia</v>
      </c>
      <c r="F810" s="8" t="str">
        <f>_xlfn.XLOOKUP(A:A,Sheet1!A:A,Sheet1!H:H)</f>
        <v>English</v>
      </c>
      <c r="G810" s="8" t="str">
        <f>_xlfn.XLOOKUP(A:A,Sheet1!A:A,Sheet1!I:I)</f>
        <v>Cybersecurity</v>
      </c>
      <c r="H810" s="8">
        <f>_xlfn.XLOOKUP(A:A,Sheet1!A:A,Sheet1!K:K)</f>
        <v>5</v>
      </c>
      <c r="I810" s="9">
        <f>_xlfn.XLOOKUP(A:A,Sheet1!A:A,Sheet1!M:M)</f>
        <v>100</v>
      </c>
      <c r="J810" s="10">
        <f>_xlfn.XLOOKUP(A:A,Sheet1!A:A,Sheet1!O:O)</f>
        <v>1.8</v>
      </c>
      <c r="K810" t="str">
        <f>_xlfn.XLOOKUP(A:A,Sheet1!A:A,Sheet1!P:P)</f>
        <v>Yes</v>
      </c>
      <c r="L810" s="12">
        <f>_xlfn.XLOOKUP(A:A,Sheet1!A:A,Sheet1!S:S)</f>
        <v>0.97</v>
      </c>
    </row>
    <row r="811" spans="1:12" x14ac:dyDescent="0.35">
      <c r="A811" s="8" t="s">
        <v>1641</v>
      </c>
      <c r="B811" s="2" t="str">
        <f>_xlfn.XLOOKUP(A811,Sheet1!A:A,Sheet1!B:B)</f>
        <v>Melody Barker</v>
      </c>
      <c r="C811" s="2" t="str">
        <f>_xlfn.XLOOKUP(A:A,Sheet1!A:A,Sheet1!D:D)</f>
        <v>Female</v>
      </c>
      <c r="D811" s="8">
        <f>_xlfn.XLOOKUP(A:A,Sheet1!A:A,Sheet1!F:F)</f>
        <v>46</v>
      </c>
      <c r="E811" s="2" t="str">
        <f>_xlfn.XLOOKUP(A:A,Sheet1!A:A,Sheet1!G:G)</f>
        <v>Russia</v>
      </c>
      <c r="F811" s="8" t="str">
        <f>_xlfn.XLOOKUP(A:A,Sheet1!A:A,Sheet1!H:H)</f>
        <v>Russian</v>
      </c>
      <c r="G811" s="8" t="str">
        <f>_xlfn.XLOOKUP(A:A,Sheet1!A:A,Sheet1!I:I)</f>
        <v>Web Development</v>
      </c>
      <c r="H811" s="8">
        <f>_xlfn.XLOOKUP(A:A,Sheet1!A:A,Sheet1!K:K)</f>
        <v>28</v>
      </c>
      <c r="I811" s="9">
        <f>_xlfn.XLOOKUP(A:A,Sheet1!A:A,Sheet1!M:M)</f>
        <v>30</v>
      </c>
      <c r="J811" s="10">
        <f>_xlfn.XLOOKUP(A:A,Sheet1!A:A,Sheet1!O:O)</f>
        <v>4.2</v>
      </c>
      <c r="K811" t="str">
        <f>_xlfn.XLOOKUP(A:A,Sheet1!A:A,Sheet1!P:P)</f>
        <v>Yes</v>
      </c>
      <c r="L811" s="12">
        <f>_xlfn.XLOOKUP(A:A,Sheet1!A:A,Sheet1!S:S)</f>
        <v>0.79269417475728277</v>
      </c>
    </row>
    <row r="812" spans="1:12" x14ac:dyDescent="0.35">
      <c r="A812" s="8" t="s">
        <v>1643</v>
      </c>
      <c r="B812" s="2" t="str">
        <f>_xlfn.XLOOKUP(A812,Sheet1!A:A,Sheet1!B:B)</f>
        <v>Russell Carpenter</v>
      </c>
      <c r="C812" s="2" t="str">
        <f>_xlfn.XLOOKUP(A:A,Sheet1!A:A,Sheet1!D:D)</f>
        <v>Male</v>
      </c>
      <c r="D812" s="8">
        <f>_xlfn.XLOOKUP(A:A,Sheet1!A:A,Sheet1!F:F)</f>
        <v>21</v>
      </c>
      <c r="E812" s="2" t="str">
        <f>_xlfn.XLOOKUP(A:A,Sheet1!A:A,Sheet1!G:G)</f>
        <v>Egypt</v>
      </c>
      <c r="F812" s="8" t="str">
        <f>_xlfn.XLOOKUP(A:A,Sheet1!A:A,Sheet1!H:H)</f>
        <v>Arabic</v>
      </c>
      <c r="G812" s="8" t="str">
        <f>_xlfn.XLOOKUP(A:A,Sheet1!A:A,Sheet1!I:I)</f>
        <v>AI</v>
      </c>
      <c r="H812" s="8">
        <f>_xlfn.XLOOKUP(A:A,Sheet1!A:A,Sheet1!K:K)</f>
        <v>0</v>
      </c>
      <c r="I812" s="9">
        <f>_xlfn.XLOOKUP(A:A,Sheet1!A:A,Sheet1!M:M)</f>
        <v>20</v>
      </c>
      <c r="J812" s="10">
        <f>_xlfn.XLOOKUP(A:A,Sheet1!A:A,Sheet1!O:O)</f>
        <v>2.6</v>
      </c>
      <c r="K812" t="str">
        <f>_xlfn.XLOOKUP(A:A,Sheet1!A:A,Sheet1!P:P)</f>
        <v>No</v>
      </c>
      <c r="L812" s="12">
        <f>_xlfn.XLOOKUP(A:A,Sheet1!A:A,Sheet1!S:S)</f>
        <v>0.64</v>
      </c>
    </row>
    <row r="813" spans="1:12" x14ac:dyDescent="0.35">
      <c r="A813" s="8" t="s">
        <v>1645</v>
      </c>
      <c r="B813" s="2" t="str">
        <f>_xlfn.XLOOKUP(A813,Sheet1!A:A,Sheet1!B:B)</f>
        <v>Richard Hill</v>
      </c>
      <c r="C813" s="2" t="str">
        <f>_xlfn.XLOOKUP(A:A,Sheet1!A:A,Sheet1!D:D)</f>
        <v>Male</v>
      </c>
      <c r="D813" s="8">
        <f>_xlfn.XLOOKUP(A:A,Sheet1!A:A,Sheet1!F:F)</f>
        <v>52</v>
      </c>
      <c r="E813" s="2" t="str">
        <f>_xlfn.XLOOKUP(A:A,Sheet1!A:A,Sheet1!G:G)</f>
        <v>Russia</v>
      </c>
      <c r="F813" s="8" t="str">
        <f>_xlfn.XLOOKUP(A:A,Sheet1!A:A,Sheet1!H:H)</f>
        <v>Russian</v>
      </c>
      <c r="G813" s="8" t="str">
        <f>_xlfn.XLOOKUP(A:A,Sheet1!A:A,Sheet1!I:I)</f>
        <v>Data Analysis</v>
      </c>
      <c r="H813" s="8">
        <f>_xlfn.XLOOKUP(A:A,Sheet1!A:A,Sheet1!K:K)</f>
        <v>30</v>
      </c>
      <c r="I813" s="9">
        <f>_xlfn.XLOOKUP(A:A,Sheet1!A:A,Sheet1!M:M)</f>
        <v>30</v>
      </c>
      <c r="J813" s="10">
        <f>_xlfn.XLOOKUP(A:A,Sheet1!A:A,Sheet1!O:O)</f>
        <v>2</v>
      </c>
      <c r="K813" t="str">
        <f>_xlfn.XLOOKUP(A:A,Sheet1!A:A,Sheet1!P:P)</f>
        <v>Yes</v>
      </c>
      <c r="L813" s="12">
        <f>_xlfn.XLOOKUP(A:A,Sheet1!A:A,Sheet1!S:S)</f>
        <v>0.68</v>
      </c>
    </row>
    <row r="814" spans="1:12" x14ac:dyDescent="0.35">
      <c r="A814" s="8" t="s">
        <v>1647</v>
      </c>
      <c r="B814" s="2" t="str">
        <f>_xlfn.XLOOKUP(A814,Sheet1!A:A,Sheet1!B:B)</f>
        <v>Lindsay Potts</v>
      </c>
      <c r="C814" s="2" t="str">
        <f>_xlfn.XLOOKUP(A:A,Sheet1!A:A,Sheet1!D:D)</f>
        <v>Female</v>
      </c>
      <c r="D814" s="8">
        <f>_xlfn.XLOOKUP(A:A,Sheet1!A:A,Sheet1!F:F)</f>
        <v>39</v>
      </c>
      <c r="E814" s="2" t="str">
        <f>_xlfn.XLOOKUP(A:A,Sheet1!A:A,Sheet1!G:G)</f>
        <v>Russia</v>
      </c>
      <c r="F814" s="8" t="str">
        <f>_xlfn.XLOOKUP(A:A,Sheet1!A:A,Sheet1!H:H)</f>
        <v>Russian</v>
      </c>
      <c r="G814" s="8" t="str">
        <f>_xlfn.XLOOKUP(A:A,Sheet1!A:A,Sheet1!I:I)</f>
        <v>Graphic Design</v>
      </c>
      <c r="H814" s="8">
        <f>_xlfn.XLOOKUP(A:A,Sheet1!A:A,Sheet1!K:K)</f>
        <v>20</v>
      </c>
      <c r="I814" s="9">
        <f>_xlfn.XLOOKUP(A:A,Sheet1!A:A,Sheet1!M:M)</f>
        <v>75</v>
      </c>
      <c r="J814" s="10">
        <f>_xlfn.XLOOKUP(A:A,Sheet1!A:A,Sheet1!O:O)</f>
        <v>2.7</v>
      </c>
      <c r="K814" t="str">
        <f>_xlfn.XLOOKUP(A:A,Sheet1!A:A,Sheet1!P:P)</f>
        <v>Yes</v>
      </c>
      <c r="L814" s="12">
        <f>_xlfn.XLOOKUP(A:A,Sheet1!A:A,Sheet1!S:S)</f>
        <v>0.67</v>
      </c>
    </row>
    <row r="815" spans="1:12" x14ac:dyDescent="0.35">
      <c r="A815" s="8" t="s">
        <v>1649</v>
      </c>
      <c r="B815" s="2" t="str">
        <f>_xlfn.XLOOKUP(A815,Sheet1!A:A,Sheet1!B:B)</f>
        <v>Michelle Campbell</v>
      </c>
      <c r="C815" s="2" t="str">
        <f>_xlfn.XLOOKUP(A:A,Sheet1!A:A,Sheet1!D:D)</f>
        <v>Female</v>
      </c>
      <c r="D815" s="8">
        <f>_xlfn.XLOOKUP(A:A,Sheet1!A:A,Sheet1!F:F)</f>
        <v>31</v>
      </c>
      <c r="E815" s="2" t="str">
        <f>_xlfn.XLOOKUP(A:A,Sheet1!A:A,Sheet1!G:G)</f>
        <v>Australia</v>
      </c>
      <c r="F815" s="8" t="str">
        <f>_xlfn.XLOOKUP(A:A,Sheet1!A:A,Sheet1!H:H)</f>
        <v>English</v>
      </c>
      <c r="G815" s="8" t="str">
        <f>_xlfn.XLOOKUP(A:A,Sheet1!A:A,Sheet1!I:I)</f>
        <v>Mobile Apps</v>
      </c>
      <c r="H815" s="8">
        <f>_xlfn.XLOOKUP(A:A,Sheet1!A:A,Sheet1!K:K)</f>
        <v>0</v>
      </c>
      <c r="I815" s="9">
        <f>_xlfn.XLOOKUP(A:A,Sheet1!A:A,Sheet1!M:M)</f>
        <v>30</v>
      </c>
      <c r="J815" s="10">
        <f>_xlfn.XLOOKUP(A:A,Sheet1!A:A,Sheet1!O:O)</f>
        <v>2.2999999999999998</v>
      </c>
      <c r="K815" t="str">
        <f>_xlfn.XLOOKUP(A:A,Sheet1!A:A,Sheet1!P:P)</f>
        <v>No</v>
      </c>
      <c r="L815" s="12">
        <f>_xlfn.XLOOKUP(A:A,Sheet1!A:A,Sheet1!S:S)</f>
        <v>0.79</v>
      </c>
    </row>
    <row r="816" spans="1:12" x14ac:dyDescent="0.35">
      <c r="A816" s="8" t="s">
        <v>1651</v>
      </c>
      <c r="B816" s="2" t="str">
        <f>_xlfn.XLOOKUP(A816,Sheet1!A:A,Sheet1!B:B)</f>
        <v>Alan Williams</v>
      </c>
      <c r="C816" s="2" t="str">
        <f>_xlfn.XLOOKUP(A:A,Sheet1!A:A,Sheet1!D:D)</f>
        <v>Male</v>
      </c>
      <c r="D816" s="8">
        <f>_xlfn.XLOOKUP(A:A,Sheet1!A:A,Sheet1!F:F)</f>
        <v>22</v>
      </c>
      <c r="E816" s="2" t="str">
        <f>_xlfn.XLOOKUP(A:A,Sheet1!A:A,Sheet1!G:G)</f>
        <v>South Korea</v>
      </c>
      <c r="F816" s="8" t="str">
        <f>_xlfn.XLOOKUP(A:A,Sheet1!A:A,Sheet1!H:H)</f>
        <v>Korean</v>
      </c>
      <c r="G816" s="8" t="str">
        <f>_xlfn.XLOOKUP(A:A,Sheet1!A:A,Sheet1!I:I)</f>
        <v>UI/UX Design</v>
      </c>
      <c r="H816" s="8">
        <f>_xlfn.XLOOKUP(A:A,Sheet1!A:A,Sheet1!K:K)</f>
        <v>4</v>
      </c>
      <c r="I816" s="9">
        <f>_xlfn.XLOOKUP(A:A,Sheet1!A:A,Sheet1!M:M)</f>
        <v>40</v>
      </c>
      <c r="J816" s="10">
        <f>_xlfn.XLOOKUP(A:A,Sheet1!A:A,Sheet1!O:O)</f>
        <v>3.8</v>
      </c>
      <c r="K816" t="str">
        <f>_xlfn.XLOOKUP(A:A,Sheet1!A:A,Sheet1!P:P)</f>
        <v>Yes</v>
      </c>
      <c r="L816" s="12">
        <f>_xlfn.XLOOKUP(A:A,Sheet1!A:A,Sheet1!S:S)</f>
        <v>1</v>
      </c>
    </row>
    <row r="817" spans="1:12" x14ac:dyDescent="0.35">
      <c r="A817" s="8" t="s">
        <v>1653</v>
      </c>
      <c r="B817" s="2" t="str">
        <f>_xlfn.XLOOKUP(A817,Sheet1!A:A,Sheet1!B:B)</f>
        <v>Robin Hinton</v>
      </c>
      <c r="C817" s="2" t="str">
        <f>_xlfn.XLOOKUP(A:A,Sheet1!A:A,Sheet1!D:D)</f>
        <v>Female</v>
      </c>
      <c r="D817" s="8">
        <f>_xlfn.XLOOKUP(A:A,Sheet1!A:A,Sheet1!F:F)</f>
        <v>38</v>
      </c>
      <c r="E817" s="2" t="str">
        <f>_xlfn.XLOOKUP(A:A,Sheet1!A:A,Sheet1!G:G)</f>
        <v>United Kingdom</v>
      </c>
      <c r="F817" s="8" t="str">
        <f>_xlfn.XLOOKUP(A:A,Sheet1!A:A,Sheet1!H:H)</f>
        <v>English</v>
      </c>
      <c r="G817" s="8" t="str">
        <f>_xlfn.XLOOKUP(A:A,Sheet1!A:A,Sheet1!I:I)</f>
        <v>UI/UX Design</v>
      </c>
      <c r="H817" s="8">
        <f>_xlfn.XLOOKUP(A:A,Sheet1!A:A,Sheet1!K:K)</f>
        <v>10</v>
      </c>
      <c r="I817" s="9">
        <f>_xlfn.XLOOKUP(A:A,Sheet1!A:A,Sheet1!M:M)</f>
        <v>40</v>
      </c>
      <c r="J817" s="10">
        <f>_xlfn.XLOOKUP(A:A,Sheet1!A:A,Sheet1!O:O)</f>
        <v>2.5125695216907653</v>
      </c>
      <c r="K817" t="str">
        <f>_xlfn.XLOOKUP(A:A,Sheet1!A:A,Sheet1!P:P)</f>
        <v>No</v>
      </c>
      <c r="L817" s="12">
        <f>_xlfn.XLOOKUP(A:A,Sheet1!A:A,Sheet1!S:S)</f>
        <v>0.66</v>
      </c>
    </row>
    <row r="818" spans="1:12" x14ac:dyDescent="0.35">
      <c r="A818" s="8" t="s">
        <v>1655</v>
      </c>
      <c r="B818" s="2" t="str">
        <f>_xlfn.XLOOKUP(A818,Sheet1!A:A,Sheet1!B:B)</f>
        <v>Brian Holland</v>
      </c>
      <c r="C818" s="2" t="str">
        <f>_xlfn.XLOOKUP(A:A,Sheet1!A:A,Sheet1!D:D)</f>
        <v>Male</v>
      </c>
      <c r="D818" s="8">
        <f>_xlfn.XLOOKUP(A:A,Sheet1!A:A,Sheet1!F:F)</f>
        <v>44</v>
      </c>
      <c r="E818" s="2" t="str">
        <f>_xlfn.XLOOKUP(A:A,Sheet1!A:A,Sheet1!G:G)</f>
        <v>Argentina</v>
      </c>
      <c r="F818" s="8" t="str">
        <f>_xlfn.XLOOKUP(A:A,Sheet1!A:A,Sheet1!H:H)</f>
        <v>Spanish</v>
      </c>
      <c r="G818" s="8" t="str">
        <f>_xlfn.XLOOKUP(A:A,Sheet1!A:A,Sheet1!I:I)</f>
        <v>Graphic Design</v>
      </c>
      <c r="H818" s="8">
        <f>_xlfn.XLOOKUP(A:A,Sheet1!A:A,Sheet1!K:K)</f>
        <v>24</v>
      </c>
      <c r="I818" s="9">
        <f>_xlfn.XLOOKUP(A:A,Sheet1!A:A,Sheet1!M:M)</f>
        <v>75</v>
      </c>
      <c r="J818" s="10">
        <f>_xlfn.XLOOKUP(A:A,Sheet1!A:A,Sheet1!O:O)</f>
        <v>4.5999999999999996</v>
      </c>
      <c r="K818" t="str">
        <f>_xlfn.XLOOKUP(A:A,Sheet1!A:A,Sheet1!P:P)</f>
        <v>No</v>
      </c>
      <c r="L818" s="12">
        <f>_xlfn.XLOOKUP(A:A,Sheet1!A:A,Sheet1!S:S)</f>
        <v>0.97</v>
      </c>
    </row>
    <row r="819" spans="1:12" x14ac:dyDescent="0.35">
      <c r="A819" s="8" t="s">
        <v>1657</v>
      </c>
      <c r="B819" s="2" t="str">
        <f>_xlfn.XLOOKUP(A819,Sheet1!A:A,Sheet1!B:B)</f>
        <v>Adam Stone</v>
      </c>
      <c r="C819" s="2" t="str">
        <f>_xlfn.XLOOKUP(A:A,Sheet1!A:A,Sheet1!D:D)</f>
        <v>Male</v>
      </c>
      <c r="D819" s="8">
        <f>_xlfn.XLOOKUP(A:A,Sheet1!A:A,Sheet1!F:F)</f>
        <v>53</v>
      </c>
      <c r="E819" s="2" t="str">
        <f>_xlfn.XLOOKUP(A:A,Sheet1!A:A,Sheet1!G:G)</f>
        <v>Indonesia</v>
      </c>
      <c r="F819" s="8" t="str">
        <f>_xlfn.XLOOKUP(A:A,Sheet1!A:A,Sheet1!H:H)</f>
        <v>Indonesian</v>
      </c>
      <c r="G819" s="8" t="str">
        <f>_xlfn.XLOOKUP(A:A,Sheet1!A:A,Sheet1!I:I)</f>
        <v>Machine Learning</v>
      </c>
      <c r="H819" s="8">
        <f>_xlfn.XLOOKUP(A:A,Sheet1!A:A,Sheet1!K:K)</f>
        <v>21</v>
      </c>
      <c r="I819" s="9">
        <f>_xlfn.XLOOKUP(A:A,Sheet1!A:A,Sheet1!M:M)</f>
        <v>100</v>
      </c>
      <c r="J819" s="10">
        <f>_xlfn.XLOOKUP(A:A,Sheet1!A:A,Sheet1!O:O)</f>
        <v>3.4</v>
      </c>
      <c r="K819" t="str">
        <f>_xlfn.XLOOKUP(A:A,Sheet1!A:A,Sheet1!P:P)</f>
        <v>No</v>
      </c>
      <c r="L819" s="12">
        <f>_xlfn.XLOOKUP(A:A,Sheet1!A:A,Sheet1!S:S)</f>
        <v>0.62</v>
      </c>
    </row>
    <row r="820" spans="1:12" x14ac:dyDescent="0.35">
      <c r="A820" s="8" t="s">
        <v>1659</v>
      </c>
      <c r="B820" s="2" t="str">
        <f>_xlfn.XLOOKUP(A820,Sheet1!A:A,Sheet1!B:B)</f>
        <v>Curtis Lambert</v>
      </c>
      <c r="C820" s="2" t="str">
        <f>_xlfn.XLOOKUP(A:A,Sheet1!A:A,Sheet1!D:D)</f>
        <v>Male</v>
      </c>
      <c r="D820" s="8">
        <f>_xlfn.XLOOKUP(A:A,Sheet1!A:A,Sheet1!F:F)</f>
        <v>22</v>
      </c>
      <c r="E820" s="2" t="str">
        <f>_xlfn.XLOOKUP(A:A,Sheet1!A:A,Sheet1!G:G)</f>
        <v>China</v>
      </c>
      <c r="F820" s="8" t="str">
        <f>_xlfn.XLOOKUP(A:A,Sheet1!A:A,Sheet1!H:H)</f>
        <v>Mandarin</v>
      </c>
      <c r="G820" s="8" t="str">
        <f>_xlfn.XLOOKUP(A:A,Sheet1!A:A,Sheet1!I:I)</f>
        <v>Data Analysis</v>
      </c>
      <c r="H820" s="8">
        <f>_xlfn.XLOOKUP(A:A,Sheet1!A:A,Sheet1!K:K)</f>
        <v>2</v>
      </c>
      <c r="I820" s="9">
        <f>_xlfn.XLOOKUP(A:A,Sheet1!A:A,Sheet1!M:M)</f>
        <v>20</v>
      </c>
      <c r="J820" s="10">
        <f>_xlfn.XLOOKUP(A:A,Sheet1!A:A,Sheet1!O:O)</f>
        <v>2.5125695216907653</v>
      </c>
      <c r="K820" t="str">
        <f>_xlfn.XLOOKUP(A:A,Sheet1!A:A,Sheet1!P:P)</f>
        <v>No</v>
      </c>
      <c r="L820" s="12">
        <f>_xlfn.XLOOKUP(A:A,Sheet1!A:A,Sheet1!S:S)</f>
        <v>0.79269417475728277</v>
      </c>
    </row>
    <row r="821" spans="1:12" x14ac:dyDescent="0.35">
      <c r="A821" s="8" t="s">
        <v>1661</v>
      </c>
      <c r="B821" s="2" t="str">
        <f>_xlfn.XLOOKUP(A821,Sheet1!A:A,Sheet1!B:B)</f>
        <v>Alexandra Sims</v>
      </c>
      <c r="C821" s="2" t="str">
        <f>_xlfn.XLOOKUP(A:A,Sheet1!A:A,Sheet1!D:D)</f>
        <v>Female</v>
      </c>
      <c r="D821" s="8">
        <f>_xlfn.XLOOKUP(A:A,Sheet1!A:A,Sheet1!F:F)</f>
        <v>40</v>
      </c>
      <c r="E821" s="2" t="str">
        <f>_xlfn.XLOOKUP(A:A,Sheet1!A:A,Sheet1!G:G)</f>
        <v>India</v>
      </c>
      <c r="F821" s="8" t="str">
        <f>_xlfn.XLOOKUP(A:A,Sheet1!A:A,Sheet1!H:H)</f>
        <v>Hindi</v>
      </c>
      <c r="G821" s="8" t="str">
        <f>_xlfn.XLOOKUP(A:A,Sheet1!A:A,Sheet1!I:I)</f>
        <v>Blockchain Development</v>
      </c>
      <c r="H821" s="8">
        <f>_xlfn.XLOOKUP(A:A,Sheet1!A:A,Sheet1!K:K)</f>
        <v>14</v>
      </c>
      <c r="I821" s="9">
        <f>_xlfn.XLOOKUP(A:A,Sheet1!A:A,Sheet1!M:M)</f>
        <v>75</v>
      </c>
      <c r="J821" s="11">
        <v>0</v>
      </c>
      <c r="K821" t="str">
        <f>_xlfn.XLOOKUP(A:A,Sheet1!A:A,Sheet1!P:P)</f>
        <v>Yes</v>
      </c>
      <c r="L821" s="12">
        <f>_xlfn.XLOOKUP(A:A,Sheet1!A:A,Sheet1!S:S)</f>
        <v>0.79</v>
      </c>
    </row>
    <row r="822" spans="1:12" x14ac:dyDescent="0.35">
      <c r="A822" s="8" t="s">
        <v>1663</v>
      </c>
      <c r="B822" s="2" t="str">
        <f>_xlfn.XLOOKUP(A822,Sheet1!A:A,Sheet1!B:B)</f>
        <v>Brenda Spencer</v>
      </c>
      <c r="C822" s="2" t="str">
        <f>_xlfn.XLOOKUP(A:A,Sheet1!A:A,Sheet1!D:D)</f>
        <v>Female</v>
      </c>
      <c r="D822" s="8">
        <f>_xlfn.XLOOKUP(A:A,Sheet1!A:A,Sheet1!F:F)</f>
        <v>49</v>
      </c>
      <c r="E822" s="2" t="str">
        <f>_xlfn.XLOOKUP(A:A,Sheet1!A:A,Sheet1!G:G)</f>
        <v>China</v>
      </c>
      <c r="F822" s="8" t="str">
        <f>_xlfn.XLOOKUP(A:A,Sheet1!A:A,Sheet1!H:H)</f>
        <v>Mandarin</v>
      </c>
      <c r="G822" s="8" t="str">
        <f>_xlfn.XLOOKUP(A:A,Sheet1!A:A,Sheet1!I:I)</f>
        <v>Mobile Apps</v>
      </c>
      <c r="H822" s="8">
        <f>_xlfn.XLOOKUP(A:A,Sheet1!A:A,Sheet1!K:K)</f>
        <v>15</v>
      </c>
      <c r="I822" s="9">
        <f>_xlfn.XLOOKUP(A:A,Sheet1!A:A,Sheet1!M:M)</f>
        <v>40</v>
      </c>
      <c r="J822" s="10">
        <f>_xlfn.XLOOKUP(A:A,Sheet1!A:A,Sheet1!O:O)</f>
        <v>3.9</v>
      </c>
      <c r="K822" t="str">
        <f>_xlfn.XLOOKUP(A:A,Sheet1!A:A,Sheet1!P:P)</f>
        <v>No</v>
      </c>
      <c r="L822" s="12">
        <f>_xlfn.XLOOKUP(A:A,Sheet1!A:A,Sheet1!S:S)</f>
        <v>0.86</v>
      </c>
    </row>
    <row r="823" spans="1:12" x14ac:dyDescent="0.35">
      <c r="A823" s="8" t="s">
        <v>1665</v>
      </c>
      <c r="B823" s="2" t="str">
        <f>_xlfn.XLOOKUP(A823,Sheet1!A:A,Sheet1!B:B)</f>
        <v>Joshua Bush</v>
      </c>
      <c r="C823" s="2" t="str">
        <f>_xlfn.XLOOKUP(A:A,Sheet1!A:A,Sheet1!D:D)</f>
        <v>Male</v>
      </c>
      <c r="D823" s="8">
        <f>_xlfn.XLOOKUP(A:A,Sheet1!A:A,Sheet1!F:F)</f>
        <v>30</v>
      </c>
      <c r="E823" s="2" t="str">
        <f>_xlfn.XLOOKUP(A:A,Sheet1!A:A,Sheet1!G:G)</f>
        <v>Australia</v>
      </c>
      <c r="F823" s="8" t="str">
        <f>_xlfn.XLOOKUP(A:A,Sheet1!A:A,Sheet1!H:H)</f>
        <v>English</v>
      </c>
      <c r="G823" s="8" t="str">
        <f>_xlfn.XLOOKUP(A:A,Sheet1!A:A,Sheet1!I:I)</f>
        <v>UI/UX Design</v>
      </c>
      <c r="H823" s="8">
        <f>_xlfn.XLOOKUP(A:A,Sheet1!A:A,Sheet1!K:K)</f>
        <v>11</v>
      </c>
      <c r="I823" s="9">
        <f>_xlfn.XLOOKUP(A:A,Sheet1!A:A,Sheet1!M:M)</f>
        <v>30</v>
      </c>
      <c r="J823" s="10">
        <f>_xlfn.XLOOKUP(A:A,Sheet1!A:A,Sheet1!O:O)</f>
        <v>4.2</v>
      </c>
      <c r="K823" t="str">
        <f>_xlfn.XLOOKUP(A:A,Sheet1!A:A,Sheet1!P:P)</f>
        <v>No</v>
      </c>
      <c r="L823" s="12">
        <f>_xlfn.XLOOKUP(A:A,Sheet1!A:A,Sheet1!S:S)</f>
        <v>0.65</v>
      </c>
    </row>
    <row r="824" spans="1:12" x14ac:dyDescent="0.35">
      <c r="A824" s="8" t="s">
        <v>1667</v>
      </c>
      <c r="B824" s="2" t="str">
        <f>_xlfn.XLOOKUP(A824,Sheet1!A:A,Sheet1!B:B)</f>
        <v>Erin Martin</v>
      </c>
      <c r="C824" s="2" t="str">
        <f>_xlfn.XLOOKUP(A:A,Sheet1!A:A,Sheet1!D:D)</f>
        <v>Female</v>
      </c>
      <c r="D824" s="8">
        <f>_xlfn.XLOOKUP(A:A,Sheet1!A:A,Sheet1!F:F)</f>
        <v>37</v>
      </c>
      <c r="E824" s="2" t="str">
        <f>_xlfn.XLOOKUP(A:A,Sheet1!A:A,Sheet1!G:G)</f>
        <v>Japan</v>
      </c>
      <c r="F824" s="8" t="str">
        <f>_xlfn.XLOOKUP(A:A,Sheet1!A:A,Sheet1!H:H)</f>
        <v>Japanese</v>
      </c>
      <c r="G824" s="8" t="str">
        <f>_xlfn.XLOOKUP(A:A,Sheet1!A:A,Sheet1!I:I)</f>
        <v>AI</v>
      </c>
      <c r="H824" s="8">
        <f>_xlfn.XLOOKUP(A:A,Sheet1!A:A,Sheet1!K:K)</f>
        <v>6</v>
      </c>
      <c r="I824" s="9">
        <f>_xlfn.XLOOKUP(A:A,Sheet1!A:A,Sheet1!M:M)</f>
        <v>20</v>
      </c>
      <c r="J824" s="10">
        <f>_xlfn.XLOOKUP(A:A,Sheet1!A:A,Sheet1!O:O)</f>
        <v>2.5125695216907653</v>
      </c>
      <c r="K824" t="str">
        <f>_xlfn.XLOOKUP(A:A,Sheet1!A:A,Sheet1!P:P)</f>
        <v>No</v>
      </c>
      <c r="L824" s="12">
        <f>_xlfn.XLOOKUP(A:A,Sheet1!A:A,Sheet1!S:S)</f>
        <v>0.99</v>
      </c>
    </row>
    <row r="825" spans="1:12" x14ac:dyDescent="0.35">
      <c r="A825" s="8" t="s">
        <v>1669</v>
      </c>
      <c r="B825" s="2" t="str">
        <f>_xlfn.XLOOKUP(A825,Sheet1!A:A,Sheet1!B:B)</f>
        <v>Alexander Hogan</v>
      </c>
      <c r="C825" s="2" t="str">
        <f>_xlfn.XLOOKUP(A:A,Sheet1!A:A,Sheet1!D:D)</f>
        <v>Male</v>
      </c>
      <c r="D825" s="8">
        <f>_xlfn.XLOOKUP(A:A,Sheet1!A:A,Sheet1!F:F)</f>
        <v>21</v>
      </c>
      <c r="E825" s="2" t="str">
        <f>_xlfn.XLOOKUP(A:A,Sheet1!A:A,Sheet1!G:G)</f>
        <v>Egypt</v>
      </c>
      <c r="F825" s="8" t="str">
        <f>_xlfn.XLOOKUP(A:A,Sheet1!A:A,Sheet1!H:H)</f>
        <v>Arabic</v>
      </c>
      <c r="G825" s="8" t="str">
        <f>_xlfn.XLOOKUP(A:A,Sheet1!A:A,Sheet1!I:I)</f>
        <v>Graphic Design</v>
      </c>
      <c r="H825" s="8">
        <f>_xlfn.XLOOKUP(A:A,Sheet1!A:A,Sheet1!K:K)</f>
        <v>2</v>
      </c>
      <c r="I825" s="9">
        <f>_xlfn.XLOOKUP(A:A,Sheet1!A:A,Sheet1!M:M)</f>
        <v>100</v>
      </c>
      <c r="J825" s="10">
        <f>_xlfn.XLOOKUP(A:A,Sheet1!A:A,Sheet1!O:O)</f>
        <v>3.6</v>
      </c>
      <c r="K825" t="str">
        <f>_xlfn.XLOOKUP(A:A,Sheet1!A:A,Sheet1!P:P)</f>
        <v>No</v>
      </c>
      <c r="L825" s="12">
        <f>_xlfn.XLOOKUP(A:A,Sheet1!A:A,Sheet1!S:S)</f>
        <v>0.85</v>
      </c>
    </row>
    <row r="826" spans="1:12" x14ac:dyDescent="0.35">
      <c r="A826" s="8" t="s">
        <v>1671</v>
      </c>
      <c r="B826" s="2" t="str">
        <f>_xlfn.XLOOKUP(A826,Sheet1!A:A,Sheet1!B:B)</f>
        <v>William Harris</v>
      </c>
      <c r="C826" s="2" t="str">
        <f>_xlfn.XLOOKUP(A:A,Sheet1!A:A,Sheet1!D:D)</f>
        <v>Male</v>
      </c>
      <c r="D826" s="8">
        <f>_xlfn.XLOOKUP(A:A,Sheet1!A:A,Sheet1!F:F)</f>
        <v>20</v>
      </c>
      <c r="E826" s="2" t="str">
        <f>_xlfn.XLOOKUP(A:A,Sheet1!A:A,Sheet1!G:G)</f>
        <v>South Korea</v>
      </c>
      <c r="F826" s="8" t="str">
        <f>_xlfn.XLOOKUP(A:A,Sheet1!A:A,Sheet1!H:H)</f>
        <v>Korean</v>
      </c>
      <c r="G826" s="8" t="str">
        <f>_xlfn.XLOOKUP(A:A,Sheet1!A:A,Sheet1!I:I)</f>
        <v>AI</v>
      </c>
      <c r="H826" s="8">
        <f>_xlfn.XLOOKUP(A:A,Sheet1!A:A,Sheet1!K:K)</f>
        <v>1</v>
      </c>
      <c r="I826" s="9">
        <f>_xlfn.XLOOKUP(A:A,Sheet1!A:A,Sheet1!M:M)</f>
        <v>50</v>
      </c>
      <c r="J826" s="10">
        <f>_xlfn.XLOOKUP(A:A,Sheet1!A:A,Sheet1!O:O)</f>
        <v>2.5125695216907653</v>
      </c>
      <c r="K826" t="str">
        <f>_xlfn.XLOOKUP(A:A,Sheet1!A:A,Sheet1!P:P)</f>
        <v>Yes</v>
      </c>
      <c r="L826" s="12">
        <f>_xlfn.XLOOKUP(A:A,Sheet1!A:A,Sheet1!S:S)</f>
        <v>0.81</v>
      </c>
    </row>
    <row r="827" spans="1:12" x14ac:dyDescent="0.35">
      <c r="A827" s="8" t="s">
        <v>1673</v>
      </c>
      <c r="B827" s="2" t="str">
        <f>_xlfn.XLOOKUP(A827,Sheet1!A:A,Sheet1!B:B)</f>
        <v>Michael Mcmahon</v>
      </c>
      <c r="C827" s="2" t="str">
        <f>_xlfn.XLOOKUP(A:A,Sheet1!A:A,Sheet1!D:D)</f>
        <v>Male</v>
      </c>
      <c r="D827" s="8">
        <f>_xlfn.XLOOKUP(A:A,Sheet1!A:A,Sheet1!F:F)</f>
        <v>20</v>
      </c>
      <c r="E827" s="2" t="str">
        <f>_xlfn.XLOOKUP(A:A,Sheet1!A:A,Sheet1!G:G)</f>
        <v>China</v>
      </c>
      <c r="F827" s="8" t="str">
        <f>_xlfn.XLOOKUP(A:A,Sheet1!A:A,Sheet1!H:H)</f>
        <v>Mandarin</v>
      </c>
      <c r="G827" s="8" t="str">
        <f>_xlfn.XLOOKUP(A:A,Sheet1!A:A,Sheet1!I:I)</f>
        <v>Data Analysis</v>
      </c>
      <c r="H827" s="8">
        <f>_xlfn.XLOOKUP(A:A,Sheet1!A:A,Sheet1!K:K)</f>
        <v>2</v>
      </c>
      <c r="I827" s="9">
        <f>_xlfn.XLOOKUP(A:A,Sheet1!A:A,Sheet1!M:M)</f>
        <v>40</v>
      </c>
      <c r="J827" s="10">
        <f>_xlfn.XLOOKUP(A:A,Sheet1!A:A,Sheet1!O:O)</f>
        <v>2.1</v>
      </c>
      <c r="K827" t="str">
        <f>_xlfn.XLOOKUP(A:A,Sheet1!A:A,Sheet1!P:P)</f>
        <v>No</v>
      </c>
      <c r="L827" s="12">
        <f>_xlfn.XLOOKUP(A:A,Sheet1!A:A,Sheet1!S:S)</f>
        <v>0.64</v>
      </c>
    </row>
    <row r="828" spans="1:12" x14ac:dyDescent="0.35">
      <c r="A828" s="8" t="s">
        <v>1675</v>
      </c>
      <c r="B828" s="2" t="str">
        <f>_xlfn.XLOOKUP(A828,Sheet1!A:A,Sheet1!B:B)</f>
        <v>Michael Watson</v>
      </c>
      <c r="C828" s="2" t="str">
        <f>_xlfn.XLOOKUP(A:A,Sheet1!A:A,Sheet1!D:D)</f>
        <v>Male</v>
      </c>
      <c r="D828" s="8">
        <f>_xlfn.XLOOKUP(A:A,Sheet1!A:A,Sheet1!F:F)</f>
        <v>20</v>
      </c>
      <c r="E828" s="2" t="str">
        <f>_xlfn.XLOOKUP(A:A,Sheet1!A:A,Sheet1!G:G)</f>
        <v>Argentina</v>
      </c>
      <c r="F828" s="8" t="str">
        <f>_xlfn.XLOOKUP(A:A,Sheet1!A:A,Sheet1!H:H)</f>
        <v>Spanish</v>
      </c>
      <c r="G828" s="8" t="str">
        <f>_xlfn.XLOOKUP(A:A,Sheet1!A:A,Sheet1!I:I)</f>
        <v>Machine Learning</v>
      </c>
      <c r="H828" s="8">
        <f>_xlfn.XLOOKUP(A:A,Sheet1!A:A,Sheet1!K:K)</f>
        <v>2</v>
      </c>
      <c r="I828" s="9">
        <f>_xlfn.XLOOKUP(A:A,Sheet1!A:A,Sheet1!M:M)</f>
        <v>20</v>
      </c>
      <c r="J828" s="10">
        <f>_xlfn.XLOOKUP(A:A,Sheet1!A:A,Sheet1!O:O)</f>
        <v>3.9</v>
      </c>
      <c r="K828" t="str">
        <f>_xlfn.XLOOKUP(A:A,Sheet1!A:A,Sheet1!P:P)</f>
        <v>No</v>
      </c>
      <c r="L828" s="12">
        <f>_xlfn.XLOOKUP(A:A,Sheet1!A:A,Sheet1!S:S)</f>
        <v>0.84</v>
      </c>
    </row>
    <row r="829" spans="1:12" x14ac:dyDescent="0.35">
      <c r="A829" s="8" t="s">
        <v>1677</v>
      </c>
      <c r="B829" s="2" t="str">
        <f>_xlfn.XLOOKUP(A829,Sheet1!A:A,Sheet1!B:B)</f>
        <v>Lori Perez</v>
      </c>
      <c r="C829" s="2" t="str">
        <f>_xlfn.XLOOKUP(A:A,Sheet1!A:A,Sheet1!D:D)</f>
        <v>Female</v>
      </c>
      <c r="D829" s="8">
        <f>_xlfn.XLOOKUP(A:A,Sheet1!A:A,Sheet1!F:F)</f>
        <v>26</v>
      </c>
      <c r="E829" s="2" t="str">
        <f>_xlfn.XLOOKUP(A:A,Sheet1!A:A,Sheet1!G:G)</f>
        <v>Russia</v>
      </c>
      <c r="F829" s="8" t="str">
        <f>_xlfn.XLOOKUP(A:A,Sheet1!A:A,Sheet1!H:H)</f>
        <v>Russian</v>
      </c>
      <c r="G829" s="8" t="str">
        <f>_xlfn.XLOOKUP(A:A,Sheet1!A:A,Sheet1!I:I)</f>
        <v>Machine Learning</v>
      </c>
      <c r="H829" s="8">
        <f>_xlfn.XLOOKUP(A:A,Sheet1!A:A,Sheet1!K:K)</f>
        <v>2</v>
      </c>
      <c r="I829" s="9">
        <f>_xlfn.XLOOKUP(A:A,Sheet1!A:A,Sheet1!M:M)</f>
        <v>40</v>
      </c>
      <c r="J829" s="11">
        <v>0</v>
      </c>
      <c r="K829" t="str">
        <f>_xlfn.XLOOKUP(A:A,Sheet1!A:A,Sheet1!P:P)</f>
        <v>No</v>
      </c>
      <c r="L829" s="12">
        <f>_xlfn.XLOOKUP(A:A,Sheet1!A:A,Sheet1!S:S)</f>
        <v>0.66</v>
      </c>
    </row>
    <row r="830" spans="1:12" x14ac:dyDescent="0.35">
      <c r="A830" s="8" t="s">
        <v>1679</v>
      </c>
      <c r="B830" s="2" t="str">
        <f>_xlfn.XLOOKUP(A830,Sheet1!A:A,Sheet1!B:B)</f>
        <v>Lindsay Le</v>
      </c>
      <c r="C830" s="2" t="str">
        <f>_xlfn.XLOOKUP(A:A,Sheet1!A:A,Sheet1!D:D)</f>
        <v>Female</v>
      </c>
      <c r="D830" s="8">
        <f>_xlfn.XLOOKUP(A:A,Sheet1!A:A,Sheet1!F:F)</f>
        <v>50</v>
      </c>
      <c r="E830" s="2" t="str">
        <f>_xlfn.XLOOKUP(A:A,Sheet1!A:A,Sheet1!G:G)</f>
        <v>South Korea</v>
      </c>
      <c r="F830" s="8" t="str">
        <f>_xlfn.XLOOKUP(A:A,Sheet1!A:A,Sheet1!H:H)</f>
        <v>Korean</v>
      </c>
      <c r="G830" s="8" t="str">
        <f>_xlfn.XLOOKUP(A:A,Sheet1!A:A,Sheet1!I:I)</f>
        <v>Web Development</v>
      </c>
      <c r="H830" s="8">
        <f>_xlfn.XLOOKUP(A:A,Sheet1!A:A,Sheet1!K:K)</f>
        <v>12</v>
      </c>
      <c r="I830" s="9">
        <f>_xlfn.XLOOKUP(A:A,Sheet1!A:A,Sheet1!M:M)</f>
        <v>75</v>
      </c>
      <c r="J830" s="11">
        <v>0</v>
      </c>
      <c r="K830" t="str">
        <f>_xlfn.XLOOKUP(A:A,Sheet1!A:A,Sheet1!P:P)</f>
        <v>No</v>
      </c>
      <c r="L830" s="12">
        <f>_xlfn.XLOOKUP(A:A,Sheet1!A:A,Sheet1!S:S)</f>
        <v>0.75</v>
      </c>
    </row>
    <row r="831" spans="1:12" x14ac:dyDescent="0.35">
      <c r="A831" s="8" t="s">
        <v>1681</v>
      </c>
      <c r="B831" s="2" t="str">
        <f>_xlfn.XLOOKUP(A831,Sheet1!A:A,Sheet1!B:B)</f>
        <v>Scott Long</v>
      </c>
      <c r="C831" s="2" t="str">
        <f>_xlfn.XLOOKUP(A:A,Sheet1!A:A,Sheet1!D:D)</f>
        <v>Male</v>
      </c>
      <c r="D831" s="8">
        <f>_xlfn.XLOOKUP(A:A,Sheet1!A:A,Sheet1!F:F)</f>
        <v>50</v>
      </c>
      <c r="E831" s="2" t="str">
        <f>_xlfn.XLOOKUP(A:A,Sheet1!A:A,Sheet1!G:G)</f>
        <v>Spain</v>
      </c>
      <c r="F831" s="8" t="str">
        <f>_xlfn.XLOOKUP(A:A,Sheet1!A:A,Sheet1!H:H)</f>
        <v>Spanish</v>
      </c>
      <c r="G831" s="8" t="str">
        <f>_xlfn.XLOOKUP(A:A,Sheet1!A:A,Sheet1!I:I)</f>
        <v>AI</v>
      </c>
      <c r="H831" s="8">
        <f>_xlfn.XLOOKUP(A:A,Sheet1!A:A,Sheet1!K:K)</f>
        <v>28</v>
      </c>
      <c r="I831" s="9">
        <f>_xlfn.XLOOKUP(A:A,Sheet1!A:A,Sheet1!M:M)</f>
        <v>30</v>
      </c>
      <c r="J831" s="10">
        <f>_xlfn.XLOOKUP(A:A,Sheet1!A:A,Sheet1!O:O)</f>
        <v>1.8</v>
      </c>
      <c r="K831" t="str">
        <f>_xlfn.XLOOKUP(A:A,Sheet1!A:A,Sheet1!P:P)</f>
        <v>No</v>
      </c>
      <c r="L831" s="12">
        <f>_xlfn.XLOOKUP(A:A,Sheet1!A:A,Sheet1!S:S)</f>
        <v>0.79269417475728277</v>
      </c>
    </row>
    <row r="832" spans="1:12" x14ac:dyDescent="0.35">
      <c r="A832" s="8" t="s">
        <v>1683</v>
      </c>
      <c r="B832" s="2" t="str">
        <f>_xlfn.XLOOKUP(A832,Sheet1!A:A,Sheet1!B:B)</f>
        <v>Diana Ferguson</v>
      </c>
      <c r="C832" s="2" t="str">
        <f>_xlfn.XLOOKUP(A:A,Sheet1!A:A,Sheet1!D:D)</f>
        <v>Female</v>
      </c>
      <c r="D832" s="8">
        <f>_xlfn.XLOOKUP(A:A,Sheet1!A:A,Sheet1!F:F)</f>
        <v>54</v>
      </c>
      <c r="E832" s="2" t="str">
        <f>_xlfn.XLOOKUP(A:A,Sheet1!A:A,Sheet1!G:G)</f>
        <v>Indonesia</v>
      </c>
      <c r="F832" s="8" t="str">
        <f>_xlfn.XLOOKUP(A:A,Sheet1!A:A,Sheet1!H:H)</f>
        <v>Indonesian</v>
      </c>
      <c r="G832" s="8" t="str">
        <f>_xlfn.XLOOKUP(A:A,Sheet1!A:A,Sheet1!I:I)</f>
        <v>AI</v>
      </c>
      <c r="H832" s="8">
        <f>_xlfn.XLOOKUP(A:A,Sheet1!A:A,Sheet1!K:K)</f>
        <v>4</v>
      </c>
      <c r="I832" s="9">
        <f>_xlfn.XLOOKUP(A:A,Sheet1!A:A,Sheet1!M:M)</f>
        <v>20</v>
      </c>
      <c r="J832" s="10">
        <f>_xlfn.XLOOKUP(A:A,Sheet1!A:A,Sheet1!O:O)</f>
        <v>1.1000000000000001</v>
      </c>
      <c r="K832" t="str">
        <f>_xlfn.XLOOKUP(A:A,Sheet1!A:A,Sheet1!P:P)</f>
        <v>Yes</v>
      </c>
      <c r="L832" s="12">
        <f>_xlfn.XLOOKUP(A:A,Sheet1!A:A,Sheet1!S:S)</f>
        <v>0.63</v>
      </c>
    </row>
    <row r="833" spans="1:12" x14ac:dyDescent="0.35">
      <c r="A833" s="8" t="s">
        <v>1685</v>
      </c>
      <c r="B833" s="2" t="str">
        <f>_xlfn.XLOOKUP(A833,Sheet1!A:A,Sheet1!B:B)</f>
        <v>Joseph Miller</v>
      </c>
      <c r="C833" s="2" t="str">
        <f>_xlfn.XLOOKUP(A:A,Sheet1!A:A,Sheet1!D:D)</f>
        <v>Male</v>
      </c>
      <c r="D833" s="8">
        <f>_xlfn.XLOOKUP(A:A,Sheet1!A:A,Sheet1!F:F)</f>
        <v>54</v>
      </c>
      <c r="E833" s="2" t="str">
        <f>_xlfn.XLOOKUP(A:A,Sheet1!A:A,Sheet1!G:G)</f>
        <v>Spain</v>
      </c>
      <c r="F833" s="8" t="str">
        <f>_xlfn.XLOOKUP(A:A,Sheet1!A:A,Sheet1!H:H)</f>
        <v>Spanish</v>
      </c>
      <c r="G833" s="8" t="str">
        <f>_xlfn.XLOOKUP(A:A,Sheet1!A:A,Sheet1!I:I)</f>
        <v>Blockchain Development</v>
      </c>
      <c r="H833" s="8">
        <f>_xlfn.XLOOKUP(A:A,Sheet1!A:A,Sheet1!K:K)</f>
        <v>3</v>
      </c>
      <c r="I833" s="9">
        <f>_xlfn.XLOOKUP(A:A,Sheet1!A:A,Sheet1!M:M)</f>
        <v>20</v>
      </c>
      <c r="J833" s="10">
        <f>_xlfn.XLOOKUP(A:A,Sheet1!A:A,Sheet1!O:O)</f>
        <v>1.6</v>
      </c>
      <c r="K833" t="str">
        <f>_xlfn.XLOOKUP(A:A,Sheet1!A:A,Sheet1!P:P)</f>
        <v>Yes</v>
      </c>
      <c r="L833" s="12">
        <f>_xlfn.XLOOKUP(A:A,Sheet1!A:A,Sheet1!S:S)</f>
        <v>0.7</v>
      </c>
    </row>
    <row r="834" spans="1:12" x14ac:dyDescent="0.35">
      <c r="A834" s="8" t="s">
        <v>1687</v>
      </c>
      <c r="B834" s="2" t="str">
        <f>_xlfn.XLOOKUP(A834,Sheet1!A:A,Sheet1!B:B)</f>
        <v>Julia Reid</v>
      </c>
      <c r="C834" s="2" t="str">
        <f>_xlfn.XLOOKUP(A:A,Sheet1!A:A,Sheet1!D:D)</f>
        <v>Female</v>
      </c>
      <c r="D834" s="8">
        <f>_xlfn.XLOOKUP(A:A,Sheet1!A:A,Sheet1!F:F)</f>
        <v>34</v>
      </c>
      <c r="E834" s="2" t="str">
        <f>_xlfn.XLOOKUP(A:A,Sheet1!A:A,Sheet1!G:G)</f>
        <v>Egypt</v>
      </c>
      <c r="F834" s="8" t="str">
        <f>_xlfn.XLOOKUP(A:A,Sheet1!A:A,Sheet1!H:H)</f>
        <v>Arabic</v>
      </c>
      <c r="G834" s="8" t="str">
        <f>_xlfn.XLOOKUP(A:A,Sheet1!A:A,Sheet1!I:I)</f>
        <v>Machine Learning</v>
      </c>
      <c r="H834" s="8">
        <f>_xlfn.XLOOKUP(A:A,Sheet1!A:A,Sheet1!K:K)</f>
        <v>4</v>
      </c>
      <c r="I834" s="9">
        <f>_xlfn.XLOOKUP(A:A,Sheet1!A:A,Sheet1!M:M)</f>
        <v>30</v>
      </c>
      <c r="J834" s="10">
        <f>_xlfn.XLOOKUP(A:A,Sheet1!A:A,Sheet1!O:O)</f>
        <v>3.1</v>
      </c>
      <c r="K834" t="str">
        <f>_xlfn.XLOOKUP(A:A,Sheet1!A:A,Sheet1!P:P)</f>
        <v>No</v>
      </c>
      <c r="L834" s="12">
        <f>_xlfn.XLOOKUP(A:A,Sheet1!A:A,Sheet1!S:S)</f>
        <v>0.9</v>
      </c>
    </row>
    <row r="835" spans="1:12" x14ac:dyDescent="0.35">
      <c r="A835" s="8" t="s">
        <v>1689</v>
      </c>
      <c r="B835" s="2" t="str">
        <f>_xlfn.XLOOKUP(A835,Sheet1!A:A,Sheet1!B:B)</f>
        <v>Samantha Matthews</v>
      </c>
      <c r="C835" s="2" t="str">
        <f>_xlfn.XLOOKUP(A:A,Sheet1!A:A,Sheet1!D:D)</f>
        <v>Female</v>
      </c>
      <c r="D835" s="8">
        <f>_xlfn.XLOOKUP(A:A,Sheet1!A:A,Sheet1!F:F)</f>
        <v>20</v>
      </c>
      <c r="E835" s="2" t="str">
        <f>_xlfn.XLOOKUP(A:A,Sheet1!A:A,Sheet1!G:G)</f>
        <v>Italy</v>
      </c>
      <c r="F835" s="8" t="str">
        <f>_xlfn.XLOOKUP(A:A,Sheet1!A:A,Sheet1!H:H)</f>
        <v>Italian</v>
      </c>
      <c r="G835" s="8" t="str">
        <f>_xlfn.XLOOKUP(A:A,Sheet1!A:A,Sheet1!I:I)</f>
        <v>DevOps</v>
      </c>
      <c r="H835" s="8">
        <f>_xlfn.XLOOKUP(A:A,Sheet1!A:A,Sheet1!K:K)</f>
        <v>1</v>
      </c>
      <c r="I835" s="9">
        <f>_xlfn.XLOOKUP(A:A,Sheet1!A:A,Sheet1!M:M)</f>
        <v>50</v>
      </c>
      <c r="J835" s="10">
        <f>_xlfn.XLOOKUP(A:A,Sheet1!A:A,Sheet1!O:O)</f>
        <v>3.4</v>
      </c>
      <c r="K835" t="str">
        <f>_xlfn.XLOOKUP(A:A,Sheet1!A:A,Sheet1!P:P)</f>
        <v>Yes</v>
      </c>
      <c r="L835" s="12">
        <f>_xlfn.XLOOKUP(A:A,Sheet1!A:A,Sheet1!S:S)</f>
        <v>0.79</v>
      </c>
    </row>
    <row r="836" spans="1:12" x14ac:dyDescent="0.35">
      <c r="A836" s="8" t="s">
        <v>1691</v>
      </c>
      <c r="B836" s="2" t="str">
        <f>_xlfn.XLOOKUP(A836,Sheet1!A:A,Sheet1!B:B)</f>
        <v>Brian Bailey</v>
      </c>
      <c r="C836" s="2" t="str">
        <f>_xlfn.XLOOKUP(A:A,Sheet1!A:A,Sheet1!D:D)</f>
        <v>Male</v>
      </c>
      <c r="D836" s="8">
        <f>_xlfn.XLOOKUP(A:A,Sheet1!A:A,Sheet1!F:F)</f>
        <v>29</v>
      </c>
      <c r="E836" s="2" t="str">
        <f>_xlfn.XLOOKUP(A:A,Sheet1!A:A,Sheet1!G:G)</f>
        <v>Germany</v>
      </c>
      <c r="F836" s="8" t="str">
        <f>_xlfn.XLOOKUP(A:A,Sheet1!A:A,Sheet1!H:H)</f>
        <v>German</v>
      </c>
      <c r="G836" s="8" t="str">
        <f>_xlfn.XLOOKUP(A:A,Sheet1!A:A,Sheet1!I:I)</f>
        <v>AI</v>
      </c>
      <c r="H836" s="8">
        <f>_xlfn.XLOOKUP(A:A,Sheet1!A:A,Sheet1!K:K)</f>
        <v>8</v>
      </c>
      <c r="I836" s="9">
        <f>_xlfn.XLOOKUP(A:A,Sheet1!A:A,Sheet1!M:M)</f>
        <v>40</v>
      </c>
      <c r="J836" s="10">
        <f>_xlfn.XLOOKUP(A:A,Sheet1!A:A,Sheet1!O:O)</f>
        <v>3.1</v>
      </c>
      <c r="K836" t="str">
        <f>_xlfn.XLOOKUP(A:A,Sheet1!A:A,Sheet1!P:P)</f>
        <v>No</v>
      </c>
      <c r="L836" s="12">
        <f>_xlfn.XLOOKUP(A:A,Sheet1!A:A,Sheet1!S:S)</f>
        <v>0.6</v>
      </c>
    </row>
    <row r="837" spans="1:12" x14ac:dyDescent="0.35">
      <c r="A837" s="8" t="s">
        <v>1693</v>
      </c>
      <c r="B837" s="2" t="str">
        <f>_xlfn.XLOOKUP(A837,Sheet1!A:A,Sheet1!B:B)</f>
        <v>Toni Hinton</v>
      </c>
      <c r="C837" s="2" t="str">
        <f>_xlfn.XLOOKUP(A:A,Sheet1!A:A,Sheet1!D:D)</f>
        <v>Female</v>
      </c>
      <c r="D837" s="8">
        <f>_xlfn.XLOOKUP(A:A,Sheet1!A:A,Sheet1!F:F)</f>
        <v>57</v>
      </c>
      <c r="E837" s="2" t="str">
        <f>_xlfn.XLOOKUP(A:A,Sheet1!A:A,Sheet1!G:G)</f>
        <v>United Kingdom</v>
      </c>
      <c r="F837" s="8" t="str">
        <f>_xlfn.XLOOKUP(A:A,Sheet1!A:A,Sheet1!H:H)</f>
        <v>English</v>
      </c>
      <c r="G837" s="8" t="str">
        <f>_xlfn.XLOOKUP(A:A,Sheet1!A:A,Sheet1!I:I)</f>
        <v>DevOps</v>
      </c>
      <c r="H837" s="8">
        <f>_xlfn.XLOOKUP(A:A,Sheet1!A:A,Sheet1!K:K)</f>
        <v>11</v>
      </c>
      <c r="I837" s="9">
        <f>_xlfn.XLOOKUP(A:A,Sheet1!A:A,Sheet1!M:M)</f>
        <v>75</v>
      </c>
      <c r="J837" s="10">
        <f>_xlfn.XLOOKUP(A:A,Sheet1!A:A,Sheet1!O:O)</f>
        <v>2.2999999999999998</v>
      </c>
      <c r="K837" t="str">
        <f>_xlfn.XLOOKUP(A:A,Sheet1!A:A,Sheet1!P:P)</f>
        <v>No</v>
      </c>
      <c r="L837" s="12">
        <f>_xlfn.XLOOKUP(A:A,Sheet1!A:A,Sheet1!S:S)</f>
        <v>0.79269417475728277</v>
      </c>
    </row>
    <row r="838" spans="1:12" x14ac:dyDescent="0.35">
      <c r="A838" s="8" t="s">
        <v>1695</v>
      </c>
      <c r="B838" s="2" t="str">
        <f>_xlfn.XLOOKUP(A838,Sheet1!A:A,Sheet1!B:B)</f>
        <v>Robin Ortiz</v>
      </c>
      <c r="C838" s="2" t="str">
        <f>_xlfn.XLOOKUP(A:A,Sheet1!A:A,Sheet1!D:D)</f>
        <v>Female</v>
      </c>
      <c r="D838" s="8">
        <f>_xlfn.XLOOKUP(A:A,Sheet1!A:A,Sheet1!F:F)</f>
        <v>36</v>
      </c>
      <c r="E838" s="2" t="str">
        <f>_xlfn.XLOOKUP(A:A,Sheet1!A:A,Sheet1!G:G)</f>
        <v>Netherlands</v>
      </c>
      <c r="F838" s="8" t="str">
        <f>_xlfn.XLOOKUP(A:A,Sheet1!A:A,Sheet1!H:H)</f>
        <v>Dutch</v>
      </c>
      <c r="G838" s="8" t="str">
        <f>_xlfn.XLOOKUP(A:A,Sheet1!A:A,Sheet1!I:I)</f>
        <v>AI</v>
      </c>
      <c r="H838" s="8">
        <f>_xlfn.XLOOKUP(A:A,Sheet1!A:A,Sheet1!K:K)</f>
        <v>8</v>
      </c>
      <c r="I838" s="9">
        <f>_xlfn.XLOOKUP(A:A,Sheet1!A:A,Sheet1!M:M)</f>
        <v>40</v>
      </c>
      <c r="J838" s="10">
        <f>_xlfn.XLOOKUP(A:A,Sheet1!A:A,Sheet1!O:O)</f>
        <v>2.5125695216907653</v>
      </c>
      <c r="K838" t="str">
        <f>_xlfn.XLOOKUP(A:A,Sheet1!A:A,Sheet1!P:P)</f>
        <v>No</v>
      </c>
      <c r="L838" s="12">
        <f>_xlfn.XLOOKUP(A:A,Sheet1!A:A,Sheet1!S:S)</f>
        <v>0.8</v>
      </c>
    </row>
    <row r="839" spans="1:12" x14ac:dyDescent="0.35">
      <c r="A839" s="8" t="s">
        <v>1697</v>
      </c>
      <c r="B839" s="2" t="str">
        <f>_xlfn.XLOOKUP(A839,Sheet1!A:A,Sheet1!B:B)</f>
        <v>Adam Griffith</v>
      </c>
      <c r="C839" s="2" t="str">
        <f>_xlfn.XLOOKUP(A:A,Sheet1!A:A,Sheet1!D:D)</f>
        <v>Male</v>
      </c>
      <c r="D839" s="8">
        <f>_xlfn.XLOOKUP(A:A,Sheet1!A:A,Sheet1!F:F)</f>
        <v>51</v>
      </c>
      <c r="E839" s="2" t="str">
        <f>_xlfn.XLOOKUP(A:A,Sheet1!A:A,Sheet1!G:G)</f>
        <v>South Korea</v>
      </c>
      <c r="F839" s="8" t="str">
        <f>_xlfn.XLOOKUP(A:A,Sheet1!A:A,Sheet1!H:H)</f>
        <v>Korean</v>
      </c>
      <c r="G839" s="8" t="str">
        <f>_xlfn.XLOOKUP(A:A,Sheet1!A:A,Sheet1!I:I)</f>
        <v>Web Development</v>
      </c>
      <c r="H839" s="8">
        <f>_xlfn.XLOOKUP(A:A,Sheet1!A:A,Sheet1!K:K)</f>
        <v>32</v>
      </c>
      <c r="I839" s="9">
        <f>_xlfn.XLOOKUP(A:A,Sheet1!A:A,Sheet1!M:M)</f>
        <v>50</v>
      </c>
      <c r="J839" s="10">
        <f>_xlfn.XLOOKUP(A:A,Sheet1!A:A,Sheet1!O:O)</f>
        <v>3.2</v>
      </c>
      <c r="K839" t="str">
        <f>_xlfn.XLOOKUP(A:A,Sheet1!A:A,Sheet1!P:P)</f>
        <v>No</v>
      </c>
      <c r="L839" s="12">
        <f>_xlfn.XLOOKUP(A:A,Sheet1!A:A,Sheet1!S:S)</f>
        <v>0.88</v>
      </c>
    </row>
    <row r="840" spans="1:12" x14ac:dyDescent="0.35">
      <c r="A840" s="8" t="s">
        <v>1699</v>
      </c>
      <c r="B840" s="2" t="str">
        <f>_xlfn.XLOOKUP(A840,Sheet1!A:A,Sheet1!B:B)</f>
        <v>Daniel Roberson</v>
      </c>
      <c r="C840" s="2" t="str">
        <f>_xlfn.XLOOKUP(A:A,Sheet1!A:A,Sheet1!D:D)</f>
        <v>Male</v>
      </c>
      <c r="D840" s="8">
        <f>_xlfn.XLOOKUP(A:A,Sheet1!A:A,Sheet1!F:F)</f>
        <v>44</v>
      </c>
      <c r="E840" s="2" t="str">
        <f>_xlfn.XLOOKUP(A:A,Sheet1!A:A,Sheet1!G:G)</f>
        <v>India</v>
      </c>
      <c r="F840" s="8" t="str">
        <f>_xlfn.XLOOKUP(A:A,Sheet1!A:A,Sheet1!H:H)</f>
        <v>Hindi</v>
      </c>
      <c r="G840" s="8" t="str">
        <f>_xlfn.XLOOKUP(A:A,Sheet1!A:A,Sheet1!I:I)</f>
        <v>UI/UX Design</v>
      </c>
      <c r="H840" s="8">
        <f>_xlfn.XLOOKUP(A:A,Sheet1!A:A,Sheet1!K:K)</f>
        <v>4</v>
      </c>
      <c r="I840" s="9">
        <f>_xlfn.XLOOKUP(A:A,Sheet1!A:A,Sheet1!M:M)</f>
        <v>30</v>
      </c>
      <c r="J840" s="11">
        <v>0</v>
      </c>
      <c r="K840" t="str">
        <f>_xlfn.XLOOKUP(A:A,Sheet1!A:A,Sheet1!P:P)</f>
        <v>No</v>
      </c>
      <c r="L840" s="12">
        <f>_xlfn.XLOOKUP(A:A,Sheet1!A:A,Sheet1!S:S)</f>
        <v>0.8</v>
      </c>
    </row>
    <row r="841" spans="1:12" x14ac:dyDescent="0.35">
      <c r="A841" s="8" t="s">
        <v>1701</v>
      </c>
      <c r="B841" s="2" t="str">
        <f>_xlfn.XLOOKUP(A841,Sheet1!A:A,Sheet1!B:B)</f>
        <v>Dale Haynes</v>
      </c>
      <c r="C841" s="2" t="str">
        <f>_xlfn.XLOOKUP(A:A,Sheet1!A:A,Sheet1!D:D)</f>
        <v>Male</v>
      </c>
      <c r="D841" s="8">
        <f>_xlfn.XLOOKUP(A:A,Sheet1!A:A,Sheet1!F:F)</f>
        <v>58</v>
      </c>
      <c r="E841" s="2" t="str">
        <f>_xlfn.XLOOKUP(A:A,Sheet1!A:A,Sheet1!G:G)</f>
        <v>Spain</v>
      </c>
      <c r="F841" s="8" t="str">
        <f>_xlfn.XLOOKUP(A:A,Sheet1!A:A,Sheet1!H:H)</f>
        <v>Spanish</v>
      </c>
      <c r="G841" s="8" t="str">
        <f>_xlfn.XLOOKUP(A:A,Sheet1!A:A,Sheet1!I:I)</f>
        <v>Cybersecurity</v>
      </c>
      <c r="H841" s="8">
        <f>_xlfn.XLOOKUP(A:A,Sheet1!A:A,Sheet1!K:K)</f>
        <v>33</v>
      </c>
      <c r="I841" s="9">
        <f>_xlfn.XLOOKUP(A:A,Sheet1!A:A,Sheet1!M:M)</f>
        <v>30</v>
      </c>
      <c r="J841" s="10">
        <f>_xlfn.XLOOKUP(A:A,Sheet1!A:A,Sheet1!O:O)</f>
        <v>3.3</v>
      </c>
      <c r="K841" t="str">
        <f>_xlfn.XLOOKUP(A:A,Sheet1!A:A,Sheet1!P:P)</f>
        <v>Yes</v>
      </c>
      <c r="L841" s="12">
        <f>_xlfn.XLOOKUP(A:A,Sheet1!A:A,Sheet1!S:S)</f>
        <v>0.71</v>
      </c>
    </row>
    <row r="842" spans="1:12" x14ac:dyDescent="0.35">
      <c r="A842" s="8" t="s">
        <v>1703</v>
      </c>
      <c r="B842" s="2" t="str">
        <f>_xlfn.XLOOKUP(A842,Sheet1!A:A,Sheet1!B:B)</f>
        <v>Emily Scott</v>
      </c>
      <c r="C842" s="2" t="str">
        <f>_xlfn.XLOOKUP(A:A,Sheet1!A:A,Sheet1!D:D)</f>
        <v>Female</v>
      </c>
      <c r="D842" s="8">
        <f>_xlfn.XLOOKUP(A:A,Sheet1!A:A,Sheet1!F:F)</f>
        <v>38</v>
      </c>
      <c r="E842" s="2" t="str">
        <f>_xlfn.XLOOKUP(A:A,Sheet1!A:A,Sheet1!G:G)</f>
        <v>South Africa</v>
      </c>
      <c r="F842" s="8" t="str">
        <f>_xlfn.XLOOKUP(A:A,Sheet1!A:A,Sheet1!H:H)</f>
        <v>Afrikaans</v>
      </c>
      <c r="G842" s="8" t="str">
        <f>_xlfn.XLOOKUP(A:A,Sheet1!A:A,Sheet1!I:I)</f>
        <v>Mobile Apps</v>
      </c>
      <c r="H842" s="8">
        <f>_xlfn.XLOOKUP(A:A,Sheet1!A:A,Sheet1!K:K)</f>
        <v>14</v>
      </c>
      <c r="I842" s="9">
        <f>_xlfn.XLOOKUP(A:A,Sheet1!A:A,Sheet1!M:M)</f>
        <v>40</v>
      </c>
      <c r="J842" s="10">
        <f>_xlfn.XLOOKUP(A:A,Sheet1!A:A,Sheet1!O:O)</f>
        <v>1.1000000000000001</v>
      </c>
      <c r="K842" t="str">
        <f>_xlfn.XLOOKUP(A:A,Sheet1!A:A,Sheet1!P:P)</f>
        <v>Yes</v>
      </c>
      <c r="L842" s="12">
        <f>_xlfn.XLOOKUP(A:A,Sheet1!A:A,Sheet1!S:S)</f>
        <v>0.76</v>
      </c>
    </row>
    <row r="843" spans="1:12" x14ac:dyDescent="0.35">
      <c r="A843" s="8" t="s">
        <v>1705</v>
      </c>
      <c r="B843" s="2" t="str">
        <f>_xlfn.XLOOKUP(A843,Sheet1!A:A,Sheet1!B:B)</f>
        <v>David Brown</v>
      </c>
      <c r="C843" s="2" t="str">
        <f>_xlfn.XLOOKUP(A:A,Sheet1!A:A,Sheet1!D:D)</f>
        <v>Male</v>
      </c>
      <c r="D843" s="8">
        <f>_xlfn.XLOOKUP(A:A,Sheet1!A:A,Sheet1!F:F)</f>
        <v>24</v>
      </c>
      <c r="E843" s="2" t="str">
        <f>_xlfn.XLOOKUP(A:A,Sheet1!A:A,Sheet1!G:G)</f>
        <v>United States</v>
      </c>
      <c r="F843" s="8" t="str">
        <f>_xlfn.XLOOKUP(A:A,Sheet1!A:A,Sheet1!H:H)</f>
        <v>English</v>
      </c>
      <c r="G843" s="8" t="str">
        <f>_xlfn.XLOOKUP(A:A,Sheet1!A:A,Sheet1!I:I)</f>
        <v>UI/UX Design</v>
      </c>
      <c r="H843" s="8">
        <f>_xlfn.XLOOKUP(A:A,Sheet1!A:A,Sheet1!K:K)</f>
        <v>6</v>
      </c>
      <c r="I843" s="9">
        <f>_xlfn.XLOOKUP(A:A,Sheet1!A:A,Sheet1!M:M)</f>
        <v>30</v>
      </c>
      <c r="J843" s="10">
        <f>_xlfn.XLOOKUP(A:A,Sheet1!A:A,Sheet1!O:O)</f>
        <v>4.5999999999999996</v>
      </c>
      <c r="K843" t="str">
        <f>_xlfn.XLOOKUP(A:A,Sheet1!A:A,Sheet1!P:P)</f>
        <v>Yes</v>
      </c>
      <c r="L843" s="12">
        <f>_xlfn.XLOOKUP(A:A,Sheet1!A:A,Sheet1!S:S)</f>
        <v>0.93</v>
      </c>
    </row>
    <row r="844" spans="1:12" x14ac:dyDescent="0.35">
      <c r="A844" s="8" t="s">
        <v>1707</v>
      </c>
      <c r="B844" s="2" t="str">
        <f>_xlfn.XLOOKUP(A844,Sheet1!A:A,Sheet1!B:B)</f>
        <v>Stephanie Guzman</v>
      </c>
      <c r="C844" s="2" t="str">
        <f>_xlfn.XLOOKUP(A:A,Sheet1!A:A,Sheet1!D:D)</f>
        <v>Female</v>
      </c>
      <c r="D844" s="8">
        <f>_xlfn.XLOOKUP(A:A,Sheet1!A:A,Sheet1!F:F)</f>
        <v>30</v>
      </c>
      <c r="E844" s="2" t="str">
        <f>_xlfn.XLOOKUP(A:A,Sheet1!A:A,Sheet1!G:G)</f>
        <v>Turkey</v>
      </c>
      <c r="F844" s="8" t="str">
        <f>_xlfn.XLOOKUP(A:A,Sheet1!A:A,Sheet1!H:H)</f>
        <v>Turkish</v>
      </c>
      <c r="G844" s="8" t="str">
        <f>_xlfn.XLOOKUP(A:A,Sheet1!A:A,Sheet1!I:I)</f>
        <v>Blockchain Development</v>
      </c>
      <c r="H844" s="8">
        <f>_xlfn.XLOOKUP(A:A,Sheet1!A:A,Sheet1!K:K)</f>
        <v>5</v>
      </c>
      <c r="I844" s="9">
        <f>_xlfn.XLOOKUP(A:A,Sheet1!A:A,Sheet1!M:M)</f>
        <v>30</v>
      </c>
      <c r="J844" s="10">
        <f>_xlfn.XLOOKUP(A:A,Sheet1!A:A,Sheet1!O:O)</f>
        <v>2.5125695216907653</v>
      </c>
      <c r="K844" t="str">
        <f>_xlfn.XLOOKUP(A:A,Sheet1!A:A,Sheet1!P:P)</f>
        <v>No</v>
      </c>
      <c r="L844" s="12">
        <f>_xlfn.XLOOKUP(A:A,Sheet1!A:A,Sheet1!S:S)</f>
        <v>0.79269417475728277</v>
      </c>
    </row>
    <row r="845" spans="1:12" x14ac:dyDescent="0.35">
      <c r="A845" s="8" t="s">
        <v>1709</v>
      </c>
      <c r="B845" s="2" t="str">
        <f>_xlfn.XLOOKUP(A845,Sheet1!A:A,Sheet1!B:B)</f>
        <v>Maxwell Johnson</v>
      </c>
      <c r="C845" s="2" t="str">
        <f>_xlfn.XLOOKUP(A:A,Sheet1!A:A,Sheet1!D:D)</f>
        <v>Male</v>
      </c>
      <c r="D845" s="8">
        <f>_xlfn.XLOOKUP(A:A,Sheet1!A:A,Sheet1!F:F)</f>
        <v>25</v>
      </c>
      <c r="E845" s="2" t="str">
        <f>_xlfn.XLOOKUP(A:A,Sheet1!A:A,Sheet1!G:G)</f>
        <v>Indonesia</v>
      </c>
      <c r="F845" s="8" t="str">
        <f>_xlfn.XLOOKUP(A:A,Sheet1!A:A,Sheet1!H:H)</f>
        <v>Indonesian</v>
      </c>
      <c r="G845" s="8" t="str">
        <f>_xlfn.XLOOKUP(A:A,Sheet1!A:A,Sheet1!I:I)</f>
        <v>Cybersecurity</v>
      </c>
      <c r="H845" s="8">
        <f>_xlfn.XLOOKUP(A:A,Sheet1!A:A,Sheet1!K:K)</f>
        <v>3</v>
      </c>
      <c r="I845" s="9">
        <f>_xlfn.XLOOKUP(A:A,Sheet1!A:A,Sheet1!M:M)</f>
        <v>75</v>
      </c>
      <c r="J845" s="10">
        <f>_xlfn.XLOOKUP(A:A,Sheet1!A:A,Sheet1!O:O)</f>
        <v>2.5125695216907653</v>
      </c>
      <c r="K845" t="str">
        <f>_xlfn.XLOOKUP(A:A,Sheet1!A:A,Sheet1!P:P)</f>
        <v>No</v>
      </c>
      <c r="L845" s="12">
        <f>_xlfn.XLOOKUP(A:A,Sheet1!A:A,Sheet1!S:S)</f>
        <v>0.83</v>
      </c>
    </row>
    <row r="846" spans="1:12" x14ac:dyDescent="0.35">
      <c r="A846" s="8" t="s">
        <v>1711</v>
      </c>
      <c r="B846" s="2" t="str">
        <f>_xlfn.XLOOKUP(A846,Sheet1!A:A,Sheet1!B:B)</f>
        <v>Reginald Stephens</v>
      </c>
      <c r="C846" s="2" t="str">
        <f>_xlfn.XLOOKUP(A:A,Sheet1!A:A,Sheet1!D:D)</f>
        <v>Male</v>
      </c>
      <c r="D846" s="8">
        <f>_xlfn.XLOOKUP(A:A,Sheet1!A:A,Sheet1!F:F)</f>
        <v>54</v>
      </c>
      <c r="E846" s="2" t="str">
        <f>_xlfn.XLOOKUP(A:A,Sheet1!A:A,Sheet1!G:G)</f>
        <v>Indonesia</v>
      </c>
      <c r="F846" s="8" t="str">
        <f>_xlfn.XLOOKUP(A:A,Sheet1!A:A,Sheet1!H:H)</f>
        <v>Indonesian</v>
      </c>
      <c r="G846" s="8" t="str">
        <f>_xlfn.XLOOKUP(A:A,Sheet1!A:A,Sheet1!I:I)</f>
        <v>Mobile Apps</v>
      </c>
      <c r="H846" s="8">
        <f>_xlfn.XLOOKUP(A:A,Sheet1!A:A,Sheet1!K:K)</f>
        <v>17</v>
      </c>
      <c r="I846" s="9">
        <f>_xlfn.XLOOKUP(A:A,Sheet1!A:A,Sheet1!M:M)</f>
        <v>100</v>
      </c>
      <c r="J846" s="11">
        <v>0</v>
      </c>
      <c r="K846" t="str">
        <f>_xlfn.XLOOKUP(A:A,Sheet1!A:A,Sheet1!P:P)</f>
        <v>No</v>
      </c>
      <c r="L846" s="12">
        <f>_xlfn.XLOOKUP(A:A,Sheet1!A:A,Sheet1!S:S)</f>
        <v>0.71</v>
      </c>
    </row>
    <row r="847" spans="1:12" x14ac:dyDescent="0.35">
      <c r="A847" s="8" t="s">
        <v>1713</v>
      </c>
      <c r="B847" s="2" t="str">
        <f>_xlfn.XLOOKUP(A847,Sheet1!A:A,Sheet1!B:B)</f>
        <v>Justin Jones</v>
      </c>
      <c r="C847" s="2" t="str">
        <f>_xlfn.XLOOKUP(A:A,Sheet1!A:A,Sheet1!D:D)</f>
        <v>Male</v>
      </c>
      <c r="D847" s="8">
        <f>_xlfn.XLOOKUP(A:A,Sheet1!A:A,Sheet1!F:F)</f>
        <v>54</v>
      </c>
      <c r="E847" s="2" t="str">
        <f>_xlfn.XLOOKUP(A:A,Sheet1!A:A,Sheet1!G:G)</f>
        <v>Italy</v>
      </c>
      <c r="F847" s="8" t="str">
        <f>_xlfn.XLOOKUP(A:A,Sheet1!A:A,Sheet1!H:H)</f>
        <v>Italian</v>
      </c>
      <c r="G847" s="8" t="str">
        <f>_xlfn.XLOOKUP(A:A,Sheet1!A:A,Sheet1!I:I)</f>
        <v>Cybersecurity</v>
      </c>
      <c r="H847" s="8">
        <f>_xlfn.XLOOKUP(A:A,Sheet1!A:A,Sheet1!K:K)</f>
        <v>9</v>
      </c>
      <c r="I847" s="9">
        <f>_xlfn.XLOOKUP(A:A,Sheet1!A:A,Sheet1!M:M)</f>
        <v>20</v>
      </c>
      <c r="J847" s="11">
        <v>0</v>
      </c>
      <c r="K847" t="str">
        <f>_xlfn.XLOOKUP(A:A,Sheet1!A:A,Sheet1!P:P)</f>
        <v>Yes</v>
      </c>
      <c r="L847" s="12">
        <f>_xlfn.XLOOKUP(A:A,Sheet1!A:A,Sheet1!S:S)</f>
        <v>0.96</v>
      </c>
    </row>
    <row r="848" spans="1:12" x14ac:dyDescent="0.35">
      <c r="A848" s="8" t="s">
        <v>1715</v>
      </c>
      <c r="B848" s="2" t="str">
        <f>_xlfn.XLOOKUP(A848,Sheet1!A:A,Sheet1!B:B)</f>
        <v>Kristine Garcia</v>
      </c>
      <c r="C848" s="2" t="str">
        <f>_xlfn.XLOOKUP(A:A,Sheet1!A:A,Sheet1!D:D)</f>
        <v>Female</v>
      </c>
      <c r="D848" s="8">
        <f>_xlfn.XLOOKUP(A:A,Sheet1!A:A,Sheet1!F:F)</f>
        <v>53</v>
      </c>
      <c r="E848" s="2" t="str">
        <f>_xlfn.XLOOKUP(A:A,Sheet1!A:A,Sheet1!G:G)</f>
        <v>France</v>
      </c>
      <c r="F848" s="8" t="str">
        <f>_xlfn.XLOOKUP(A:A,Sheet1!A:A,Sheet1!H:H)</f>
        <v>French</v>
      </c>
      <c r="G848" s="8" t="str">
        <f>_xlfn.XLOOKUP(A:A,Sheet1!A:A,Sheet1!I:I)</f>
        <v>Graphic Design</v>
      </c>
      <c r="H848" s="8">
        <f>_xlfn.XLOOKUP(A:A,Sheet1!A:A,Sheet1!K:K)</f>
        <v>16</v>
      </c>
      <c r="I848" s="9">
        <f>_xlfn.XLOOKUP(A:A,Sheet1!A:A,Sheet1!M:M)</f>
        <v>40</v>
      </c>
      <c r="J848" s="11">
        <v>0</v>
      </c>
      <c r="K848" t="str">
        <f>_xlfn.XLOOKUP(A:A,Sheet1!A:A,Sheet1!P:P)</f>
        <v>No</v>
      </c>
      <c r="L848" s="12">
        <f>_xlfn.XLOOKUP(A:A,Sheet1!A:A,Sheet1!S:S)</f>
        <v>0.79269417475728277</v>
      </c>
    </row>
    <row r="849" spans="1:12" x14ac:dyDescent="0.35">
      <c r="A849" s="8" t="s">
        <v>1717</v>
      </c>
      <c r="B849" s="2" t="str">
        <f>_xlfn.XLOOKUP(A849,Sheet1!A:A,Sheet1!B:B)</f>
        <v>John Nguyen</v>
      </c>
      <c r="C849" s="2" t="str">
        <f>_xlfn.XLOOKUP(A:A,Sheet1!A:A,Sheet1!D:D)</f>
        <v>Male</v>
      </c>
      <c r="D849" s="8">
        <f>_xlfn.XLOOKUP(A:A,Sheet1!A:A,Sheet1!F:F)</f>
        <v>22</v>
      </c>
      <c r="E849" s="2" t="str">
        <f>_xlfn.XLOOKUP(A:A,Sheet1!A:A,Sheet1!G:G)</f>
        <v>Russia</v>
      </c>
      <c r="F849" s="8" t="str">
        <f>_xlfn.XLOOKUP(A:A,Sheet1!A:A,Sheet1!H:H)</f>
        <v>Russian</v>
      </c>
      <c r="G849" s="8" t="str">
        <f>_xlfn.XLOOKUP(A:A,Sheet1!A:A,Sheet1!I:I)</f>
        <v>AI</v>
      </c>
      <c r="H849" s="8">
        <f>_xlfn.XLOOKUP(A:A,Sheet1!A:A,Sheet1!K:K)</f>
        <v>3</v>
      </c>
      <c r="I849" s="9">
        <f>_xlfn.XLOOKUP(A:A,Sheet1!A:A,Sheet1!M:M)</f>
        <v>75</v>
      </c>
      <c r="J849" s="10">
        <f>_xlfn.XLOOKUP(A:A,Sheet1!A:A,Sheet1!O:O)</f>
        <v>3.4</v>
      </c>
      <c r="K849" t="str">
        <f>_xlfn.XLOOKUP(A:A,Sheet1!A:A,Sheet1!P:P)</f>
        <v>Yes</v>
      </c>
      <c r="L849" s="12">
        <f>_xlfn.XLOOKUP(A:A,Sheet1!A:A,Sheet1!S:S)</f>
        <v>0.65</v>
      </c>
    </row>
    <row r="850" spans="1:12" x14ac:dyDescent="0.35">
      <c r="A850" s="8" t="s">
        <v>1719</v>
      </c>
      <c r="B850" s="2" t="str">
        <f>_xlfn.XLOOKUP(A850,Sheet1!A:A,Sheet1!B:B)</f>
        <v>Anna Fleming</v>
      </c>
      <c r="C850" s="2" t="str">
        <f>_xlfn.XLOOKUP(A:A,Sheet1!A:A,Sheet1!D:D)</f>
        <v>Female</v>
      </c>
      <c r="D850" s="8">
        <f>_xlfn.XLOOKUP(A:A,Sheet1!A:A,Sheet1!F:F)</f>
        <v>23</v>
      </c>
      <c r="E850" s="2" t="str">
        <f>_xlfn.XLOOKUP(A:A,Sheet1!A:A,Sheet1!G:G)</f>
        <v>Mexico</v>
      </c>
      <c r="F850" s="8" t="str">
        <f>_xlfn.XLOOKUP(A:A,Sheet1!A:A,Sheet1!H:H)</f>
        <v>Spanish</v>
      </c>
      <c r="G850" s="8" t="str">
        <f>_xlfn.XLOOKUP(A:A,Sheet1!A:A,Sheet1!I:I)</f>
        <v>Data Analysis</v>
      </c>
      <c r="H850" s="8">
        <f>_xlfn.XLOOKUP(A:A,Sheet1!A:A,Sheet1!K:K)</f>
        <v>2</v>
      </c>
      <c r="I850" s="9">
        <f>_xlfn.XLOOKUP(A:A,Sheet1!A:A,Sheet1!M:M)</f>
        <v>20</v>
      </c>
      <c r="J850" s="10">
        <f>_xlfn.XLOOKUP(A:A,Sheet1!A:A,Sheet1!O:O)</f>
        <v>1.3</v>
      </c>
      <c r="K850" t="str">
        <f>_xlfn.XLOOKUP(A:A,Sheet1!A:A,Sheet1!P:P)</f>
        <v>No</v>
      </c>
      <c r="L850" s="12">
        <f>_xlfn.XLOOKUP(A:A,Sheet1!A:A,Sheet1!S:S)</f>
        <v>0.79269417475728277</v>
      </c>
    </row>
    <row r="851" spans="1:12" x14ac:dyDescent="0.35">
      <c r="A851" s="8" t="s">
        <v>1721</v>
      </c>
      <c r="B851" s="2" t="str">
        <f>_xlfn.XLOOKUP(A851,Sheet1!A:A,Sheet1!B:B)</f>
        <v>Linda Williamson</v>
      </c>
      <c r="C851" s="2" t="str">
        <f>_xlfn.XLOOKUP(A:A,Sheet1!A:A,Sheet1!D:D)</f>
        <v>Female</v>
      </c>
      <c r="D851" s="8">
        <f>_xlfn.XLOOKUP(A:A,Sheet1!A:A,Sheet1!F:F)</f>
        <v>47</v>
      </c>
      <c r="E851" s="2" t="str">
        <f>_xlfn.XLOOKUP(A:A,Sheet1!A:A,Sheet1!G:G)</f>
        <v>France</v>
      </c>
      <c r="F851" s="8" t="str">
        <f>_xlfn.XLOOKUP(A:A,Sheet1!A:A,Sheet1!H:H)</f>
        <v>French</v>
      </c>
      <c r="G851" s="8" t="str">
        <f>_xlfn.XLOOKUP(A:A,Sheet1!A:A,Sheet1!I:I)</f>
        <v>Cybersecurity</v>
      </c>
      <c r="H851" s="8">
        <f>_xlfn.XLOOKUP(A:A,Sheet1!A:A,Sheet1!K:K)</f>
        <v>16</v>
      </c>
      <c r="I851" s="9">
        <f>_xlfn.XLOOKUP(A:A,Sheet1!A:A,Sheet1!M:M)</f>
        <v>50</v>
      </c>
      <c r="J851" s="10">
        <f>_xlfn.XLOOKUP(A:A,Sheet1!A:A,Sheet1!O:O)</f>
        <v>1.9</v>
      </c>
      <c r="K851" t="str">
        <f>_xlfn.XLOOKUP(A:A,Sheet1!A:A,Sheet1!P:P)</f>
        <v>No</v>
      </c>
      <c r="L851" s="12">
        <f>_xlfn.XLOOKUP(A:A,Sheet1!A:A,Sheet1!S:S)</f>
        <v>0.71</v>
      </c>
    </row>
    <row r="852" spans="1:12" x14ac:dyDescent="0.35">
      <c r="A852" s="8" t="s">
        <v>1723</v>
      </c>
      <c r="B852" s="2" t="str">
        <f>_xlfn.XLOOKUP(A852,Sheet1!A:A,Sheet1!B:B)</f>
        <v>Roy Wilson</v>
      </c>
      <c r="C852" s="2" t="str">
        <f>_xlfn.XLOOKUP(A:A,Sheet1!A:A,Sheet1!D:D)</f>
        <v>Male</v>
      </c>
      <c r="D852" s="8">
        <f>_xlfn.XLOOKUP(A:A,Sheet1!A:A,Sheet1!F:F)</f>
        <v>24</v>
      </c>
      <c r="E852" s="2" t="str">
        <f>_xlfn.XLOOKUP(A:A,Sheet1!A:A,Sheet1!G:G)</f>
        <v>France</v>
      </c>
      <c r="F852" s="8" t="str">
        <f>_xlfn.XLOOKUP(A:A,Sheet1!A:A,Sheet1!H:H)</f>
        <v>French</v>
      </c>
      <c r="G852" s="8" t="str">
        <f>_xlfn.XLOOKUP(A:A,Sheet1!A:A,Sheet1!I:I)</f>
        <v>Web Development</v>
      </c>
      <c r="H852" s="8">
        <f>_xlfn.XLOOKUP(A:A,Sheet1!A:A,Sheet1!K:K)</f>
        <v>6</v>
      </c>
      <c r="I852" s="9">
        <f>_xlfn.XLOOKUP(A:A,Sheet1!A:A,Sheet1!M:M)</f>
        <v>50</v>
      </c>
      <c r="J852" s="10">
        <f>_xlfn.XLOOKUP(A:A,Sheet1!A:A,Sheet1!O:O)</f>
        <v>1.4</v>
      </c>
      <c r="K852" t="str">
        <f>_xlfn.XLOOKUP(A:A,Sheet1!A:A,Sheet1!P:P)</f>
        <v>Yes</v>
      </c>
      <c r="L852" s="12">
        <f>_xlfn.XLOOKUP(A:A,Sheet1!A:A,Sheet1!S:S)</f>
        <v>0.63</v>
      </c>
    </row>
    <row r="853" spans="1:12" x14ac:dyDescent="0.35">
      <c r="A853" s="8" t="s">
        <v>1725</v>
      </c>
      <c r="B853" s="2" t="str">
        <f>_xlfn.XLOOKUP(A853,Sheet1!A:A,Sheet1!B:B)</f>
        <v>Jennifer Pierce</v>
      </c>
      <c r="C853" s="2" t="str">
        <f>_xlfn.XLOOKUP(A:A,Sheet1!A:A,Sheet1!D:D)</f>
        <v>Female</v>
      </c>
      <c r="D853" s="8">
        <f>_xlfn.XLOOKUP(A:A,Sheet1!A:A,Sheet1!F:F)</f>
        <v>57</v>
      </c>
      <c r="E853" s="2" t="str">
        <f>_xlfn.XLOOKUP(A:A,Sheet1!A:A,Sheet1!G:G)</f>
        <v>India</v>
      </c>
      <c r="F853" s="8" t="str">
        <f>_xlfn.XLOOKUP(A:A,Sheet1!A:A,Sheet1!H:H)</f>
        <v>Hindi</v>
      </c>
      <c r="G853" s="8" t="str">
        <f>_xlfn.XLOOKUP(A:A,Sheet1!A:A,Sheet1!I:I)</f>
        <v>UI/UX Design</v>
      </c>
      <c r="H853" s="8">
        <f>_xlfn.XLOOKUP(A:A,Sheet1!A:A,Sheet1!K:K)</f>
        <v>10</v>
      </c>
      <c r="I853" s="9">
        <f>_xlfn.XLOOKUP(A:A,Sheet1!A:A,Sheet1!M:M)</f>
        <v>100</v>
      </c>
      <c r="J853" s="10">
        <f>_xlfn.XLOOKUP(A:A,Sheet1!A:A,Sheet1!O:O)</f>
        <v>4.3</v>
      </c>
      <c r="K853" t="str">
        <f>_xlfn.XLOOKUP(A:A,Sheet1!A:A,Sheet1!P:P)</f>
        <v>No</v>
      </c>
      <c r="L853" s="12">
        <f>_xlfn.XLOOKUP(A:A,Sheet1!A:A,Sheet1!S:S)</f>
        <v>0.79269417475728277</v>
      </c>
    </row>
    <row r="854" spans="1:12" x14ac:dyDescent="0.35">
      <c r="A854" s="8" t="s">
        <v>1727</v>
      </c>
      <c r="B854" s="2" t="str">
        <f>_xlfn.XLOOKUP(A854,Sheet1!A:A,Sheet1!B:B)</f>
        <v>Jason Johnson</v>
      </c>
      <c r="C854" s="2" t="str">
        <f>_xlfn.XLOOKUP(A:A,Sheet1!A:A,Sheet1!D:D)</f>
        <v>Male</v>
      </c>
      <c r="D854" s="8">
        <f>_xlfn.XLOOKUP(A:A,Sheet1!A:A,Sheet1!F:F)</f>
        <v>48</v>
      </c>
      <c r="E854" s="2" t="str">
        <f>_xlfn.XLOOKUP(A:A,Sheet1!A:A,Sheet1!G:G)</f>
        <v>Spain</v>
      </c>
      <c r="F854" s="8" t="str">
        <f>_xlfn.XLOOKUP(A:A,Sheet1!A:A,Sheet1!H:H)</f>
        <v>Spanish</v>
      </c>
      <c r="G854" s="8" t="str">
        <f>_xlfn.XLOOKUP(A:A,Sheet1!A:A,Sheet1!I:I)</f>
        <v>Graphic Design</v>
      </c>
      <c r="H854" s="8">
        <f>_xlfn.XLOOKUP(A:A,Sheet1!A:A,Sheet1!K:K)</f>
        <v>16</v>
      </c>
      <c r="I854" s="9">
        <f>_xlfn.XLOOKUP(A:A,Sheet1!A:A,Sheet1!M:M)</f>
        <v>30</v>
      </c>
      <c r="J854" s="10">
        <f>_xlfn.XLOOKUP(A:A,Sheet1!A:A,Sheet1!O:O)</f>
        <v>2.5125695216907653</v>
      </c>
      <c r="K854" t="str">
        <f>_xlfn.XLOOKUP(A:A,Sheet1!A:A,Sheet1!P:P)</f>
        <v>No</v>
      </c>
      <c r="L854" s="12">
        <f>_xlfn.XLOOKUP(A:A,Sheet1!A:A,Sheet1!S:S)</f>
        <v>0.97</v>
      </c>
    </row>
    <row r="855" spans="1:12" x14ac:dyDescent="0.35">
      <c r="A855" s="8" t="s">
        <v>1729</v>
      </c>
      <c r="B855" s="2" t="str">
        <f>_xlfn.XLOOKUP(A855,Sheet1!A:A,Sheet1!B:B)</f>
        <v>Jasmine Lane</v>
      </c>
      <c r="C855" s="2" t="str">
        <f>_xlfn.XLOOKUP(A:A,Sheet1!A:A,Sheet1!D:D)</f>
        <v>Female</v>
      </c>
      <c r="D855" s="8">
        <f>_xlfn.XLOOKUP(A:A,Sheet1!A:A,Sheet1!F:F)</f>
        <v>21</v>
      </c>
      <c r="E855" s="2" t="str">
        <f>_xlfn.XLOOKUP(A:A,Sheet1!A:A,Sheet1!G:G)</f>
        <v>Turkey</v>
      </c>
      <c r="F855" s="8" t="str">
        <f>_xlfn.XLOOKUP(A:A,Sheet1!A:A,Sheet1!H:H)</f>
        <v>Turkish</v>
      </c>
      <c r="G855" s="8" t="str">
        <f>_xlfn.XLOOKUP(A:A,Sheet1!A:A,Sheet1!I:I)</f>
        <v>UI/UX Design</v>
      </c>
      <c r="H855" s="8">
        <f>_xlfn.XLOOKUP(A:A,Sheet1!A:A,Sheet1!K:K)</f>
        <v>0</v>
      </c>
      <c r="I855" s="9">
        <f>_xlfn.XLOOKUP(A:A,Sheet1!A:A,Sheet1!M:M)</f>
        <v>100</v>
      </c>
      <c r="J855" s="10">
        <f>_xlfn.XLOOKUP(A:A,Sheet1!A:A,Sheet1!O:O)</f>
        <v>4.3</v>
      </c>
      <c r="K855" t="str">
        <f>_xlfn.XLOOKUP(A:A,Sheet1!A:A,Sheet1!P:P)</f>
        <v>No</v>
      </c>
      <c r="L855" s="12">
        <f>_xlfn.XLOOKUP(A:A,Sheet1!A:A,Sheet1!S:S)</f>
        <v>0.79269417475728277</v>
      </c>
    </row>
    <row r="856" spans="1:12" x14ac:dyDescent="0.35">
      <c r="A856" s="8" t="s">
        <v>1731</v>
      </c>
      <c r="B856" s="2" t="str">
        <f>_xlfn.XLOOKUP(A856,Sheet1!A:A,Sheet1!B:B)</f>
        <v>Evan Soto</v>
      </c>
      <c r="C856" s="2" t="str">
        <f>_xlfn.XLOOKUP(A:A,Sheet1!A:A,Sheet1!D:D)</f>
        <v>Male</v>
      </c>
      <c r="D856" s="8">
        <f>_xlfn.XLOOKUP(A:A,Sheet1!A:A,Sheet1!F:F)</f>
        <v>33</v>
      </c>
      <c r="E856" s="2" t="str">
        <f>_xlfn.XLOOKUP(A:A,Sheet1!A:A,Sheet1!G:G)</f>
        <v>Japan</v>
      </c>
      <c r="F856" s="8" t="str">
        <f>_xlfn.XLOOKUP(A:A,Sheet1!A:A,Sheet1!H:H)</f>
        <v>Japanese</v>
      </c>
      <c r="G856" s="8" t="str">
        <f>_xlfn.XLOOKUP(A:A,Sheet1!A:A,Sheet1!I:I)</f>
        <v>AI</v>
      </c>
      <c r="H856" s="8">
        <f>_xlfn.XLOOKUP(A:A,Sheet1!A:A,Sheet1!K:K)</f>
        <v>13</v>
      </c>
      <c r="I856" s="9">
        <f>_xlfn.XLOOKUP(A:A,Sheet1!A:A,Sheet1!M:M)</f>
        <v>75</v>
      </c>
      <c r="J856" s="11">
        <v>0</v>
      </c>
      <c r="K856" t="str">
        <f>_xlfn.XLOOKUP(A:A,Sheet1!A:A,Sheet1!P:P)</f>
        <v>Yes</v>
      </c>
      <c r="L856" s="12">
        <f>_xlfn.XLOOKUP(A:A,Sheet1!A:A,Sheet1!S:S)</f>
        <v>0.79269417475728277</v>
      </c>
    </row>
    <row r="857" spans="1:12" x14ac:dyDescent="0.35">
      <c r="A857" s="8" t="s">
        <v>1733</v>
      </c>
      <c r="B857" s="2" t="str">
        <f>_xlfn.XLOOKUP(A857,Sheet1!A:A,Sheet1!B:B)</f>
        <v>Kevin Serrano</v>
      </c>
      <c r="C857" s="2" t="str">
        <f>_xlfn.XLOOKUP(A:A,Sheet1!A:A,Sheet1!D:D)</f>
        <v>Male</v>
      </c>
      <c r="D857" s="8">
        <f>_xlfn.XLOOKUP(A:A,Sheet1!A:A,Sheet1!F:F)</f>
        <v>41</v>
      </c>
      <c r="E857" s="2" t="str">
        <f>_xlfn.XLOOKUP(A:A,Sheet1!A:A,Sheet1!G:G)</f>
        <v>Turkey</v>
      </c>
      <c r="F857" s="8" t="str">
        <f>_xlfn.XLOOKUP(A:A,Sheet1!A:A,Sheet1!H:H)</f>
        <v>Turkish</v>
      </c>
      <c r="G857" s="8" t="str">
        <f>_xlfn.XLOOKUP(A:A,Sheet1!A:A,Sheet1!I:I)</f>
        <v>DevOps</v>
      </c>
      <c r="H857" s="8">
        <f>_xlfn.XLOOKUP(A:A,Sheet1!A:A,Sheet1!K:K)</f>
        <v>12</v>
      </c>
      <c r="I857" s="9">
        <f>_xlfn.XLOOKUP(A:A,Sheet1!A:A,Sheet1!M:M)</f>
        <v>40</v>
      </c>
      <c r="J857" s="10">
        <f>_xlfn.XLOOKUP(A:A,Sheet1!A:A,Sheet1!O:O)</f>
        <v>1.3</v>
      </c>
      <c r="K857" t="str">
        <f>_xlfn.XLOOKUP(A:A,Sheet1!A:A,Sheet1!P:P)</f>
        <v>No</v>
      </c>
      <c r="L857" s="12">
        <f>_xlfn.XLOOKUP(A:A,Sheet1!A:A,Sheet1!S:S)</f>
        <v>0.85</v>
      </c>
    </row>
    <row r="858" spans="1:12" x14ac:dyDescent="0.35">
      <c r="A858" s="8" t="s">
        <v>1735</v>
      </c>
      <c r="B858" s="2" t="str">
        <f>_xlfn.XLOOKUP(A858,Sheet1!A:A,Sheet1!B:B)</f>
        <v>Nathaniel Benson</v>
      </c>
      <c r="C858" s="2" t="str">
        <f>_xlfn.XLOOKUP(A:A,Sheet1!A:A,Sheet1!D:D)</f>
        <v>Male</v>
      </c>
      <c r="D858" s="8">
        <f>_xlfn.XLOOKUP(A:A,Sheet1!A:A,Sheet1!F:F)</f>
        <v>40</v>
      </c>
      <c r="E858" s="2" t="str">
        <f>_xlfn.XLOOKUP(A:A,Sheet1!A:A,Sheet1!G:G)</f>
        <v>Australia</v>
      </c>
      <c r="F858" s="8" t="str">
        <f>_xlfn.XLOOKUP(A:A,Sheet1!A:A,Sheet1!H:H)</f>
        <v>English</v>
      </c>
      <c r="G858" s="8" t="str">
        <f>_xlfn.XLOOKUP(A:A,Sheet1!A:A,Sheet1!I:I)</f>
        <v>Cybersecurity</v>
      </c>
      <c r="H858" s="8">
        <f>_xlfn.XLOOKUP(A:A,Sheet1!A:A,Sheet1!K:K)</f>
        <v>13</v>
      </c>
      <c r="I858" s="9">
        <f>_xlfn.XLOOKUP(A:A,Sheet1!A:A,Sheet1!M:M)</f>
        <v>50</v>
      </c>
      <c r="J858" s="10">
        <f>_xlfn.XLOOKUP(A:A,Sheet1!A:A,Sheet1!O:O)</f>
        <v>2.9</v>
      </c>
      <c r="K858" t="str">
        <f>_xlfn.XLOOKUP(A:A,Sheet1!A:A,Sheet1!P:P)</f>
        <v>No</v>
      </c>
      <c r="L858" s="12">
        <f>_xlfn.XLOOKUP(A:A,Sheet1!A:A,Sheet1!S:S)</f>
        <v>0.82</v>
      </c>
    </row>
    <row r="859" spans="1:12" x14ac:dyDescent="0.35">
      <c r="A859" s="8" t="s">
        <v>1737</v>
      </c>
      <c r="B859" s="2" t="str">
        <f>_xlfn.XLOOKUP(A859,Sheet1!A:A,Sheet1!B:B)</f>
        <v>Deanna Miles</v>
      </c>
      <c r="C859" s="2" t="str">
        <f>_xlfn.XLOOKUP(A:A,Sheet1!A:A,Sheet1!D:D)</f>
        <v>Female</v>
      </c>
      <c r="D859" s="8">
        <f>_xlfn.XLOOKUP(A:A,Sheet1!A:A,Sheet1!F:F)</f>
        <v>40</v>
      </c>
      <c r="E859" s="2" t="str">
        <f>_xlfn.XLOOKUP(A:A,Sheet1!A:A,Sheet1!G:G)</f>
        <v>Mexico</v>
      </c>
      <c r="F859" s="8" t="str">
        <f>_xlfn.XLOOKUP(A:A,Sheet1!A:A,Sheet1!H:H)</f>
        <v>Spanish</v>
      </c>
      <c r="G859" s="8" t="str">
        <f>_xlfn.XLOOKUP(A:A,Sheet1!A:A,Sheet1!I:I)</f>
        <v>Graphic Design</v>
      </c>
      <c r="H859" s="8">
        <f>_xlfn.XLOOKUP(A:A,Sheet1!A:A,Sheet1!K:K)</f>
        <v>22</v>
      </c>
      <c r="I859" s="9">
        <f>_xlfn.XLOOKUP(A:A,Sheet1!A:A,Sheet1!M:M)</f>
        <v>40</v>
      </c>
      <c r="J859" s="10">
        <f>_xlfn.XLOOKUP(A:A,Sheet1!A:A,Sheet1!O:O)</f>
        <v>4.3</v>
      </c>
      <c r="K859" t="str">
        <f>_xlfn.XLOOKUP(A:A,Sheet1!A:A,Sheet1!P:P)</f>
        <v>No</v>
      </c>
      <c r="L859" s="12">
        <f>_xlfn.XLOOKUP(A:A,Sheet1!A:A,Sheet1!S:S)</f>
        <v>0.95</v>
      </c>
    </row>
    <row r="860" spans="1:12" x14ac:dyDescent="0.35">
      <c r="A860" s="8" t="s">
        <v>1739</v>
      </c>
      <c r="B860" s="2" t="str">
        <f>_xlfn.XLOOKUP(A860,Sheet1!A:A,Sheet1!B:B)</f>
        <v>Beverly Roy</v>
      </c>
      <c r="C860" s="2" t="str">
        <f>_xlfn.XLOOKUP(A:A,Sheet1!A:A,Sheet1!D:D)</f>
        <v>Female</v>
      </c>
      <c r="D860" s="8">
        <f>_xlfn.XLOOKUP(A:A,Sheet1!A:A,Sheet1!F:F)</f>
        <v>20</v>
      </c>
      <c r="E860" s="2" t="str">
        <f>_xlfn.XLOOKUP(A:A,Sheet1!A:A,Sheet1!G:G)</f>
        <v>United States</v>
      </c>
      <c r="F860" s="8" t="str">
        <f>_xlfn.XLOOKUP(A:A,Sheet1!A:A,Sheet1!H:H)</f>
        <v>English</v>
      </c>
      <c r="G860" s="8" t="str">
        <f>_xlfn.XLOOKUP(A:A,Sheet1!A:A,Sheet1!I:I)</f>
        <v>Graphic Design</v>
      </c>
      <c r="H860" s="8">
        <f>_xlfn.XLOOKUP(A:A,Sheet1!A:A,Sheet1!K:K)</f>
        <v>1</v>
      </c>
      <c r="I860" s="9">
        <f>_xlfn.XLOOKUP(A:A,Sheet1!A:A,Sheet1!M:M)</f>
        <v>40</v>
      </c>
      <c r="J860" s="10">
        <f>_xlfn.XLOOKUP(A:A,Sheet1!A:A,Sheet1!O:O)</f>
        <v>2.7</v>
      </c>
      <c r="K860" t="str">
        <f>_xlfn.XLOOKUP(A:A,Sheet1!A:A,Sheet1!P:P)</f>
        <v>No</v>
      </c>
      <c r="L860" s="12">
        <f>_xlfn.XLOOKUP(A:A,Sheet1!A:A,Sheet1!S:S)</f>
        <v>0.94</v>
      </c>
    </row>
    <row r="861" spans="1:12" x14ac:dyDescent="0.35">
      <c r="A861" s="8" t="s">
        <v>1741</v>
      </c>
      <c r="B861" s="2" t="str">
        <f>_xlfn.XLOOKUP(A861,Sheet1!A:A,Sheet1!B:B)</f>
        <v>Heather Saunders</v>
      </c>
      <c r="C861" s="2" t="str">
        <f>_xlfn.XLOOKUP(A:A,Sheet1!A:A,Sheet1!D:D)</f>
        <v>Female</v>
      </c>
      <c r="D861" s="8">
        <f>_xlfn.XLOOKUP(A:A,Sheet1!A:A,Sheet1!F:F)</f>
        <v>42</v>
      </c>
      <c r="E861" s="2" t="str">
        <f>_xlfn.XLOOKUP(A:A,Sheet1!A:A,Sheet1!G:G)</f>
        <v>Mexico</v>
      </c>
      <c r="F861" s="8" t="str">
        <f>_xlfn.XLOOKUP(A:A,Sheet1!A:A,Sheet1!H:H)</f>
        <v>Spanish</v>
      </c>
      <c r="G861" s="8" t="str">
        <f>_xlfn.XLOOKUP(A:A,Sheet1!A:A,Sheet1!I:I)</f>
        <v>Web Development</v>
      </c>
      <c r="H861" s="8">
        <f>_xlfn.XLOOKUP(A:A,Sheet1!A:A,Sheet1!K:K)</f>
        <v>9</v>
      </c>
      <c r="I861" s="9">
        <f>_xlfn.XLOOKUP(A:A,Sheet1!A:A,Sheet1!M:M)</f>
        <v>50</v>
      </c>
      <c r="J861" s="10">
        <f>_xlfn.XLOOKUP(A:A,Sheet1!A:A,Sheet1!O:O)</f>
        <v>4.2</v>
      </c>
      <c r="K861" t="str">
        <f>_xlfn.XLOOKUP(A:A,Sheet1!A:A,Sheet1!P:P)</f>
        <v>No</v>
      </c>
      <c r="L861" s="12">
        <f>_xlfn.XLOOKUP(A:A,Sheet1!A:A,Sheet1!S:S)</f>
        <v>0.96</v>
      </c>
    </row>
    <row r="862" spans="1:12" x14ac:dyDescent="0.35">
      <c r="A862" s="8" t="s">
        <v>1743</v>
      </c>
      <c r="B862" s="2" t="str">
        <f>_xlfn.XLOOKUP(A862,Sheet1!A:A,Sheet1!B:B)</f>
        <v>Nicholas Guerrero</v>
      </c>
      <c r="C862" s="2" t="str">
        <f>_xlfn.XLOOKUP(A:A,Sheet1!A:A,Sheet1!D:D)</f>
        <v>Male</v>
      </c>
      <c r="D862" s="8">
        <f>_xlfn.XLOOKUP(A:A,Sheet1!A:A,Sheet1!F:F)</f>
        <v>32</v>
      </c>
      <c r="E862" s="2" t="str">
        <f>_xlfn.XLOOKUP(A:A,Sheet1!A:A,Sheet1!G:G)</f>
        <v>Canada</v>
      </c>
      <c r="F862" s="8" t="str">
        <f>_xlfn.XLOOKUP(A:A,Sheet1!A:A,Sheet1!H:H)</f>
        <v>English</v>
      </c>
      <c r="G862" s="8" t="str">
        <f>_xlfn.XLOOKUP(A:A,Sheet1!A:A,Sheet1!I:I)</f>
        <v>Blockchain Development</v>
      </c>
      <c r="H862" s="8">
        <f>_xlfn.XLOOKUP(A:A,Sheet1!A:A,Sheet1!K:K)</f>
        <v>12</v>
      </c>
      <c r="I862" s="9">
        <f>_xlfn.XLOOKUP(A:A,Sheet1!A:A,Sheet1!M:M)</f>
        <v>40</v>
      </c>
      <c r="J862" s="11">
        <v>0</v>
      </c>
      <c r="K862" t="str">
        <f>_xlfn.XLOOKUP(A:A,Sheet1!A:A,Sheet1!P:P)</f>
        <v>Yes</v>
      </c>
      <c r="L862" s="12">
        <f>_xlfn.XLOOKUP(A:A,Sheet1!A:A,Sheet1!S:S)</f>
        <v>0.63</v>
      </c>
    </row>
    <row r="863" spans="1:12" x14ac:dyDescent="0.35">
      <c r="A863" s="8" t="s">
        <v>1745</v>
      </c>
      <c r="B863" s="2" t="str">
        <f>_xlfn.XLOOKUP(A863,Sheet1!A:A,Sheet1!B:B)</f>
        <v>Christopher Johnson</v>
      </c>
      <c r="C863" s="2" t="str">
        <f>_xlfn.XLOOKUP(A:A,Sheet1!A:A,Sheet1!D:D)</f>
        <v>Male</v>
      </c>
      <c r="D863" s="8">
        <f>_xlfn.XLOOKUP(A:A,Sheet1!A:A,Sheet1!F:F)</f>
        <v>60</v>
      </c>
      <c r="E863" s="2" t="str">
        <f>_xlfn.XLOOKUP(A:A,Sheet1!A:A,Sheet1!G:G)</f>
        <v>Japan</v>
      </c>
      <c r="F863" s="8" t="str">
        <f>_xlfn.XLOOKUP(A:A,Sheet1!A:A,Sheet1!H:H)</f>
        <v>Japanese</v>
      </c>
      <c r="G863" s="8" t="str">
        <f>_xlfn.XLOOKUP(A:A,Sheet1!A:A,Sheet1!I:I)</f>
        <v>AI</v>
      </c>
      <c r="H863" s="8">
        <f>_xlfn.XLOOKUP(A:A,Sheet1!A:A,Sheet1!K:K)</f>
        <v>9</v>
      </c>
      <c r="I863" s="9">
        <f>_xlfn.XLOOKUP(A:A,Sheet1!A:A,Sheet1!M:M)</f>
        <v>20</v>
      </c>
      <c r="J863" s="10">
        <f>_xlfn.XLOOKUP(A:A,Sheet1!A:A,Sheet1!O:O)</f>
        <v>2.2000000000000002</v>
      </c>
      <c r="K863" t="str">
        <f>_xlfn.XLOOKUP(A:A,Sheet1!A:A,Sheet1!P:P)</f>
        <v>No</v>
      </c>
      <c r="L863" s="12">
        <f>_xlfn.XLOOKUP(A:A,Sheet1!A:A,Sheet1!S:S)</f>
        <v>0.6</v>
      </c>
    </row>
    <row r="864" spans="1:12" x14ac:dyDescent="0.35">
      <c r="A864" s="8" t="s">
        <v>1747</v>
      </c>
      <c r="B864" s="2" t="str">
        <f>_xlfn.XLOOKUP(A864,Sheet1!A:A,Sheet1!B:B)</f>
        <v>Steven Flowers</v>
      </c>
      <c r="C864" s="2" t="str">
        <f>_xlfn.XLOOKUP(A:A,Sheet1!A:A,Sheet1!D:D)</f>
        <v>Male</v>
      </c>
      <c r="D864" s="8">
        <f>_xlfn.XLOOKUP(A:A,Sheet1!A:A,Sheet1!F:F)</f>
        <v>46</v>
      </c>
      <c r="E864" s="2" t="str">
        <f>_xlfn.XLOOKUP(A:A,Sheet1!A:A,Sheet1!G:G)</f>
        <v>Egypt</v>
      </c>
      <c r="F864" s="8" t="str">
        <f>_xlfn.XLOOKUP(A:A,Sheet1!A:A,Sheet1!H:H)</f>
        <v>Arabic</v>
      </c>
      <c r="G864" s="8" t="str">
        <f>_xlfn.XLOOKUP(A:A,Sheet1!A:A,Sheet1!I:I)</f>
        <v>Machine Learning</v>
      </c>
      <c r="H864" s="8">
        <f>_xlfn.XLOOKUP(A:A,Sheet1!A:A,Sheet1!K:K)</f>
        <v>12</v>
      </c>
      <c r="I864" s="9">
        <f>_xlfn.XLOOKUP(A:A,Sheet1!A:A,Sheet1!M:M)</f>
        <v>50</v>
      </c>
      <c r="J864" s="10">
        <f>_xlfn.XLOOKUP(A:A,Sheet1!A:A,Sheet1!O:O)</f>
        <v>4.7</v>
      </c>
      <c r="K864" t="str">
        <f>_xlfn.XLOOKUP(A:A,Sheet1!A:A,Sheet1!P:P)</f>
        <v>Yes</v>
      </c>
      <c r="L864" s="12">
        <f>_xlfn.XLOOKUP(A:A,Sheet1!A:A,Sheet1!S:S)</f>
        <v>0.77</v>
      </c>
    </row>
    <row r="865" spans="1:12" x14ac:dyDescent="0.35">
      <c r="A865" s="8" t="s">
        <v>1749</v>
      </c>
      <c r="B865" s="2" t="str">
        <f>_xlfn.XLOOKUP(A865,Sheet1!A:A,Sheet1!B:B)</f>
        <v xml:space="preserve">Marvin Woods </v>
      </c>
      <c r="C865" s="2" t="str">
        <f>_xlfn.XLOOKUP(A:A,Sheet1!A:A,Sheet1!D:D)</f>
        <v>Male</v>
      </c>
      <c r="D865" s="8">
        <f>_xlfn.XLOOKUP(A:A,Sheet1!A:A,Sheet1!F:F)</f>
        <v>29</v>
      </c>
      <c r="E865" s="2" t="str">
        <f>_xlfn.XLOOKUP(A:A,Sheet1!A:A,Sheet1!G:G)</f>
        <v>China</v>
      </c>
      <c r="F865" s="8" t="str">
        <f>_xlfn.XLOOKUP(A:A,Sheet1!A:A,Sheet1!H:H)</f>
        <v>Mandarin</v>
      </c>
      <c r="G865" s="8" t="str">
        <f>_xlfn.XLOOKUP(A:A,Sheet1!A:A,Sheet1!I:I)</f>
        <v>DevOps</v>
      </c>
      <c r="H865" s="8">
        <f>_xlfn.XLOOKUP(A:A,Sheet1!A:A,Sheet1!K:K)</f>
        <v>0</v>
      </c>
      <c r="I865" s="9">
        <f>_xlfn.XLOOKUP(A:A,Sheet1!A:A,Sheet1!M:M)</f>
        <v>30</v>
      </c>
      <c r="J865" s="11">
        <v>0</v>
      </c>
      <c r="K865" t="str">
        <f>_xlfn.XLOOKUP(A:A,Sheet1!A:A,Sheet1!P:P)</f>
        <v>No</v>
      </c>
      <c r="L865" s="12">
        <f>_xlfn.XLOOKUP(A:A,Sheet1!A:A,Sheet1!S:S)</f>
        <v>0.63</v>
      </c>
    </row>
    <row r="866" spans="1:12" x14ac:dyDescent="0.35">
      <c r="A866" s="8" t="s">
        <v>1750</v>
      </c>
      <c r="B866" s="2" t="str">
        <f>_xlfn.XLOOKUP(A866,Sheet1!A:A,Sheet1!B:B)</f>
        <v>Michelle Cook</v>
      </c>
      <c r="C866" s="2" t="str">
        <f>_xlfn.XLOOKUP(A:A,Sheet1!A:A,Sheet1!D:D)</f>
        <v>Female</v>
      </c>
      <c r="D866" s="8">
        <f>_xlfn.XLOOKUP(A:A,Sheet1!A:A,Sheet1!F:F)</f>
        <v>39</v>
      </c>
      <c r="E866" s="2" t="str">
        <f>_xlfn.XLOOKUP(A:A,Sheet1!A:A,Sheet1!G:G)</f>
        <v>Brazil</v>
      </c>
      <c r="F866" s="8" t="str">
        <f>_xlfn.XLOOKUP(A:A,Sheet1!A:A,Sheet1!H:H)</f>
        <v>Portuguese</v>
      </c>
      <c r="G866" s="8" t="str">
        <f>_xlfn.XLOOKUP(A:A,Sheet1!A:A,Sheet1!I:I)</f>
        <v>Mobile Apps</v>
      </c>
      <c r="H866" s="8">
        <f>_xlfn.XLOOKUP(A:A,Sheet1!A:A,Sheet1!K:K)</f>
        <v>18</v>
      </c>
      <c r="I866" s="9">
        <f>_xlfn.XLOOKUP(A:A,Sheet1!A:A,Sheet1!M:M)</f>
        <v>20</v>
      </c>
      <c r="J866" s="10">
        <f>_xlfn.XLOOKUP(A:A,Sheet1!A:A,Sheet1!O:O)</f>
        <v>2.5</v>
      </c>
      <c r="K866" t="str">
        <f>_xlfn.XLOOKUP(A:A,Sheet1!A:A,Sheet1!P:P)</f>
        <v>Yes</v>
      </c>
      <c r="L866" s="12">
        <f>_xlfn.XLOOKUP(A:A,Sheet1!A:A,Sheet1!S:S)</f>
        <v>0.61</v>
      </c>
    </row>
    <row r="867" spans="1:12" x14ac:dyDescent="0.35">
      <c r="A867" s="8" t="s">
        <v>1752</v>
      </c>
      <c r="B867" s="2" t="str">
        <f>_xlfn.XLOOKUP(A867,Sheet1!A:A,Sheet1!B:B)</f>
        <v>Logan Zamora</v>
      </c>
      <c r="C867" s="2" t="str">
        <f>_xlfn.XLOOKUP(A:A,Sheet1!A:A,Sheet1!D:D)</f>
        <v>Male</v>
      </c>
      <c r="D867" s="8">
        <f>_xlfn.XLOOKUP(A:A,Sheet1!A:A,Sheet1!F:F)</f>
        <v>55</v>
      </c>
      <c r="E867" s="2" t="str">
        <f>_xlfn.XLOOKUP(A:A,Sheet1!A:A,Sheet1!G:G)</f>
        <v>Russia</v>
      </c>
      <c r="F867" s="8" t="str">
        <f>_xlfn.XLOOKUP(A:A,Sheet1!A:A,Sheet1!H:H)</f>
        <v>Russian</v>
      </c>
      <c r="G867" s="8" t="str">
        <f>_xlfn.XLOOKUP(A:A,Sheet1!A:A,Sheet1!I:I)</f>
        <v>Mobile Apps</v>
      </c>
      <c r="H867" s="8">
        <f>_xlfn.XLOOKUP(A:A,Sheet1!A:A,Sheet1!K:K)</f>
        <v>2</v>
      </c>
      <c r="I867" s="9">
        <f>_xlfn.XLOOKUP(A:A,Sheet1!A:A,Sheet1!M:M)</f>
        <v>50</v>
      </c>
      <c r="J867" s="10">
        <f>_xlfn.XLOOKUP(A:A,Sheet1!A:A,Sheet1!O:O)</f>
        <v>3.9</v>
      </c>
      <c r="K867" t="str">
        <f>_xlfn.XLOOKUP(A:A,Sheet1!A:A,Sheet1!P:P)</f>
        <v>Yes</v>
      </c>
      <c r="L867" s="12">
        <f>_xlfn.XLOOKUP(A:A,Sheet1!A:A,Sheet1!S:S)</f>
        <v>0.88</v>
      </c>
    </row>
    <row r="868" spans="1:12" x14ac:dyDescent="0.35">
      <c r="A868" s="8" t="s">
        <v>1754</v>
      </c>
      <c r="B868" s="2" t="str">
        <f>_xlfn.XLOOKUP(A868,Sheet1!A:A,Sheet1!B:B)</f>
        <v>Casey Roberts</v>
      </c>
      <c r="C868" s="2" t="str">
        <f>_xlfn.XLOOKUP(A:A,Sheet1!A:A,Sheet1!D:D)</f>
        <v>Male</v>
      </c>
      <c r="D868" s="8">
        <f>_xlfn.XLOOKUP(A:A,Sheet1!A:A,Sheet1!F:F)</f>
        <v>55</v>
      </c>
      <c r="E868" s="2" t="str">
        <f>_xlfn.XLOOKUP(A:A,Sheet1!A:A,Sheet1!G:G)</f>
        <v>Turkey</v>
      </c>
      <c r="F868" s="8" t="str">
        <f>_xlfn.XLOOKUP(A:A,Sheet1!A:A,Sheet1!H:H)</f>
        <v>Turkish</v>
      </c>
      <c r="G868" s="8" t="str">
        <f>_xlfn.XLOOKUP(A:A,Sheet1!A:A,Sheet1!I:I)</f>
        <v>Cybersecurity</v>
      </c>
      <c r="H868" s="8">
        <f>_xlfn.XLOOKUP(A:A,Sheet1!A:A,Sheet1!K:K)</f>
        <v>9</v>
      </c>
      <c r="I868" s="9">
        <f>_xlfn.XLOOKUP(A:A,Sheet1!A:A,Sheet1!M:M)</f>
        <v>100</v>
      </c>
      <c r="J868" s="10">
        <f>_xlfn.XLOOKUP(A:A,Sheet1!A:A,Sheet1!O:O)</f>
        <v>1.2</v>
      </c>
      <c r="K868" t="str">
        <f>_xlfn.XLOOKUP(A:A,Sheet1!A:A,Sheet1!P:P)</f>
        <v>Yes</v>
      </c>
      <c r="L868" s="12">
        <f>_xlfn.XLOOKUP(A:A,Sheet1!A:A,Sheet1!S:S)</f>
        <v>0.69</v>
      </c>
    </row>
    <row r="869" spans="1:12" x14ac:dyDescent="0.35">
      <c r="A869" s="8" t="s">
        <v>1756</v>
      </c>
      <c r="B869" s="2" t="str">
        <f>_xlfn.XLOOKUP(A869,Sheet1!A:A,Sheet1!B:B)</f>
        <v>Jerry Price</v>
      </c>
      <c r="C869" s="2" t="str">
        <f>_xlfn.XLOOKUP(A:A,Sheet1!A:A,Sheet1!D:D)</f>
        <v>Male</v>
      </c>
      <c r="D869" s="8">
        <f>_xlfn.XLOOKUP(A:A,Sheet1!A:A,Sheet1!F:F)</f>
        <v>40</v>
      </c>
      <c r="E869" s="2" t="str">
        <f>_xlfn.XLOOKUP(A:A,Sheet1!A:A,Sheet1!G:G)</f>
        <v>Indonesia</v>
      </c>
      <c r="F869" s="8" t="str">
        <f>_xlfn.XLOOKUP(A:A,Sheet1!A:A,Sheet1!H:H)</f>
        <v>Indonesian</v>
      </c>
      <c r="G869" s="8" t="str">
        <f>_xlfn.XLOOKUP(A:A,Sheet1!A:A,Sheet1!I:I)</f>
        <v>Data Analysis</v>
      </c>
      <c r="H869" s="8">
        <f>_xlfn.XLOOKUP(A:A,Sheet1!A:A,Sheet1!K:K)</f>
        <v>2</v>
      </c>
      <c r="I869" s="9">
        <f>_xlfn.XLOOKUP(A:A,Sheet1!A:A,Sheet1!M:M)</f>
        <v>75</v>
      </c>
      <c r="J869" s="10">
        <f>_xlfn.XLOOKUP(A:A,Sheet1!A:A,Sheet1!O:O)</f>
        <v>4.5</v>
      </c>
      <c r="K869" t="str">
        <f>_xlfn.XLOOKUP(A:A,Sheet1!A:A,Sheet1!P:P)</f>
        <v>Yes</v>
      </c>
      <c r="L869" s="12">
        <f>_xlfn.XLOOKUP(A:A,Sheet1!A:A,Sheet1!S:S)</f>
        <v>0.79269417475728277</v>
      </c>
    </row>
    <row r="870" spans="1:12" x14ac:dyDescent="0.35">
      <c r="A870" s="8" t="s">
        <v>1758</v>
      </c>
      <c r="B870" s="2" t="str">
        <f>_xlfn.XLOOKUP(A870,Sheet1!A:A,Sheet1!B:B)</f>
        <v>Kelly Ellis</v>
      </c>
      <c r="C870" s="2" t="str">
        <f>_xlfn.XLOOKUP(A:A,Sheet1!A:A,Sheet1!D:D)</f>
        <v>Female</v>
      </c>
      <c r="D870" s="8">
        <f>_xlfn.XLOOKUP(A:A,Sheet1!A:A,Sheet1!F:F)</f>
        <v>56</v>
      </c>
      <c r="E870" s="2" t="str">
        <f>_xlfn.XLOOKUP(A:A,Sheet1!A:A,Sheet1!G:G)</f>
        <v>China</v>
      </c>
      <c r="F870" s="8" t="str">
        <f>_xlfn.XLOOKUP(A:A,Sheet1!A:A,Sheet1!H:H)</f>
        <v>Mandarin</v>
      </c>
      <c r="G870" s="8" t="str">
        <f>_xlfn.XLOOKUP(A:A,Sheet1!A:A,Sheet1!I:I)</f>
        <v>UI/UX Design</v>
      </c>
      <c r="H870" s="8">
        <f>_xlfn.XLOOKUP(A:A,Sheet1!A:A,Sheet1!K:K)</f>
        <v>35</v>
      </c>
      <c r="I870" s="9">
        <f>_xlfn.XLOOKUP(A:A,Sheet1!A:A,Sheet1!M:M)</f>
        <v>40</v>
      </c>
      <c r="J870" s="10">
        <f>_xlfn.XLOOKUP(A:A,Sheet1!A:A,Sheet1!O:O)</f>
        <v>2.7</v>
      </c>
      <c r="K870" t="str">
        <f>_xlfn.XLOOKUP(A:A,Sheet1!A:A,Sheet1!P:P)</f>
        <v>Yes</v>
      </c>
      <c r="L870" s="12">
        <f>_xlfn.XLOOKUP(A:A,Sheet1!A:A,Sheet1!S:S)</f>
        <v>0.82</v>
      </c>
    </row>
    <row r="871" spans="1:12" x14ac:dyDescent="0.35">
      <c r="A871" s="8" t="s">
        <v>1760</v>
      </c>
      <c r="B871" s="2" t="str">
        <f>_xlfn.XLOOKUP(A871,Sheet1!A:A,Sheet1!B:B)</f>
        <v>Caleb Guerra</v>
      </c>
      <c r="C871" s="2" t="str">
        <f>_xlfn.XLOOKUP(A:A,Sheet1!A:A,Sheet1!D:D)</f>
        <v>Male</v>
      </c>
      <c r="D871" s="8">
        <f>_xlfn.XLOOKUP(A:A,Sheet1!A:A,Sheet1!F:F)</f>
        <v>57</v>
      </c>
      <c r="E871" s="2" t="str">
        <f>_xlfn.XLOOKUP(A:A,Sheet1!A:A,Sheet1!G:G)</f>
        <v>Mexico</v>
      </c>
      <c r="F871" s="8" t="str">
        <f>_xlfn.XLOOKUP(A:A,Sheet1!A:A,Sheet1!H:H)</f>
        <v>Spanish</v>
      </c>
      <c r="G871" s="8" t="str">
        <f>_xlfn.XLOOKUP(A:A,Sheet1!A:A,Sheet1!I:I)</f>
        <v>Mobile Apps</v>
      </c>
      <c r="H871" s="8">
        <f>_xlfn.XLOOKUP(A:A,Sheet1!A:A,Sheet1!K:K)</f>
        <v>21</v>
      </c>
      <c r="I871" s="9">
        <f>_xlfn.XLOOKUP(A:A,Sheet1!A:A,Sheet1!M:M)</f>
        <v>75</v>
      </c>
      <c r="J871" s="10">
        <f>_xlfn.XLOOKUP(A:A,Sheet1!A:A,Sheet1!O:O)</f>
        <v>2</v>
      </c>
      <c r="K871" t="str">
        <f>_xlfn.XLOOKUP(A:A,Sheet1!A:A,Sheet1!P:P)</f>
        <v>No</v>
      </c>
      <c r="L871" s="12">
        <f>_xlfn.XLOOKUP(A:A,Sheet1!A:A,Sheet1!S:S)</f>
        <v>0.96</v>
      </c>
    </row>
    <row r="872" spans="1:12" x14ac:dyDescent="0.35">
      <c r="A872" s="8" t="s">
        <v>1762</v>
      </c>
      <c r="B872" s="2" t="str">
        <f>_xlfn.XLOOKUP(A872,Sheet1!A:A,Sheet1!B:B)</f>
        <v>Samantha Norman</v>
      </c>
      <c r="C872" s="2" t="str">
        <f>_xlfn.XLOOKUP(A:A,Sheet1!A:A,Sheet1!D:D)</f>
        <v>Female</v>
      </c>
      <c r="D872" s="8">
        <f>_xlfn.XLOOKUP(A:A,Sheet1!A:A,Sheet1!F:F)</f>
        <v>56</v>
      </c>
      <c r="E872" s="2" t="str">
        <f>_xlfn.XLOOKUP(A:A,Sheet1!A:A,Sheet1!G:G)</f>
        <v>Russia</v>
      </c>
      <c r="F872" s="8" t="str">
        <f>_xlfn.XLOOKUP(A:A,Sheet1!A:A,Sheet1!H:H)</f>
        <v>Russian</v>
      </c>
      <c r="G872" s="8" t="str">
        <f>_xlfn.XLOOKUP(A:A,Sheet1!A:A,Sheet1!I:I)</f>
        <v>DevOps</v>
      </c>
      <c r="H872" s="8">
        <f>_xlfn.XLOOKUP(A:A,Sheet1!A:A,Sheet1!K:K)</f>
        <v>3</v>
      </c>
      <c r="I872" s="9">
        <f>_xlfn.XLOOKUP(A:A,Sheet1!A:A,Sheet1!M:M)</f>
        <v>40</v>
      </c>
      <c r="J872" s="10">
        <f>_xlfn.XLOOKUP(A:A,Sheet1!A:A,Sheet1!O:O)</f>
        <v>1.7</v>
      </c>
      <c r="K872" t="str">
        <f>_xlfn.XLOOKUP(A:A,Sheet1!A:A,Sheet1!P:P)</f>
        <v>No</v>
      </c>
      <c r="L872" s="12">
        <f>_xlfn.XLOOKUP(A:A,Sheet1!A:A,Sheet1!S:S)</f>
        <v>0.71</v>
      </c>
    </row>
    <row r="873" spans="1:12" x14ac:dyDescent="0.35">
      <c r="A873" s="8" t="s">
        <v>1764</v>
      </c>
      <c r="B873" s="2" t="str">
        <f>_xlfn.XLOOKUP(A873,Sheet1!A:A,Sheet1!B:B)</f>
        <v>Sarah Clarke</v>
      </c>
      <c r="C873" s="2" t="str">
        <f>_xlfn.XLOOKUP(A:A,Sheet1!A:A,Sheet1!D:D)</f>
        <v>Female</v>
      </c>
      <c r="D873" s="8">
        <f>_xlfn.XLOOKUP(A:A,Sheet1!A:A,Sheet1!F:F)</f>
        <v>49</v>
      </c>
      <c r="E873" s="2" t="str">
        <f>_xlfn.XLOOKUP(A:A,Sheet1!A:A,Sheet1!G:G)</f>
        <v>Germany</v>
      </c>
      <c r="F873" s="8" t="str">
        <f>_xlfn.XLOOKUP(A:A,Sheet1!A:A,Sheet1!H:H)</f>
        <v>German</v>
      </c>
      <c r="G873" s="8" t="str">
        <f>_xlfn.XLOOKUP(A:A,Sheet1!A:A,Sheet1!I:I)</f>
        <v>Mobile Apps</v>
      </c>
      <c r="H873" s="8">
        <f>_xlfn.XLOOKUP(A:A,Sheet1!A:A,Sheet1!K:K)</f>
        <v>24</v>
      </c>
      <c r="I873" s="9">
        <f>_xlfn.XLOOKUP(A:A,Sheet1!A:A,Sheet1!M:M)</f>
        <v>75</v>
      </c>
      <c r="J873" s="10">
        <f>_xlfn.XLOOKUP(A:A,Sheet1!A:A,Sheet1!O:O)</f>
        <v>3</v>
      </c>
      <c r="K873" t="str">
        <f>_xlfn.XLOOKUP(A:A,Sheet1!A:A,Sheet1!P:P)</f>
        <v>Yes</v>
      </c>
      <c r="L873" s="12">
        <f>_xlfn.XLOOKUP(A:A,Sheet1!A:A,Sheet1!S:S)</f>
        <v>0.77</v>
      </c>
    </row>
    <row r="874" spans="1:12" x14ac:dyDescent="0.35">
      <c r="A874" s="8" t="s">
        <v>1766</v>
      </c>
      <c r="B874" s="2" t="str">
        <f>_xlfn.XLOOKUP(A874,Sheet1!A:A,Sheet1!B:B)</f>
        <v>Aaron Blair</v>
      </c>
      <c r="C874" s="2" t="str">
        <f>_xlfn.XLOOKUP(A:A,Sheet1!A:A,Sheet1!D:D)</f>
        <v>Male</v>
      </c>
      <c r="D874" s="8">
        <f>_xlfn.XLOOKUP(A:A,Sheet1!A:A,Sheet1!F:F)</f>
        <v>26</v>
      </c>
      <c r="E874" s="2" t="str">
        <f>_xlfn.XLOOKUP(A:A,Sheet1!A:A,Sheet1!G:G)</f>
        <v>Spain</v>
      </c>
      <c r="F874" s="8" t="str">
        <f>_xlfn.XLOOKUP(A:A,Sheet1!A:A,Sheet1!H:H)</f>
        <v>Spanish</v>
      </c>
      <c r="G874" s="8" t="str">
        <f>_xlfn.XLOOKUP(A:A,Sheet1!A:A,Sheet1!I:I)</f>
        <v>Blockchain Development</v>
      </c>
      <c r="H874" s="8">
        <f>_xlfn.XLOOKUP(A:A,Sheet1!A:A,Sheet1!K:K)</f>
        <v>9</v>
      </c>
      <c r="I874" s="9">
        <f>_xlfn.XLOOKUP(A:A,Sheet1!A:A,Sheet1!M:M)</f>
        <v>75</v>
      </c>
      <c r="J874" s="10">
        <f>_xlfn.XLOOKUP(A:A,Sheet1!A:A,Sheet1!O:O)</f>
        <v>2.1</v>
      </c>
      <c r="K874" t="str">
        <f>_xlfn.XLOOKUP(A:A,Sheet1!A:A,Sheet1!P:P)</f>
        <v>Yes</v>
      </c>
      <c r="L874" s="12">
        <f>_xlfn.XLOOKUP(A:A,Sheet1!A:A,Sheet1!S:S)</f>
        <v>0.79269417475728277</v>
      </c>
    </row>
    <row r="875" spans="1:12" x14ac:dyDescent="0.35">
      <c r="A875" s="8" t="s">
        <v>1768</v>
      </c>
      <c r="B875" s="2" t="str">
        <f>_xlfn.XLOOKUP(A875,Sheet1!A:A,Sheet1!B:B)</f>
        <v>Courtney Burton</v>
      </c>
      <c r="C875" s="2" t="str">
        <f>_xlfn.XLOOKUP(A:A,Sheet1!A:A,Sheet1!D:D)</f>
        <v>Female</v>
      </c>
      <c r="D875" s="8">
        <f>_xlfn.XLOOKUP(A:A,Sheet1!A:A,Sheet1!F:F)</f>
        <v>36</v>
      </c>
      <c r="E875" s="2" t="str">
        <f>_xlfn.XLOOKUP(A:A,Sheet1!A:A,Sheet1!G:G)</f>
        <v>South Korea</v>
      </c>
      <c r="F875" s="8" t="str">
        <f>_xlfn.XLOOKUP(A:A,Sheet1!A:A,Sheet1!H:H)</f>
        <v>Korean</v>
      </c>
      <c r="G875" s="8" t="str">
        <f>_xlfn.XLOOKUP(A:A,Sheet1!A:A,Sheet1!I:I)</f>
        <v>UI/UX Design</v>
      </c>
      <c r="H875" s="8">
        <f>_xlfn.XLOOKUP(A:A,Sheet1!A:A,Sheet1!K:K)</f>
        <v>0</v>
      </c>
      <c r="I875" s="9">
        <f>_xlfn.XLOOKUP(A:A,Sheet1!A:A,Sheet1!M:M)</f>
        <v>75</v>
      </c>
      <c r="J875" s="10">
        <f>_xlfn.XLOOKUP(A:A,Sheet1!A:A,Sheet1!O:O)</f>
        <v>1.5</v>
      </c>
      <c r="K875" t="str">
        <f>_xlfn.XLOOKUP(A:A,Sheet1!A:A,Sheet1!P:P)</f>
        <v>No</v>
      </c>
      <c r="L875" s="12">
        <f>_xlfn.XLOOKUP(A:A,Sheet1!A:A,Sheet1!S:S)</f>
        <v>0.73</v>
      </c>
    </row>
    <row r="876" spans="1:12" x14ac:dyDescent="0.35">
      <c r="A876" s="8" t="s">
        <v>1770</v>
      </c>
      <c r="B876" s="2" t="str">
        <f>_xlfn.XLOOKUP(A876,Sheet1!A:A,Sheet1!B:B)</f>
        <v>Gerald Taylor</v>
      </c>
      <c r="C876" s="2" t="str">
        <f>_xlfn.XLOOKUP(A:A,Sheet1!A:A,Sheet1!D:D)</f>
        <v>Male</v>
      </c>
      <c r="D876" s="8">
        <f>_xlfn.XLOOKUP(A:A,Sheet1!A:A,Sheet1!F:F)</f>
        <v>20</v>
      </c>
      <c r="E876" s="2" t="str">
        <f>_xlfn.XLOOKUP(A:A,Sheet1!A:A,Sheet1!G:G)</f>
        <v>Russia</v>
      </c>
      <c r="F876" s="8" t="str">
        <f>_xlfn.XLOOKUP(A:A,Sheet1!A:A,Sheet1!H:H)</f>
        <v>Russian</v>
      </c>
      <c r="G876" s="8" t="str">
        <f>_xlfn.XLOOKUP(A:A,Sheet1!A:A,Sheet1!I:I)</f>
        <v>Web Development</v>
      </c>
      <c r="H876" s="8">
        <f>_xlfn.XLOOKUP(A:A,Sheet1!A:A,Sheet1!K:K)</f>
        <v>2</v>
      </c>
      <c r="I876" s="9">
        <f>_xlfn.XLOOKUP(A:A,Sheet1!A:A,Sheet1!M:M)</f>
        <v>30</v>
      </c>
      <c r="J876" s="10">
        <f>_xlfn.XLOOKUP(A:A,Sheet1!A:A,Sheet1!O:O)</f>
        <v>1.7</v>
      </c>
      <c r="K876" t="str">
        <f>_xlfn.XLOOKUP(A:A,Sheet1!A:A,Sheet1!P:P)</f>
        <v>Yes</v>
      </c>
      <c r="L876" s="12">
        <f>_xlfn.XLOOKUP(A:A,Sheet1!A:A,Sheet1!S:S)</f>
        <v>0.6</v>
      </c>
    </row>
    <row r="877" spans="1:12" x14ac:dyDescent="0.35">
      <c r="A877" s="8" t="s">
        <v>1772</v>
      </c>
      <c r="B877" s="2" t="str">
        <f>_xlfn.XLOOKUP(A877,Sheet1!A:A,Sheet1!B:B)</f>
        <v>Mary Ward</v>
      </c>
      <c r="C877" s="2" t="str">
        <f>_xlfn.XLOOKUP(A:A,Sheet1!A:A,Sheet1!D:D)</f>
        <v>Female</v>
      </c>
      <c r="D877" s="8">
        <f>_xlfn.XLOOKUP(A:A,Sheet1!A:A,Sheet1!F:F)</f>
        <v>40</v>
      </c>
      <c r="E877" s="2" t="str">
        <f>_xlfn.XLOOKUP(A:A,Sheet1!A:A,Sheet1!G:G)</f>
        <v>Spain</v>
      </c>
      <c r="F877" s="8" t="str">
        <f>_xlfn.XLOOKUP(A:A,Sheet1!A:A,Sheet1!H:H)</f>
        <v>Spanish</v>
      </c>
      <c r="G877" s="8" t="str">
        <f>_xlfn.XLOOKUP(A:A,Sheet1!A:A,Sheet1!I:I)</f>
        <v>AI</v>
      </c>
      <c r="H877" s="8">
        <f>_xlfn.XLOOKUP(A:A,Sheet1!A:A,Sheet1!K:K)</f>
        <v>9</v>
      </c>
      <c r="I877" s="9">
        <f>_xlfn.XLOOKUP(A:A,Sheet1!A:A,Sheet1!M:M)</f>
        <v>40</v>
      </c>
      <c r="J877" s="10">
        <f>_xlfn.XLOOKUP(A:A,Sheet1!A:A,Sheet1!O:O)</f>
        <v>1.2</v>
      </c>
      <c r="K877" t="str">
        <f>_xlfn.XLOOKUP(A:A,Sheet1!A:A,Sheet1!P:P)</f>
        <v>Yes</v>
      </c>
      <c r="L877" s="12">
        <f>_xlfn.XLOOKUP(A:A,Sheet1!A:A,Sheet1!S:S)</f>
        <v>0.67</v>
      </c>
    </row>
    <row r="878" spans="1:12" x14ac:dyDescent="0.35">
      <c r="A878" s="8" t="s">
        <v>1774</v>
      </c>
      <c r="B878" s="2" t="str">
        <f>_xlfn.XLOOKUP(A878,Sheet1!A:A,Sheet1!B:B)</f>
        <v xml:space="preserve"> Lisa Beard </v>
      </c>
      <c r="C878" s="2" t="str">
        <f>_xlfn.XLOOKUP(A:A,Sheet1!A:A,Sheet1!D:D)</f>
        <v>Female</v>
      </c>
      <c r="D878" s="8">
        <f>_xlfn.XLOOKUP(A:A,Sheet1!A:A,Sheet1!F:F)</f>
        <v>30</v>
      </c>
      <c r="E878" s="2" t="str">
        <f>_xlfn.XLOOKUP(A:A,Sheet1!A:A,Sheet1!G:G)</f>
        <v>India</v>
      </c>
      <c r="F878" s="8" t="str">
        <f>_xlfn.XLOOKUP(A:A,Sheet1!A:A,Sheet1!H:H)</f>
        <v>Hindi</v>
      </c>
      <c r="G878" s="8" t="str">
        <f>_xlfn.XLOOKUP(A:A,Sheet1!A:A,Sheet1!I:I)</f>
        <v>Mobile Apps</v>
      </c>
      <c r="H878" s="8">
        <f>_xlfn.XLOOKUP(A:A,Sheet1!A:A,Sheet1!K:K)</f>
        <v>6</v>
      </c>
      <c r="I878" s="9">
        <f>_xlfn.XLOOKUP(A:A,Sheet1!A:A,Sheet1!M:M)</f>
        <v>75</v>
      </c>
      <c r="J878" s="11">
        <v>0</v>
      </c>
      <c r="K878" t="str">
        <f>_xlfn.XLOOKUP(A:A,Sheet1!A:A,Sheet1!P:P)</f>
        <v>No</v>
      </c>
      <c r="L878" s="12">
        <f>_xlfn.XLOOKUP(A:A,Sheet1!A:A,Sheet1!S:S)</f>
        <v>0.8</v>
      </c>
    </row>
    <row r="879" spans="1:12" x14ac:dyDescent="0.35">
      <c r="A879" s="8" t="s">
        <v>1775</v>
      </c>
      <c r="B879" s="2" t="str">
        <f>_xlfn.XLOOKUP(A879,Sheet1!A:A,Sheet1!B:B)</f>
        <v>Larry Wallace</v>
      </c>
      <c r="C879" s="2" t="str">
        <f>_xlfn.XLOOKUP(A:A,Sheet1!A:A,Sheet1!D:D)</f>
        <v>Male</v>
      </c>
      <c r="D879" s="8">
        <f>_xlfn.XLOOKUP(A:A,Sheet1!A:A,Sheet1!F:F)</f>
        <v>51</v>
      </c>
      <c r="E879" s="2" t="str">
        <f>_xlfn.XLOOKUP(A:A,Sheet1!A:A,Sheet1!G:G)</f>
        <v>Australia</v>
      </c>
      <c r="F879" s="8" t="str">
        <f>_xlfn.XLOOKUP(A:A,Sheet1!A:A,Sheet1!H:H)</f>
        <v>English</v>
      </c>
      <c r="G879" s="8" t="str">
        <f>_xlfn.XLOOKUP(A:A,Sheet1!A:A,Sheet1!I:I)</f>
        <v>Graphic Design</v>
      </c>
      <c r="H879" s="8">
        <f>_xlfn.XLOOKUP(A:A,Sheet1!A:A,Sheet1!K:K)</f>
        <v>21</v>
      </c>
      <c r="I879" s="9">
        <f>_xlfn.XLOOKUP(A:A,Sheet1!A:A,Sheet1!M:M)</f>
        <v>20</v>
      </c>
      <c r="J879" s="10">
        <f>_xlfn.XLOOKUP(A:A,Sheet1!A:A,Sheet1!O:O)</f>
        <v>2.5125695216907653</v>
      </c>
      <c r="K879" t="str">
        <f>_xlfn.XLOOKUP(A:A,Sheet1!A:A,Sheet1!P:P)</f>
        <v>Yes</v>
      </c>
      <c r="L879" s="12">
        <f>_xlfn.XLOOKUP(A:A,Sheet1!A:A,Sheet1!S:S)</f>
        <v>0.79269417475728277</v>
      </c>
    </row>
    <row r="880" spans="1:12" x14ac:dyDescent="0.35">
      <c r="A880" s="8" t="s">
        <v>1777</v>
      </c>
      <c r="B880" s="2" t="str">
        <f>_xlfn.XLOOKUP(A880,Sheet1!A:A,Sheet1!B:B)</f>
        <v>Jeremiah Thompson</v>
      </c>
      <c r="C880" s="2" t="str">
        <f>_xlfn.XLOOKUP(A:A,Sheet1!A:A,Sheet1!D:D)</f>
        <v>Male</v>
      </c>
      <c r="D880" s="8">
        <f>_xlfn.XLOOKUP(A:A,Sheet1!A:A,Sheet1!F:F)</f>
        <v>46</v>
      </c>
      <c r="E880" s="2" t="str">
        <f>_xlfn.XLOOKUP(A:A,Sheet1!A:A,Sheet1!G:G)</f>
        <v>United States</v>
      </c>
      <c r="F880" s="8" t="str">
        <f>_xlfn.XLOOKUP(A:A,Sheet1!A:A,Sheet1!H:H)</f>
        <v>English</v>
      </c>
      <c r="G880" s="8" t="str">
        <f>_xlfn.XLOOKUP(A:A,Sheet1!A:A,Sheet1!I:I)</f>
        <v>UI/UX Design</v>
      </c>
      <c r="H880" s="8">
        <f>_xlfn.XLOOKUP(A:A,Sheet1!A:A,Sheet1!K:K)</f>
        <v>24</v>
      </c>
      <c r="I880" s="9">
        <f>_xlfn.XLOOKUP(A:A,Sheet1!A:A,Sheet1!M:M)</f>
        <v>40</v>
      </c>
      <c r="J880" s="10">
        <f>_xlfn.XLOOKUP(A:A,Sheet1!A:A,Sheet1!O:O)</f>
        <v>3.3</v>
      </c>
      <c r="K880" t="str">
        <f>_xlfn.XLOOKUP(A:A,Sheet1!A:A,Sheet1!P:P)</f>
        <v>Yes</v>
      </c>
      <c r="L880" s="12">
        <f>_xlfn.XLOOKUP(A:A,Sheet1!A:A,Sheet1!S:S)</f>
        <v>0.87</v>
      </c>
    </row>
    <row r="881" spans="1:12" x14ac:dyDescent="0.35">
      <c r="A881" s="8" t="s">
        <v>1779</v>
      </c>
      <c r="B881" s="2" t="str">
        <f>_xlfn.XLOOKUP(A881,Sheet1!A:A,Sheet1!B:B)</f>
        <v xml:space="preserve"> Jessica Williams </v>
      </c>
      <c r="C881" s="2" t="str">
        <f>_xlfn.XLOOKUP(A:A,Sheet1!A:A,Sheet1!D:D)</f>
        <v>Female</v>
      </c>
      <c r="D881" s="8">
        <f>_xlfn.XLOOKUP(A:A,Sheet1!A:A,Sheet1!F:F)</f>
        <v>25</v>
      </c>
      <c r="E881" s="2" t="str">
        <f>_xlfn.XLOOKUP(A:A,Sheet1!A:A,Sheet1!G:G)</f>
        <v>South Korea</v>
      </c>
      <c r="F881" s="8" t="str">
        <f>_xlfn.XLOOKUP(A:A,Sheet1!A:A,Sheet1!H:H)</f>
        <v>Korean</v>
      </c>
      <c r="G881" s="8" t="str">
        <f>_xlfn.XLOOKUP(A:A,Sheet1!A:A,Sheet1!I:I)</f>
        <v>AI</v>
      </c>
      <c r="H881" s="8">
        <f>_xlfn.XLOOKUP(A:A,Sheet1!A:A,Sheet1!K:K)</f>
        <v>6</v>
      </c>
      <c r="I881" s="9">
        <f>_xlfn.XLOOKUP(A:A,Sheet1!A:A,Sheet1!M:M)</f>
        <v>20</v>
      </c>
      <c r="J881" s="10">
        <f>_xlfn.XLOOKUP(A:A,Sheet1!A:A,Sheet1!O:O)</f>
        <v>2.1</v>
      </c>
      <c r="K881" t="str">
        <f>_xlfn.XLOOKUP(A:A,Sheet1!A:A,Sheet1!P:P)</f>
        <v>No</v>
      </c>
      <c r="L881" s="12">
        <f>_xlfn.XLOOKUP(A:A,Sheet1!A:A,Sheet1!S:S)</f>
        <v>0.79269417475728277</v>
      </c>
    </row>
    <row r="882" spans="1:12" x14ac:dyDescent="0.35">
      <c r="A882" s="8" t="s">
        <v>1780</v>
      </c>
      <c r="B882" s="2" t="str">
        <f>_xlfn.XLOOKUP(A882,Sheet1!A:A,Sheet1!B:B)</f>
        <v>Martin Moreno</v>
      </c>
      <c r="C882" s="2" t="str">
        <f>_xlfn.XLOOKUP(A:A,Sheet1!A:A,Sheet1!D:D)</f>
        <v>Male</v>
      </c>
      <c r="D882" s="8">
        <f>_xlfn.XLOOKUP(A:A,Sheet1!A:A,Sheet1!F:F)</f>
        <v>53</v>
      </c>
      <c r="E882" s="2" t="str">
        <f>_xlfn.XLOOKUP(A:A,Sheet1!A:A,Sheet1!G:G)</f>
        <v>Netherlands</v>
      </c>
      <c r="F882" s="8" t="str">
        <f>_xlfn.XLOOKUP(A:A,Sheet1!A:A,Sheet1!H:H)</f>
        <v>Dutch</v>
      </c>
      <c r="G882" s="8" t="str">
        <f>_xlfn.XLOOKUP(A:A,Sheet1!A:A,Sheet1!I:I)</f>
        <v>Web Development</v>
      </c>
      <c r="H882" s="8">
        <f>_xlfn.XLOOKUP(A:A,Sheet1!A:A,Sheet1!K:K)</f>
        <v>32</v>
      </c>
      <c r="I882" s="9">
        <f>_xlfn.XLOOKUP(A:A,Sheet1!A:A,Sheet1!M:M)</f>
        <v>50</v>
      </c>
      <c r="J882" s="10">
        <f>_xlfn.XLOOKUP(A:A,Sheet1!A:A,Sheet1!O:O)</f>
        <v>2.5125695216907653</v>
      </c>
      <c r="K882" t="str">
        <f>_xlfn.XLOOKUP(A:A,Sheet1!A:A,Sheet1!P:P)</f>
        <v>Yes</v>
      </c>
      <c r="L882" s="12">
        <f>_xlfn.XLOOKUP(A:A,Sheet1!A:A,Sheet1!S:S)</f>
        <v>0.79269417475728277</v>
      </c>
    </row>
    <row r="883" spans="1:12" x14ac:dyDescent="0.35">
      <c r="A883" s="8" t="s">
        <v>1782</v>
      </c>
      <c r="B883" s="2" t="str">
        <f>_xlfn.XLOOKUP(A883,Sheet1!A:A,Sheet1!B:B)</f>
        <v>Yolanda Proctor</v>
      </c>
      <c r="C883" s="2" t="str">
        <f>_xlfn.XLOOKUP(A:A,Sheet1!A:A,Sheet1!D:D)</f>
        <v>Female</v>
      </c>
      <c r="D883" s="8">
        <f>_xlfn.XLOOKUP(A:A,Sheet1!A:A,Sheet1!F:F)</f>
        <v>50</v>
      </c>
      <c r="E883" s="2" t="str">
        <f>_xlfn.XLOOKUP(A:A,Sheet1!A:A,Sheet1!G:G)</f>
        <v>Egypt</v>
      </c>
      <c r="F883" s="8" t="str">
        <f>_xlfn.XLOOKUP(A:A,Sheet1!A:A,Sheet1!H:H)</f>
        <v>Arabic</v>
      </c>
      <c r="G883" s="8" t="str">
        <f>_xlfn.XLOOKUP(A:A,Sheet1!A:A,Sheet1!I:I)</f>
        <v>Mobile Apps</v>
      </c>
      <c r="H883" s="8">
        <f>_xlfn.XLOOKUP(A:A,Sheet1!A:A,Sheet1!K:K)</f>
        <v>31</v>
      </c>
      <c r="I883" s="9">
        <f>_xlfn.XLOOKUP(A:A,Sheet1!A:A,Sheet1!M:M)</f>
        <v>100</v>
      </c>
      <c r="J883" s="10">
        <f>_xlfn.XLOOKUP(A:A,Sheet1!A:A,Sheet1!O:O)</f>
        <v>2.9</v>
      </c>
      <c r="K883" t="str">
        <f>_xlfn.XLOOKUP(A:A,Sheet1!A:A,Sheet1!P:P)</f>
        <v>Yes</v>
      </c>
      <c r="L883" s="12">
        <f>_xlfn.XLOOKUP(A:A,Sheet1!A:A,Sheet1!S:S)</f>
        <v>0.89</v>
      </c>
    </row>
    <row r="884" spans="1:12" x14ac:dyDescent="0.35">
      <c r="A884" s="8" t="s">
        <v>1784</v>
      </c>
      <c r="B884" s="2" t="str">
        <f>_xlfn.XLOOKUP(A884,Sheet1!A:A,Sheet1!B:B)</f>
        <v>Allen Turner</v>
      </c>
      <c r="C884" s="2" t="str">
        <f>_xlfn.XLOOKUP(A:A,Sheet1!A:A,Sheet1!D:D)</f>
        <v>Male</v>
      </c>
      <c r="D884" s="8">
        <f>_xlfn.XLOOKUP(A:A,Sheet1!A:A,Sheet1!F:F)</f>
        <v>45</v>
      </c>
      <c r="E884" s="2" t="str">
        <f>_xlfn.XLOOKUP(A:A,Sheet1!A:A,Sheet1!G:G)</f>
        <v>South Korea</v>
      </c>
      <c r="F884" s="8" t="str">
        <f>_xlfn.XLOOKUP(A:A,Sheet1!A:A,Sheet1!H:H)</f>
        <v>Korean</v>
      </c>
      <c r="G884" s="8" t="str">
        <f>_xlfn.XLOOKUP(A:A,Sheet1!A:A,Sheet1!I:I)</f>
        <v>AI</v>
      </c>
      <c r="H884" s="8">
        <f>_xlfn.XLOOKUP(A:A,Sheet1!A:A,Sheet1!K:K)</f>
        <v>9</v>
      </c>
      <c r="I884" s="9">
        <f>_xlfn.XLOOKUP(A:A,Sheet1!A:A,Sheet1!M:M)</f>
        <v>20</v>
      </c>
      <c r="J884" s="10">
        <f>_xlfn.XLOOKUP(A:A,Sheet1!A:A,Sheet1!O:O)</f>
        <v>3.3</v>
      </c>
      <c r="K884" t="str">
        <f>_xlfn.XLOOKUP(A:A,Sheet1!A:A,Sheet1!P:P)</f>
        <v>Yes</v>
      </c>
      <c r="L884" s="12">
        <f>_xlfn.XLOOKUP(A:A,Sheet1!A:A,Sheet1!S:S)</f>
        <v>0.93</v>
      </c>
    </row>
    <row r="885" spans="1:12" x14ac:dyDescent="0.35">
      <c r="A885" s="8" t="s">
        <v>1786</v>
      </c>
      <c r="B885" s="2" t="str">
        <f>_xlfn.XLOOKUP(A885,Sheet1!A:A,Sheet1!B:B)</f>
        <v>Beth Huff</v>
      </c>
      <c r="C885" s="2" t="str">
        <f>_xlfn.XLOOKUP(A:A,Sheet1!A:A,Sheet1!D:D)</f>
        <v>Female</v>
      </c>
      <c r="D885" s="8">
        <f>_xlfn.XLOOKUP(A:A,Sheet1!A:A,Sheet1!F:F)</f>
        <v>48</v>
      </c>
      <c r="E885" s="2" t="str">
        <f>_xlfn.XLOOKUP(A:A,Sheet1!A:A,Sheet1!G:G)</f>
        <v>Canada</v>
      </c>
      <c r="F885" s="8" t="str">
        <f>_xlfn.XLOOKUP(A:A,Sheet1!A:A,Sheet1!H:H)</f>
        <v>English</v>
      </c>
      <c r="G885" s="8" t="str">
        <f>_xlfn.XLOOKUP(A:A,Sheet1!A:A,Sheet1!I:I)</f>
        <v>Cybersecurity</v>
      </c>
      <c r="H885" s="8">
        <f>_xlfn.XLOOKUP(A:A,Sheet1!A:A,Sheet1!K:K)</f>
        <v>24</v>
      </c>
      <c r="I885" s="9">
        <f>_xlfn.XLOOKUP(A:A,Sheet1!A:A,Sheet1!M:M)</f>
        <v>100</v>
      </c>
      <c r="J885" s="10">
        <f>_xlfn.XLOOKUP(A:A,Sheet1!A:A,Sheet1!O:O)</f>
        <v>4.8</v>
      </c>
      <c r="K885" t="str">
        <f>_xlfn.XLOOKUP(A:A,Sheet1!A:A,Sheet1!P:P)</f>
        <v>Yes</v>
      </c>
      <c r="L885" s="12">
        <f>_xlfn.XLOOKUP(A:A,Sheet1!A:A,Sheet1!S:S)</f>
        <v>0.84</v>
      </c>
    </row>
    <row r="886" spans="1:12" x14ac:dyDescent="0.35">
      <c r="A886" s="8" t="s">
        <v>1788</v>
      </c>
      <c r="B886" s="2" t="str">
        <f>_xlfn.XLOOKUP(A886,Sheet1!A:A,Sheet1!B:B)</f>
        <v>John Mckinney</v>
      </c>
      <c r="C886" s="2" t="str">
        <f>_xlfn.XLOOKUP(A:A,Sheet1!A:A,Sheet1!D:D)</f>
        <v>Male</v>
      </c>
      <c r="D886" s="8">
        <f>_xlfn.XLOOKUP(A:A,Sheet1!A:A,Sheet1!F:F)</f>
        <v>30</v>
      </c>
      <c r="E886" s="2" t="str">
        <f>_xlfn.XLOOKUP(A:A,Sheet1!A:A,Sheet1!G:G)</f>
        <v>Indonesia</v>
      </c>
      <c r="F886" s="8" t="str">
        <f>_xlfn.XLOOKUP(A:A,Sheet1!A:A,Sheet1!H:H)</f>
        <v>Indonesian</v>
      </c>
      <c r="G886" s="8" t="str">
        <f>_xlfn.XLOOKUP(A:A,Sheet1!A:A,Sheet1!I:I)</f>
        <v>DevOps</v>
      </c>
      <c r="H886" s="8">
        <f>_xlfn.XLOOKUP(A:A,Sheet1!A:A,Sheet1!K:K)</f>
        <v>9</v>
      </c>
      <c r="I886" s="9">
        <f>_xlfn.XLOOKUP(A:A,Sheet1!A:A,Sheet1!M:M)</f>
        <v>100</v>
      </c>
      <c r="J886" s="10">
        <f>_xlfn.XLOOKUP(A:A,Sheet1!A:A,Sheet1!O:O)</f>
        <v>4.5</v>
      </c>
      <c r="K886" t="str">
        <f>_xlfn.XLOOKUP(A:A,Sheet1!A:A,Sheet1!P:P)</f>
        <v>No</v>
      </c>
      <c r="L886" s="12">
        <f>_xlfn.XLOOKUP(A:A,Sheet1!A:A,Sheet1!S:S)</f>
        <v>0.78</v>
      </c>
    </row>
    <row r="887" spans="1:12" x14ac:dyDescent="0.35">
      <c r="A887" s="8" t="s">
        <v>1790</v>
      </c>
      <c r="B887" s="2" t="str">
        <f>_xlfn.XLOOKUP(A887,Sheet1!A:A,Sheet1!B:B)</f>
        <v>Sarah Ho</v>
      </c>
      <c r="C887" s="2" t="str">
        <f>_xlfn.XLOOKUP(A:A,Sheet1!A:A,Sheet1!D:D)</f>
        <v>Female</v>
      </c>
      <c r="D887" s="8">
        <f>_xlfn.XLOOKUP(A:A,Sheet1!A:A,Sheet1!F:F)</f>
        <v>33</v>
      </c>
      <c r="E887" s="2" t="str">
        <f>_xlfn.XLOOKUP(A:A,Sheet1!A:A,Sheet1!G:G)</f>
        <v>Netherlands</v>
      </c>
      <c r="F887" s="8" t="str">
        <f>_xlfn.XLOOKUP(A:A,Sheet1!A:A,Sheet1!H:H)</f>
        <v>Dutch</v>
      </c>
      <c r="G887" s="8" t="str">
        <f>_xlfn.XLOOKUP(A:A,Sheet1!A:A,Sheet1!I:I)</f>
        <v>UI/UX Design</v>
      </c>
      <c r="H887" s="8">
        <f>_xlfn.XLOOKUP(A:A,Sheet1!A:A,Sheet1!K:K)</f>
        <v>6</v>
      </c>
      <c r="I887" s="9">
        <f>_xlfn.XLOOKUP(A:A,Sheet1!A:A,Sheet1!M:M)</f>
        <v>50</v>
      </c>
      <c r="J887" s="10">
        <f>_xlfn.XLOOKUP(A:A,Sheet1!A:A,Sheet1!O:O)</f>
        <v>3.1</v>
      </c>
      <c r="K887" t="str">
        <f>_xlfn.XLOOKUP(A:A,Sheet1!A:A,Sheet1!P:P)</f>
        <v>No</v>
      </c>
      <c r="L887" s="12">
        <f>_xlfn.XLOOKUP(A:A,Sheet1!A:A,Sheet1!S:S)</f>
        <v>0.9</v>
      </c>
    </row>
    <row r="888" spans="1:12" x14ac:dyDescent="0.35">
      <c r="A888" s="8" t="s">
        <v>1791</v>
      </c>
      <c r="B888" s="2" t="str">
        <f>_xlfn.XLOOKUP(A888,Sheet1!A:A,Sheet1!B:B)</f>
        <v>Lindsey Wang</v>
      </c>
      <c r="C888" s="2" t="str">
        <f>_xlfn.XLOOKUP(A:A,Sheet1!A:A,Sheet1!D:D)</f>
        <v>Female</v>
      </c>
      <c r="D888" s="8">
        <f>_xlfn.XLOOKUP(A:A,Sheet1!A:A,Sheet1!F:F)</f>
        <v>50</v>
      </c>
      <c r="E888" s="2" t="str">
        <f>_xlfn.XLOOKUP(A:A,Sheet1!A:A,Sheet1!G:G)</f>
        <v>United Kingdom</v>
      </c>
      <c r="F888" s="8" t="str">
        <f>_xlfn.XLOOKUP(A:A,Sheet1!A:A,Sheet1!H:H)</f>
        <v>English</v>
      </c>
      <c r="G888" s="8" t="str">
        <f>_xlfn.XLOOKUP(A:A,Sheet1!A:A,Sheet1!I:I)</f>
        <v>DevOps</v>
      </c>
      <c r="H888" s="8">
        <f>_xlfn.XLOOKUP(A:A,Sheet1!A:A,Sheet1!K:K)</f>
        <v>11</v>
      </c>
      <c r="I888" s="9">
        <f>_xlfn.XLOOKUP(A:A,Sheet1!A:A,Sheet1!M:M)</f>
        <v>40</v>
      </c>
      <c r="J888" s="10">
        <f>_xlfn.XLOOKUP(A:A,Sheet1!A:A,Sheet1!O:O)</f>
        <v>4.9000000000000004</v>
      </c>
      <c r="K888" t="str">
        <f>_xlfn.XLOOKUP(A:A,Sheet1!A:A,Sheet1!P:P)</f>
        <v>Yes</v>
      </c>
      <c r="L888" s="12">
        <f>_xlfn.XLOOKUP(A:A,Sheet1!A:A,Sheet1!S:S)</f>
        <v>0.88</v>
      </c>
    </row>
    <row r="889" spans="1:12" x14ac:dyDescent="0.35">
      <c r="A889" s="8" t="s">
        <v>1793</v>
      </c>
      <c r="B889" s="2" t="str">
        <f>_xlfn.XLOOKUP(A889,Sheet1!A:A,Sheet1!B:B)</f>
        <v>Margaret Schwartz</v>
      </c>
      <c r="C889" s="2" t="str">
        <f>_xlfn.XLOOKUP(A:A,Sheet1!A:A,Sheet1!D:D)</f>
        <v>Female</v>
      </c>
      <c r="D889" s="8">
        <f>_xlfn.XLOOKUP(A:A,Sheet1!A:A,Sheet1!F:F)</f>
        <v>24</v>
      </c>
      <c r="E889" s="2" t="str">
        <f>_xlfn.XLOOKUP(A:A,Sheet1!A:A,Sheet1!G:G)</f>
        <v>Indonesia</v>
      </c>
      <c r="F889" s="8" t="str">
        <f>_xlfn.XLOOKUP(A:A,Sheet1!A:A,Sheet1!H:H)</f>
        <v>Indonesian</v>
      </c>
      <c r="G889" s="8" t="str">
        <f>_xlfn.XLOOKUP(A:A,Sheet1!A:A,Sheet1!I:I)</f>
        <v>Data Analysis</v>
      </c>
      <c r="H889" s="8">
        <f>_xlfn.XLOOKUP(A:A,Sheet1!A:A,Sheet1!K:K)</f>
        <v>9</v>
      </c>
      <c r="I889" s="9">
        <f>_xlfn.XLOOKUP(A:A,Sheet1!A:A,Sheet1!M:M)</f>
        <v>20</v>
      </c>
      <c r="J889" s="11">
        <v>0</v>
      </c>
      <c r="K889" t="str">
        <f>_xlfn.XLOOKUP(A:A,Sheet1!A:A,Sheet1!P:P)</f>
        <v>No</v>
      </c>
      <c r="L889" s="12">
        <f>_xlfn.XLOOKUP(A:A,Sheet1!A:A,Sheet1!S:S)</f>
        <v>0.76</v>
      </c>
    </row>
    <row r="890" spans="1:12" x14ac:dyDescent="0.35">
      <c r="A890" s="8" t="s">
        <v>1795</v>
      </c>
      <c r="B890" s="2" t="str">
        <f>_xlfn.XLOOKUP(A890,Sheet1!A:A,Sheet1!B:B)</f>
        <v>Kyle Ray</v>
      </c>
      <c r="C890" s="2" t="str">
        <f>_xlfn.XLOOKUP(A:A,Sheet1!A:A,Sheet1!D:D)</f>
        <v>Male</v>
      </c>
      <c r="D890" s="8">
        <f>_xlfn.XLOOKUP(A:A,Sheet1!A:A,Sheet1!F:F)</f>
        <v>38</v>
      </c>
      <c r="E890" s="2" t="str">
        <f>_xlfn.XLOOKUP(A:A,Sheet1!A:A,Sheet1!G:G)</f>
        <v>Italy</v>
      </c>
      <c r="F890" s="8" t="str">
        <f>_xlfn.XLOOKUP(A:A,Sheet1!A:A,Sheet1!H:H)</f>
        <v>Italian</v>
      </c>
      <c r="G890" s="8" t="str">
        <f>_xlfn.XLOOKUP(A:A,Sheet1!A:A,Sheet1!I:I)</f>
        <v>Web Development</v>
      </c>
      <c r="H890" s="8">
        <f>_xlfn.XLOOKUP(A:A,Sheet1!A:A,Sheet1!K:K)</f>
        <v>14</v>
      </c>
      <c r="I890" s="9">
        <f>_xlfn.XLOOKUP(A:A,Sheet1!A:A,Sheet1!M:M)</f>
        <v>75</v>
      </c>
      <c r="J890" s="10">
        <f>_xlfn.XLOOKUP(A:A,Sheet1!A:A,Sheet1!O:O)</f>
        <v>1.5</v>
      </c>
      <c r="K890" t="str">
        <f>_xlfn.XLOOKUP(A:A,Sheet1!A:A,Sheet1!P:P)</f>
        <v>No</v>
      </c>
      <c r="L890" s="12">
        <f>_xlfn.XLOOKUP(A:A,Sheet1!A:A,Sheet1!S:S)</f>
        <v>0.62</v>
      </c>
    </row>
    <row r="891" spans="1:12" x14ac:dyDescent="0.35">
      <c r="A891" s="8" t="s">
        <v>1797</v>
      </c>
      <c r="B891" s="2" t="str">
        <f>_xlfn.XLOOKUP(A891,Sheet1!A:A,Sheet1!B:B)</f>
        <v>Isaac Hebert</v>
      </c>
      <c r="C891" s="2" t="str">
        <f>_xlfn.XLOOKUP(A:A,Sheet1!A:A,Sheet1!D:D)</f>
        <v>Male</v>
      </c>
      <c r="D891" s="8">
        <f>_xlfn.XLOOKUP(A:A,Sheet1!A:A,Sheet1!F:F)</f>
        <v>56</v>
      </c>
      <c r="E891" s="2" t="str">
        <f>_xlfn.XLOOKUP(A:A,Sheet1!A:A,Sheet1!G:G)</f>
        <v>Japan</v>
      </c>
      <c r="F891" s="8" t="str">
        <f>_xlfn.XLOOKUP(A:A,Sheet1!A:A,Sheet1!H:H)</f>
        <v>Japanese</v>
      </c>
      <c r="G891" s="8" t="str">
        <f>_xlfn.XLOOKUP(A:A,Sheet1!A:A,Sheet1!I:I)</f>
        <v>DevOps</v>
      </c>
      <c r="H891" s="8">
        <f>_xlfn.XLOOKUP(A:A,Sheet1!A:A,Sheet1!K:K)</f>
        <v>2</v>
      </c>
      <c r="I891" s="9">
        <f>_xlfn.XLOOKUP(A:A,Sheet1!A:A,Sheet1!M:M)</f>
        <v>75</v>
      </c>
      <c r="J891" s="10">
        <f>_xlfn.XLOOKUP(A:A,Sheet1!A:A,Sheet1!O:O)</f>
        <v>2.4</v>
      </c>
      <c r="K891" t="str">
        <f>_xlfn.XLOOKUP(A:A,Sheet1!A:A,Sheet1!P:P)</f>
        <v>No</v>
      </c>
      <c r="L891" s="12">
        <f>_xlfn.XLOOKUP(A:A,Sheet1!A:A,Sheet1!S:S)</f>
        <v>0.79269417475728277</v>
      </c>
    </row>
    <row r="892" spans="1:12" x14ac:dyDescent="0.35">
      <c r="A892" s="8" t="s">
        <v>1799</v>
      </c>
      <c r="B892" s="2" t="str">
        <f>_xlfn.XLOOKUP(A892,Sheet1!A:A,Sheet1!B:B)</f>
        <v>Michele Jones</v>
      </c>
      <c r="C892" s="2" t="str">
        <f>_xlfn.XLOOKUP(A:A,Sheet1!A:A,Sheet1!D:D)</f>
        <v>Female</v>
      </c>
      <c r="D892" s="8">
        <f>_xlfn.XLOOKUP(A:A,Sheet1!A:A,Sheet1!F:F)</f>
        <v>41</v>
      </c>
      <c r="E892" s="2" t="str">
        <f>_xlfn.XLOOKUP(A:A,Sheet1!A:A,Sheet1!G:G)</f>
        <v>Russia</v>
      </c>
      <c r="F892" s="8" t="str">
        <f>_xlfn.XLOOKUP(A:A,Sheet1!A:A,Sheet1!H:H)</f>
        <v>Russian</v>
      </c>
      <c r="G892" s="8" t="str">
        <f>_xlfn.XLOOKUP(A:A,Sheet1!A:A,Sheet1!I:I)</f>
        <v>DevOps</v>
      </c>
      <c r="H892" s="8">
        <f>_xlfn.XLOOKUP(A:A,Sheet1!A:A,Sheet1!K:K)</f>
        <v>2</v>
      </c>
      <c r="I892" s="9">
        <f>_xlfn.XLOOKUP(A:A,Sheet1!A:A,Sheet1!M:M)</f>
        <v>100</v>
      </c>
      <c r="J892" s="10">
        <f>_xlfn.XLOOKUP(A:A,Sheet1!A:A,Sheet1!O:O)</f>
        <v>4.5</v>
      </c>
      <c r="K892" t="str">
        <f>_xlfn.XLOOKUP(A:A,Sheet1!A:A,Sheet1!P:P)</f>
        <v>No</v>
      </c>
      <c r="L892" s="12">
        <f>_xlfn.XLOOKUP(A:A,Sheet1!A:A,Sheet1!S:S)</f>
        <v>0.75</v>
      </c>
    </row>
    <row r="893" spans="1:12" x14ac:dyDescent="0.35">
      <c r="A893" s="8" t="s">
        <v>1801</v>
      </c>
      <c r="B893" s="2" t="str">
        <f>_xlfn.XLOOKUP(A893,Sheet1!A:A,Sheet1!B:B)</f>
        <v>Austin Allen</v>
      </c>
      <c r="C893" s="2" t="str">
        <f>_xlfn.XLOOKUP(A:A,Sheet1!A:A,Sheet1!D:D)</f>
        <v>Male</v>
      </c>
      <c r="D893" s="8">
        <f>_xlfn.XLOOKUP(A:A,Sheet1!A:A,Sheet1!F:F)</f>
        <v>41</v>
      </c>
      <c r="E893" s="2" t="str">
        <f>_xlfn.XLOOKUP(A:A,Sheet1!A:A,Sheet1!G:G)</f>
        <v>Italy</v>
      </c>
      <c r="F893" s="8" t="str">
        <f>_xlfn.XLOOKUP(A:A,Sheet1!A:A,Sheet1!H:H)</f>
        <v>Italian</v>
      </c>
      <c r="G893" s="8" t="str">
        <f>_xlfn.XLOOKUP(A:A,Sheet1!A:A,Sheet1!I:I)</f>
        <v>UI/UX Design</v>
      </c>
      <c r="H893" s="8">
        <f>_xlfn.XLOOKUP(A:A,Sheet1!A:A,Sheet1!K:K)</f>
        <v>11</v>
      </c>
      <c r="I893" s="9">
        <f>_xlfn.XLOOKUP(A:A,Sheet1!A:A,Sheet1!M:M)</f>
        <v>100</v>
      </c>
      <c r="J893" s="10">
        <f>_xlfn.XLOOKUP(A:A,Sheet1!A:A,Sheet1!O:O)</f>
        <v>2.5</v>
      </c>
      <c r="K893" t="str">
        <f>_xlfn.XLOOKUP(A:A,Sheet1!A:A,Sheet1!P:P)</f>
        <v>Yes</v>
      </c>
      <c r="L893" s="12">
        <f>_xlfn.XLOOKUP(A:A,Sheet1!A:A,Sheet1!S:S)</f>
        <v>0.8</v>
      </c>
    </row>
    <row r="894" spans="1:12" x14ac:dyDescent="0.35">
      <c r="A894" s="8" t="s">
        <v>1803</v>
      </c>
      <c r="B894" s="2" t="str">
        <f>_xlfn.XLOOKUP(A894,Sheet1!A:A,Sheet1!B:B)</f>
        <v>Haley Castro</v>
      </c>
      <c r="C894" s="2" t="str">
        <f>_xlfn.XLOOKUP(A:A,Sheet1!A:A,Sheet1!D:D)</f>
        <v>Female</v>
      </c>
      <c r="D894" s="8">
        <f>_xlfn.XLOOKUP(A:A,Sheet1!A:A,Sheet1!F:F)</f>
        <v>42</v>
      </c>
      <c r="E894" s="2" t="str">
        <f>_xlfn.XLOOKUP(A:A,Sheet1!A:A,Sheet1!G:G)</f>
        <v>Germany</v>
      </c>
      <c r="F894" s="8" t="str">
        <f>_xlfn.XLOOKUP(A:A,Sheet1!A:A,Sheet1!H:H)</f>
        <v>German</v>
      </c>
      <c r="G894" s="8" t="str">
        <f>_xlfn.XLOOKUP(A:A,Sheet1!A:A,Sheet1!I:I)</f>
        <v>Graphic Design</v>
      </c>
      <c r="H894" s="8">
        <f>_xlfn.XLOOKUP(A:A,Sheet1!A:A,Sheet1!K:K)</f>
        <v>13</v>
      </c>
      <c r="I894" s="9">
        <f>_xlfn.XLOOKUP(A:A,Sheet1!A:A,Sheet1!M:M)</f>
        <v>30</v>
      </c>
      <c r="J894" s="10">
        <f>_xlfn.XLOOKUP(A:A,Sheet1!A:A,Sheet1!O:O)</f>
        <v>3.3</v>
      </c>
      <c r="K894" t="str">
        <f>_xlfn.XLOOKUP(A:A,Sheet1!A:A,Sheet1!P:P)</f>
        <v>No</v>
      </c>
      <c r="L894" s="12">
        <f>_xlfn.XLOOKUP(A:A,Sheet1!A:A,Sheet1!S:S)</f>
        <v>0.63</v>
      </c>
    </row>
    <row r="895" spans="1:12" x14ac:dyDescent="0.35">
      <c r="A895" s="8" t="s">
        <v>1805</v>
      </c>
      <c r="B895" s="2" t="str">
        <f>_xlfn.XLOOKUP(A895,Sheet1!A:A,Sheet1!B:B)</f>
        <v>David Armstrong</v>
      </c>
      <c r="C895" s="2" t="str">
        <f>_xlfn.XLOOKUP(A:A,Sheet1!A:A,Sheet1!D:D)</f>
        <v>Male</v>
      </c>
      <c r="D895" s="8">
        <f>_xlfn.XLOOKUP(A:A,Sheet1!A:A,Sheet1!F:F)</f>
        <v>26</v>
      </c>
      <c r="E895" s="2" t="str">
        <f>_xlfn.XLOOKUP(A:A,Sheet1!A:A,Sheet1!G:G)</f>
        <v>India</v>
      </c>
      <c r="F895" s="8" t="str">
        <f>_xlfn.XLOOKUP(A:A,Sheet1!A:A,Sheet1!H:H)</f>
        <v>Hindi</v>
      </c>
      <c r="G895" s="8" t="str">
        <f>_xlfn.XLOOKUP(A:A,Sheet1!A:A,Sheet1!I:I)</f>
        <v>Blockchain Development</v>
      </c>
      <c r="H895" s="8">
        <f>_xlfn.XLOOKUP(A:A,Sheet1!A:A,Sheet1!K:K)</f>
        <v>7</v>
      </c>
      <c r="I895" s="9">
        <f>_xlfn.XLOOKUP(A:A,Sheet1!A:A,Sheet1!M:M)</f>
        <v>75</v>
      </c>
      <c r="J895" s="10">
        <f>_xlfn.XLOOKUP(A:A,Sheet1!A:A,Sheet1!O:O)</f>
        <v>3</v>
      </c>
      <c r="K895" t="str">
        <f>_xlfn.XLOOKUP(A:A,Sheet1!A:A,Sheet1!P:P)</f>
        <v>No</v>
      </c>
      <c r="L895" s="12">
        <f>_xlfn.XLOOKUP(A:A,Sheet1!A:A,Sheet1!S:S)</f>
        <v>0.84</v>
      </c>
    </row>
    <row r="896" spans="1:12" x14ac:dyDescent="0.35">
      <c r="A896" s="8" t="s">
        <v>1807</v>
      </c>
      <c r="B896" s="2" t="str">
        <f>_xlfn.XLOOKUP(A896,Sheet1!A:A,Sheet1!B:B)</f>
        <v>Wendy Mitchell</v>
      </c>
      <c r="C896" s="2" t="str">
        <f>_xlfn.XLOOKUP(A:A,Sheet1!A:A,Sheet1!D:D)</f>
        <v>Female</v>
      </c>
      <c r="D896" s="8">
        <f>_xlfn.XLOOKUP(A:A,Sheet1!A:A,Sheet1!F:F)</f>
        <v>44</v>
      </c>
      <c r="E896" s="2" t="str">
        <f>_xlfn.XLOOKUP(A:A,Sheet1!A:A,Sheet1!G:G)</f>
        <v>Canada</v>
      </c>
      <c r="F896" s="8" t="str">
        <f>_xlfn.XLOOKUP(A:A,Sheet1!A:A,Sheet1!H:H)</f>
        <v>English</v>
      </c>
      <c r="G896" s="8" t="str">
        <f>_xlfn.XLOOKUP(A:A,Sheet1!A:A,Sheet1!I:I)</f>
        <v>Cybersecurity</v>
      </c>
      <c r="H896" s="8">
        <f>_xlfn.XLOOKUP(A:A,Sheet1!A:A,Sheet1!K:K)</f>
        <v>25</v>
      </c>
      <c r="I896" s="9">
        <f>_xlfn.XLOOKUP(A:A,Sheet1!A:A,Sheet1!M:M)</f>
        <v>75</v>
      </c>
      <c r="J896" s="10">
        <f>_xlfn.XLOOKUP(A:A,Sheet1!A:A,Sheet1!O:O)</f>
        <v>2.7</v>
      </c>
      <c r="K896" t="str">
        <f>_xlfn.XLOOKUP(A:A,Sheet1!A:A,Sheet1!P:P)</f>
        <v>Yes</v>
      </c>
      <c r="L896" s="12">
        <f>_xlfn.XLOOKUP(A:A,Sheet1!A:A,Sheet1!S:S)</f>
        <v>0.78</v>
      </c>
    </row>
    <row r="897" spans="1:12" x14ac:dyDescent="0.35">
      <c r="A897" s="8" t="s">
        <v>1809</v>
      </c>
      <c r="B897" s="2" t="str">
        <f>_xlfn.XLOOKUP(A897,Sheet1!A:A,Sheet1!B:B)</f>
        <v>Anthony Hernandez</v>
      </c>
      <c r="C897" s="2" t="str">
        <f>_xlfn.XLOOKUP(A:A,Sheet1!A:A,Sheet1!D:D)</f>
        <v>Male</v>
      </c>
      <c r="D897" s="8">
        <f>_xlfn.XLOOKUP(A:A,Sheet1!A:A,Sheet1!F:F)</f>
        <v>46</v>
      </c>
      <c r="E897" s="2" t="str">
        <f>_xlfn.XLOOKUP(A:A,Sheet1!A:A,Sheet1!G:G)</f>
        <v>Canada</v>
      </c>
      <c r="F897" s="8" t="str">
        <f>_xlfn.XLOOKUP(A:A,Sheet1!A:A,Sheet1!H:H)</f>
        <v>English</v>
      </c>
      <c r="G897" s="8" t="str">
        <f>_xlfn.XLOOKUP(A:A,Sheet1!A:A,Sheet1!I:I)</f>
        <v>Graphic Design</v>
      </c>
      <c r="H897" s="8">
        <f>_xlfn.XLOOKUP(A:A,Sheet1!A:A,Sheet1!K:K)</f>
        <v>20</v>
      </c>
      <c r="I897" s="9">
        <f>_xlfn.XLOOKUP(A:A,Sheet1!A:A,Sheet1!M:M)</f>
        <v>20</v>
      </c>
      <c r="J897" s="10">
        <f>_xlfn.XLOOKUP(A:A,Sheet1!A:A,Sheet1!O:O)</f>
        <v>1.2</v>
      </c>
      <c r="K897" t="str">
        <f>_xlfn.XLOOKUP(A:A,Sheet1!A:A,Sheet1!P:P)</f>
        <v>No</v>
      </c>
      <c r="L897" s="12">
        <f>_xlfn.XLOOKUP(A:A,Sheet1!A:A,Sheet1!S:S)</f>
        <v>0.74</v>
      </c>
    </row>
    <row r="898" spans="1:12" x14ac:dyDescent="0.35">
      <c r="A898" s="8" t="s">
        <v>1811</v>
      </c>
      <c r="B898" s="2" t="str">
        <f>_xlfn.XLOOKUP(A898,Sheet1!A:A,Sheet1!B:B)</f>
        <v>Erica Johnson</v>
      </c>
      <c r="C898" s="2" t="str">
        <f>_xlfn.XLOOKUP(A:A,Sheet1!A:A,Sheet1!D:D)</f>
        <v>Female</v>
      </c>
      <c r="D898" s="8">
        <f>_xlfn.XLOOKUP(A:A,Sheet1!A:A,Sheet1!F:F)</f>
        <v>36</v>
      </c>
      <c r="E898" s="2" t="str">
        <f>_xlfn.XLOOKUP(A:A,Sheet1!A:A,Sheet1!G:G)</f>
        <v>United States</v>
      </c>
      <c r="F898" s="8" t="str">
        <f>_xlfn.XLOOKUP(A:A,Sheet1!A:A,Sheet1!H:H)</f>
        <v>English</v>
      </c>
      <c r="G898" s="8" t="str">
        <f>_xlfn.XLOOKUP(A:A,Sheet1!A:A,Sheet1!I:I)</f>
        <v>UI/UX Design</v>
      </c>
      <c r="H898" s="8">
        <f>_xlfn.XLOOKUP(A:A,Sheet1!A:A,Sheet1!K:K)</f>
        <v>8</v>
      </c>
      <c r="I898" s="9">
        <f>_xlfn.XLOOKUP(A:A,Sheet1!A:A,Sheet1!M:M)</f>
        <v>50</v>
      </c>
      <c r="J898" s="10">
        <f>_xlfn.XLOOKUP(A:A,Sheet1!A:A,Sheet1!O:O)</f>
        <v>4.3</v>
      </c>
      <c r="K898" t="str">
        <f>_xlfn.XLOOKUP(A:A,Sheet1!A:A,Sheet1!P:P)</f>
        <v>No</v>
      </c>
      <c r="L898" s="12">
        <f>_xlfn.XLOOKUP(A:A,Sheet1!A:A,Sheet1!S:S)</f>
        <v>0.9</v>
      </c>
    </row>
    <row r="899" spans="1:12" x14ac:dyDescent="0.35">
      <c r="A899" s="8" t="s">
        <v>1813</v>
      </c>
      <c r="B899" s="2" t="str">
        <f>_xlfn.XLOOKUP(A899,Sheet1!A:A,Sheet1!B:B)</f>
        <v>Randall Barrett</v>
      </c>
      <c r="C899" s="2" t="str">
        <f>_xlfn.XLOOKUP(A:A,Sheet1!A:A,Sheet1!D:D)</f>
        <v>Male</v>
      </c>
      <c r="D899" s="8">
        <f>_xlfn.XLOOKUP(A:A,Sheet1!A:A,Sheet1!F:F)</f>
        <v>26</v>
      </c>
      <c r="E899" s="2" t="str">
        <f>_xlfn.XLOOKUP(A:A,Sheet1!A:A,Sheet1!G:G)</f>
        <v>Netherlands</v>
      </c>
      <c r="F899" s="8" t="str">
        <f>_xlfn.XLOOKUP(A:A,Sheet1!A:A,Sheet1!H:H)</f>
        <v>Dutch</v>
      </c>
      <c r="G899" s="8" t="str">
        <f>_xlfn.XLOOKUP(A:A,Sheet1!A:A,Sheet1!I:I)</f>
        <v>AI</v>
      </c>
      <c r="H899" s="8">
        <f>_xlfn.XLOOKUP(A:A,Sheet1!A:A,Sheet1!K:K)</f>
        <v>6</v>
      </c>
      <c r="I899" s="9">
        <f>_xlfn.XLOOKUP(A:A,Sheet1!A:A,Sheet1!M:M)</f>
        <v>40</v>
      </c>
      <c r="J899" s="10">
        <f>_xlfn.XLOOKUP(A:A,Sheet1!A:A,Sheet1!O:O)</f>
        <v>1.3</v>
      </c>
      <c r="K899" t="str">
        <f>_xlfn.XLOOKUP(A:A,Sheet1!A:A,Sheet1!P:P)</f>
        <v>No</v>
      </c>
      <c r="L899" s="12">
        <f>_xlfn.XLOOKUP(A:A,Sheet1!A:A,Sheet1!S:S)</f>
        <v>0.79269417475728277</v>
      </c>
    </row>
    <row r="900" spans="1:12" x14ac:dyDescent="0.35">
      <c r="A900" s="8" t="s">
        <v>1815</v>
      </c>
      <c r="B900" s="2" t="str">
        <f>_xlfn.XLOOKUP(A900,Sheet1!A:A,Sheet1!B:B)</f>
        <v>Nathan Huff</v>
      </c>
      <c r="C900" s="2" t="str">
        <f>_xlfn.XLOOKUP(A:A,Sheet1!A:A,Sheet1!D:D)</f>
        <v>Male</v>
      </c>
      <c r="D900" s="8">
        <f>_xlfn.XLOOKUP(A:A,Sheet1!A:A,Sheet1!F:F)</f>
        <v>21</v>
      </c>
      <c r="E900" s="2" t="str">
        <f>_xlfn.XLOOKUP(A:A,Sheet1!A:A,Sheet1!G:G)</f>
        <v>Germany</v>
      </c>
      <c r="F900" s="8" t="str">
        <f>_xlfn.XLOOKUP(A:A,Sheet1!A:A,Sheet1!H:H)</f>
        <v>German</v>
      </c>
      <c r="G900" s="8" t="str">
        <f>_xlfn.XLOOKUP(A:A,Sheet1!A:A,Sheet1!I:I)</f>
        <v>UI/UX Design</v>
      </c>
      <c r="H900" s="8">
        <f>_xlfn.XLOOKUP(A:A,Sheet1!A:A,Sheet1!K:K)</f>
        <v>3</v>
      </c>
      <c r="I900" s="9">
        <f>_xlfn.XLOOKUP(A:A,Sheet1!A:A,Sheet1!M:M)</f>
        <v>50</v>
      </c>
      <c r="J900" s="10">
        <f>_xlfn.XLOOKUP(A:A,Sheet1!A:A,Sheet1!O:O)</f>
        <v>4.5999999999999996</v>
      </c>
      <c r="K900" t="str">
        <f>_xlfn.XLOOKUP(A:A,Sheet1!A:A,Sheet1!P:P)</f>
        <v>Yes</v>
      </c>
      <c r="L900" s="12">
        <f>_xlfn.XLOOKUP(A:A,Sheet1!A:A,Sheet1!S:S)</f>
        <v>0.79269417475728277</v>
      </c>
    </row>
    <row r="901" spans="1:12" x14ac:dyDescent="0.35">
      <c r="A901" s="8" t="s">
        <v>1817</v>
      </c>
      <c r="B901" s="2" t="str">
        <f>_xlfn.XLOOKUP(A901,Sheet1!A:A,Sheet1!B:B)</f>
        <v>Robin Walsh</v>
      </c>
      <c r="C901" s="2" t="str">
        <f>_xlfn.XLOOKUP(A:A,Sheet1!A:A,Sheet1!D:D)</f>
        <v>Female</v>
      </c>
      <c r="D901" s="8">
        <f>_xlfn.XLOOKUP(A:A,Sheet1!A:A,Sheet1!F:F)</f>
        <v>39</v>
      </c>
      <c r="E901" s="2" t="str">
        <f>_xlfn.XLOOKUP(A:A,Sheet1!A:A,Sheet1!G:G)</f>
        <v>Indonesia</v>
      </c>
      <c r="F901" s="8" t="str">
        <f>_xlfn.XLOOKUP(A:A,Sheet1!A:A,Sheet1!H:H)</f>
        <v>Indonesian</v>
      </c>
      <c r="G901" s="8" t="str">
        <f>_xlfn.XLOOKUP(A:A,Sheet1!A:A,Sheet1!I:I)</f>
        <v>UI/UX Design</v>
      </c>
      <c r="H901" s="8">
        <f>_xlfn.XLOOKUP(A:A,Sheet1!A:A,Sheet1!K:K)</f>
        <v>18</v>
      </c>
      <c r="I901" s="9">
        <f>_xlfn.XLOOKUP(A:A,Sheet1!A:A,Sheet1!M:M)</f>
        <v>50</v>
      </c>
      <c r="J901" s="10">
        <f>_xlfn.XLOOKUP(A:A,Sheet1!A:A,Sheet1!O:O)</f>
        <v>2.1</v>
      </c>
      <c r="K901" t="str">
        <f>_xlfn.XLOOKUP(A:A,Sheet1!A:A,Sheet1!P:P)</f>
        <v>No</v>
      </c>
      <c r="L901" s="12">
        <f>_xlfn.XLOOKUP(A:A,Sheet1!A:A,Sheet1!S:S)</f>
        <v>0.75</v>
      </c>
    </row>
    <row r="902" spans="1:12" x14ac:dyDescent="0.35">
      <c r="A902" s="8" t="s">
        <v>1819</v>
      </c>
      <c r="B902" s="2" t="str">
        <f>_xlfn.XLOOKUP(A902,Sheet1!A:A,Sheet1!B:B)</f>
        <v>Yvonne Robinson</v>
      </c>
      <c r="C902" s="2" t="str">
        <f>_xlfn.XLOOKUP(A:A,Sheet1!A:A,Sheet1!D:D)</f>
        <v>Female</v>
      </c>
      <c r="D902" s="8">
        <f>_xlfn.XLOOKUP(A:A,Sheet1!A:A,Sheet1!F:F)</f>
        <v>37</v>
      </c>
      <c r="E902" s="2" t="str">
        <f>_xlfn.XLOOKUP(A:A,Sheet1!A:A,Sheet1!G:G)</f>
        <v>United States</v>
      </c>
      <c r="F902" s="8" t="str">
        <f>_xlfn.XLOOKUP(A:A,Sheet1!A:A,Sheet1!H:H)</f>
        <v>English</v>
      </c>
      <c r="G902" s="8" t="str">
        <f>_xlfn.XLOOKUP(A:A,Sheet1!A:A,Sheet1!I:I)</f>
        <v>Blockchain Development</v>
      </c>
      <c r="H902" s="8">
        <f>_xlfn.XLOOKUP(A:A,Sheet1!A:A,Sheet1!K:K)</f>
        <v>18</v>
      </c>
      <c r="I902" s="9">
        <f>_xlfn.XLOOKUP(A:A,Sheet1!A:A,Sheet1!M:M)</f>
        <v>40</v>
      </c>
      <c r="J902" s="10">
        <f>_xlfn.XLOOKUP(A:A,Sheet1!A:A,Sheet1!O:O)</f>
        <v>4.5</v>
      </c>
      <c r="K902" t="str">
        <f>_xlfn.XLOOKUP(A:A,Sheet1!A:A,Sheet1!P:P)</f>
        <v>No</v>
      </c>
      <c r="L902" s="12">
        <f>_xlfn.XLOOKUP(A:A,Sheet1!A:A,Sheet1!S:S)</f>
        <v>0.72</v>
      </c>
    </row>
    <row r="903" spans="1:12" x14ac:dyDescent="0.35">
      <c r="A903" s="8" t="s">
        <v>1821</v>
      </c>
      <c r="B903" s="2" t="str">
        <f>_xlfn.XLOOKUP(A903,Sheet1!A:A,Sheet1!B:B)</f>
        <v>Kathleen Hendrix</v>
      </c>
      <c r="C903" s="2" t="str">
        <f>_xlfn.XLOOKUP(A:A,Sheet1!A:A,Sheet1!D:D)</f>
        <v>Female</v>
      </c>
      <c r="D903" s="8">
        <f>_xlfn.XLOOKUP(A:A,Sheet1!A:A,Sheet1!F:F)</f>
        <v>47</v>
      </c>
      <c r="E903" s="2" t="str">
        <f>_xlfn.XLOOKUP(A:A,Sheet1!A:A,Sheet1!G:G)</f>
        <v>Russia</v>
      </c>
      <c r="F903" s="8" t="str">
        <f>_xlfn.XLOOKUP(A:A,Sheet1!A:A,Sheet1!H:H)</f>
        <v>Russian</v>
      </c>
      <c r="G903" s="8" t="str">
        <f>_xlfn.XLOOKUP(A:A,Sheet1!A:A,Sheet1!I:I)</f>
        <v>UI/UX Design</v>
      </c>
      <c r="H903" s="8">
        <f>_xlfn.XLOOKUP(A:A,Sheet1!A:A,Sheet1!K:K)</f>
        <v>3</v>
      </c>
      <c r="I903" s="9">
        <f>_xlfn.XLOOKUP(A:A,Sheet1!A:A,Sheet1!M:M)</f>
        <v>40</v>
      </c>
      <c r="J903" s="10">
        <f>_xlfn.XLOOKUP(A:A,Sheet1!A:A,Sheet1!O:O)</f>
        <v>4.4000000000000004</v>
      </c>
      <c r="K903" t="str">
        <f>_xlfn.XLOOKUP(A:A,Sheet1!A:A,Sheet1!P:P)</f>
        <v>Yes</v>
      </c>
      <c r="L903" s="12">
        <f>_xlfn.XLOOKUP(A:A,Sheet1!A:A,Sheet1!S:S)</f>
        <v>0.92</v>
      </c>
    </row>
    <row r="904" spans="1:12" x14ac:dyDescent="0.35">
      <c r="A904" s="8" t="s">
        <v>1823</v>
      </c>
      <c r="B904" s="2" t="str">
        <f>_xlfn.XLOOKUP(A904,Sheet1!A:A,Sheet1!B:B)</f>
        <v>Jennifer Baker</v>
      </c>
      <c r="C904" s="2" t="str">
        <f>_xlfn.XLOOKUP(A:A,Sheet1!A:A,Sheet1!D:D)</f>
        <v>Female</v>
      </c>
      <c r="D904" s="8">
        <f>_xlfn.XLOOKUP(A:A,Sheet1!A:A,Sheet1!F:F)</f>
        <v>53</v>
      </c>
      <c r="E904" s="2" t="str">
        <f>_xlfn.XLOOKUP(A:A,Sheet1!A:A,Sheet1!G:G)</f>
        <v>Russia</v>
      </c>
      <c r="F904" s="8" t="str">
        <f>_xlfn.XLOOKUP(A:A,Sheet1!A:A,Sheet1!H:H)</f>
        <v>Russian</v>
      </c>
      <c r="G904" s="8" t="str">
        <f>_xlfn.XLOOKUP(A:A,Sheet1!A:A,Sheet1!I:I)</f>
        <v>Graphic Design</v>
      </c>
      <c r="H904" s="8">
        <f>_xlfn.XLOOKUP(A:A,Sheet1!A:A,Sheet1!K:K)</f>
        <v>32</v>
      </c>
      <c r="I904" s="9">
        <f>_xlfn.XLOOKUP(A:A,Sheet1!A:A,Sheet1!M:M)</f>
        <v>20</v>
      </c>
      <c r="J904" s="11">
        <v>0</v>
      </c>
      <c r="K904" t="str">
        <f>_xlfn.XLOOKUP(A:A,Sheet1!A:A,Sheet1!P:P)</f>
        <v>No</v>
      </c>
      <c r="L904" s="12">
        <f>_xlfn.XLOOKUP(A:A,Sheet1!A:A,Sheet1!S:S)</f>
        <v>0.79269417475728277</v>
      </c>
    </row>
    <row r="905" spans="1:12" x14ac:dyDescent="0.35">
      <c r="A905" s="8" t="s">
        <v>1825</v>
      </c>
      <c r="B905" s="2" t="str">
        <f>_xlfn.XLOOKUP(A905,Sheet1!A:A,Sheet1!B:B)</f>
        <v>Kim Martinez</v>
      </c>
      <c r="C905" s="2" t="str">
        <f>_xlfn.XLOOKUP(A:A,Sheet1!A:A,Sheet1!D:D)</f>
        <v>Female</v>
      </c>
      <c r="D905" s="8">
        <f>_xlfn.XLOOKUP(A:A,Sheet1!A:A,Sheet1!F:F)</f>
        <v>53</v>
      </c>
      <c r="E905" s="2" t="str">
        <f>_xlfn.XLOOKUP(A:A,Sheet1!A:A,Sheet1!G:G)</f>
        <v>Argentina</v>
      </c>
      <c r="F905" s="8" t="str">
        <f>_xlfn.XLOOKUP(A:A,Sheet1!A:A,Sheet1!H:H)</f>
        <v>Spanish</v>
      </c>
      <c r="G905" s="8" t="str">
        <f>_xlfn.XLOOKUP(A:A,Sheet1!A:A,Sheet1!I:I)</f>
        <v>Mobile Apps</v>
      </c>
      <c r="H905" s="8">
        <f>_xlfn.XLOOKUP(A:A,Sheet1!A:A,Sheet1!K:K)</f>
        <v>19</v>
      </c>
      <c r="I905" s="9">
        <f>_xlfn.XLOOKUP(A:A,Sheet1!A:A,Sheet1!M:M)</f>
        <v>20</v>
      </c>
      <c r="J905" s="10">
        <f>_xlfn.XLOOKUP(A:A,Sheet1!A:A,Sheet1!O:O)</f>
        <v>1.3</v>
      </c>
      <c r="K905" t="str">
        <f>_xlfn.XLOOKUP(A:A,Sheet1!A:A,Sheet1!P:P)</f>
        <v>No</v>
      </c>
      <c r="L905" s="12">
        <f>_xlfn.XLOOKUP(A:A,Sheet1!A:A,Sheet1!S:S)</f>
        <v>0.79269417475728277</v>
      </c>
    </row>
    <row r="906" spans="1:12" x14ac:dyDescent="0.35">
      <c r="A906" s="8" t="s">
        <v>1827</v>
      </c>
      <c r="B906" s="2" t="str">
        <f>_xlfn.XLOOKUP(A906,Sheet1!A:A,Sheet1!B:B)</f>
        <v>Andrew Little</v>
      </c>
      <c r="C906" s="2" t="str">
        <f>_xlfn.XLOOKUP(A:A,Sheet1!A:A,Sheet1!D:D)</f>
        <v>Male</v>
      </c>
      <c r="D906" s="8">
        <f>_xlfn.XLOOKUP(A:A,Sheet1!A:A,Sheet1!F:F)</f>
        <v>21</v>
      </c>
      <c r="E906" s="2" t="str">
        <f>_xlfn.XLOOKUP(A:A,Sheet1!A:A,Sheet1!G:G)</f>
        <v>India</v>
      </c>
      <c r="F906" s="8" t="str">
        <f>_xlfn.XLOOKUP(A:A,Sheet1!A:A,Sheet1!H:H)</f>
        <v>Hindi</v>
      </c>
      <c r="G906" s="8" t="str">
        <f>_xlfn.XLOOKUP(A:A,Sheet1!A:A,Sheet1!I:I)</f>
        <v>Data Analysis</v>
      </c>
      <c r="H906" s="8">
        <f>_xlfn.XLOOKUP(A:A,Sheet1!A:A,Sheet1!K:K)</f>
        <v>2</v>
      </c>
      <c r="I906" s="9">
        <f>_xlfn.XLOOKUP(A:A,Sheet1!A:A,Sheet1!M:M)</f>
        <v>50</v>
      </c>
      <c r="J906" s="10">
        <f>_xlfn.XLOOKUP(A:A,Sheet1!A:A,Sheet1!O:O)</f>
        <v>2.6</v>
      </c>
      <c r="K906" t="str">
        <f>_xlfn.XLOOKUP(A:A,Sheet1!A:A,Sheet1!P:P)</f>
        <v>No</v>
      </c>
      <c r="L906" s="12">
        <f>_xlfn.XLOOKUP(A:A,Sheet1!A:A,Sheet1!S:S)</f>
        <v>0.86</v>
      </c>
    </row>
    <row r="907" spans="1:12" x14ac:dyDescent="0.35">
      <c r="A907" s="8" t="s">
        <v>1829</v>
      </c>
      <c r="B907" s="2" t="str">
        <f>_xlfn.XLOOKUP(A907,Sheet1!A:A,Sheet1!B:B)</f>
        <v>Kelly Shelton</v>
      </c>
      <c r="C907" s="2" t="str">
        <f>_xlfn.XLOOKUP(A:A,Sheet1!A:A,Sheet1!D:D)</f>
        <v>Female</v>
      </c>
      <c r="D907" s="8">
        <f>_xlfn.XLOOKUP(A:A,Sheet1!A:A,Sheet1!F:F)</f>
        <v>35</v>
      </c>
      <c r="E907" s="2" t="str">
        <f>_xlfn.XLOOKUP(A:A,Sheet1!A:A,Sheet1!G:G)</f>
        <v>United Kingdom</v>
      </c>
      <c r="F907" s="8" t="str">
        <f>_xlfn.XLOOKUP(A:A,Sheet1!A:A,Sheet1!H:H)</f>
        <v>English</v>
      </c>
      <c r="G907" s="8" t="str">
        <f>_xlfn.XLOOKUP(A:A,Sheet1!A:A,Sheet1!I:I)</f>
        <v>Blockchain Development</v>
      </c>
      <c r="H907" s="8">
        <f>_xlfn.XLOOKUP(A:A,Sheet1!A:A,Sheet1!K:K)</f>
        <v>0</v>
      </c>
      <c r="I907" s="9">
        <f>_xlfn.XLOOKUP(A:A,Sheet1!A:A,Sheet1!M:M)</f>
        <v>40</v>
      </c>
      <c r="J907" s="10">
        <f>_xlfn.XLOOKUP(A:A,Sheet1!A:A,Sheet1!O:O)</f>
        <v>2.5125695216907653</v>
      </c>
      <c r="K907" t="str">
        <f>_xlfn.XLOOKUP(A:A,Sheet1!A:A,Sheet1!P:P)</f>
        <v>Yes</v>
      </c>
      <c r="L907" s="12">
        <f>_xlfn.XLOOKUP(A:A,Sheet1!A:A,Sheet1!S:S)</f>
        <v>0.85</v>
      </c>
    </row>
    <row r="908" spans="1:12" x14ac:dyDescent="0.35">
      <c r="A908" s="8" t="s">
        <v>1831</v>
      </c>
      <c r="B908" s="2" t="str">
        <f>_xlfn.XLOOKUP(A908,Sheet1!A:A,Sheet1!B:B)</f>
        <v>Steven Duncan</v>
      </c>
      <c r="C908" s="2" t="str">
        <f>_xlfn.XLOOKUP(A:A,Sheet1!A:A,Sheet1!D:D)</f>
        <v>Male</v>
      </c>
      <c r="D908" s="8">
        <f>_xlfn.XLOOKUP(A:A,Sheet1!A:A,Sheet1!F:F)</f>
        <v>31</v>
      </c>
      <c r="E908" s="2" t="str">
        <f>_xlfn.XLOOKUP(A:A,Sheet1!A:A,Sheet1!G:G)</f>
        <v>Argentina</v>
      </c>
      <c r="F908" s="8" t="str">
        <f>_xlfn.XLOOKUP(A:A,Sheet1!A:A,Sheet1!H:H)</f>
        <v>Spanish</v>
      </c>
      <c r="G908" s="8" t="str">
        <f>_xlfn.XLOOKUP(A:A,Sheet1!A:A,Sheet1!I:I)</f>
        <v>Machine Learning</v>
      </c>
      <c r="H908" s="8">
        <f>_xlfn.XLOOKUP(A:A,Sheet1!A:A,Sheet1!K:K)</f>
        <v>13</v>
      </c>
      <c r="I908" s="9">
        <f>_xlfn.XLOOKUP(A:A,Sheet1!A:A,Sheet1!M:M)</f>
        <v>40</v>
      </c>
      <c r="J908" s="10">
        <f>_xlfn.XLOOKUP(A:A,Sheet1!A:A,Sheet1!O:O)</f>
        <v>1.2</v>
      </c>
      <c r="K908" t="str">
        <f>_xlfn.XLOOKUP(A:A,Sheet1!A:A,Sheet1!P:P)</f>
        <v>No</v>
      </c>
      <c r="L908" s="12">
        <f>_xlfn.XLOOKUP(A:A,Sheet1!A:A,Sheet1!S:S)</f>
        <v>0.62</v>
      </c>
    </row>
    <row r="909" spans="1:12" x14ac:dyDescent="0.35">
      <c r="A909" s="8" t="s">
        <v>1833</v>
      </c>
      <c r="B909" s="2" t="str">
        <f>_xlfn.XLOOKUP(A909,Sheet1!A:A,Sheet1!B:B)</f>
        <v>Kristen Haney</v>
      </c>
      <c r="C909" s="2" t="str">
        <f>_xlfn.XLOOKUP(A:A,Sheet1!A:A,Sheet1!D:D)</f>
        <v>Female</v>
      </c>
      <c r="D909" s="8">
        <f>_xlfn.XLOOKUP(A:A,Sheet1!A:A,Sheet1!F:F)</f>
        <v>55</v>
      </c>
      <c r="E909" s="2" t="str">
        <f>_xlfn.XLOOKUP(A:A,Sheet1!A:A,Sheet1!G:G)</f>
        <v>South Korea</v>
      </c>
      <c r="F909" s="8" t="str">
        <f>_xlfn.XLOOKUP(A:A,Sheet1!A:A,Sheet1!H:H)</f>
        <v>Korean</v>
      </c>
      <c r="G909" s="8" t="str">
        <f>_xlfn.XLOOKUP(A:A,Sheet1!A:A,Sheet1!I:I)</f>
        <v>AI</v>
      </c>
      <c r="H909" s="8">
        <f>_xlfn.XLOOKUP(A:A,Sheet1!A:A,Sheet1!K:K)</f>
        <v>2</v>
      </c>
      <c r="I909" s="9">
        <f>_xlfn.XLOOKUP(A:A,Sheet1!A:A,Sheet1!M:M)</f>
        <v>30</v>
      </c>
      <c r="J909" s="10">
        <f>_xlfn.XLOOKUP(A:A,Sheet1!A:A,Sheet1!O:O)</f>
        <v>3.1</v>
      </c>
      <c r="K909" t="str">
        <f>_xlfn.XLOOKUP(A:A,Sheet1!A:A,Sheet1!P:P)</f>
        <v>Yes</v>
      </c>
      <c r="L909" s="12">
        <f>_xlfn.XLOOKUP(A:A,Sheet1!A:A,Sheet1!S:S)</f>
        <v>0.91</v>
      </c>
    </row>
    <row r="910" spans="1:12" x14ac:dyDescent="0.35">
      <c r="A910" s="8" t="s">
        <v>1835</v>
      </c>
      <c r="B910" s="2" t="str">
        <f>_xlfn.XLOOKUP(A910,Sheet1!A:A,Sheet1!B:B)</f>
        <v>Kathy Reese</v>
      </c>
      <c r="C910" s="2" t="str">
        <f>_xlfn.XLOOKUP(A:A,Sheet1!A:A,Sheet1!D:D)</f>
        <v>Female</v>
      </c>
      <c r="D910" s="8">
        <f>_xlfn.XLOOKUP(A:A,Sheet1!A:A,Sheet1!F:F)</f>
        <v>59</v>
      </c>
      <c r="E910" s="2" t="str">
        <f>_xlfn.XLOOKUP(A:A,Sheet1!A:A,Sheet1!G:G)</f>
        <v>Turkey</v>
      </c>
      <c r="F910" s="8" t="str">
        <f>_xlfn.XLOOKUP(A:A,Sheet1!A:A,Sheet1!H:H)</f>
        <v>Turkish</v>
      </c>
      <c r="G910" s="8" t="str">
        <f>_xlfn.XLOOKUP(A:A,Sheet1!A:A,Sheet1!I:I)</f>
        <v>Web Development</v>
      </c>
      <c r="H910" s="8">
        <f>_xlfn.XLOOKUP(A:A,Sheet1!A:A,Sheet1!K:K)</f>
        <v>11</v>
      </c>
      <c r="I910" s="9">
        <f>_xlfn.XLOOKUP(A:A,Sheet1!A:A,Sheet1!M:M)</f>
        <v>75</v>
      </c>
      <c r="J910" s="10">
        <f>_xlfn.XLOOKUP(A:A,Sheet1!A:A,Sheet1!O:O)</f>
        <v>2.2999999999999998</v>
      </c>
      <c r="K910" t="str">
        <f>_xlfn.XLOOKUP(A:A,Sheet1!A:A,Sheet1!P:P)</f>
        <v>Yes</v>
      </c>
      <c r="L910" s="12">
        <f>_xlfn.XLOOKUP(A:A,Sheet1!A:A,Sheet1!S:S)</f>
        <v>0.8</v>
      </c>
    </row>
    <row r="911" spans="1:12" x14ac:dyDescent="0.35">
      <c r="A911" s="8" t="s">
        <v>1837</v>
      </c>
      <c r="B911" s="2" t="str">
        <f>_xlfn.XLOOKUP(A911,Sheet1!A:A,Sheet1!B:B)</f>
        <v>Steven Murphy</v>
      </c>
      <c r="C911" s="2" t="str">
        <f>_xlfn.XLOOKUP(A:A,Sheet1!A:A,Sheet1!D:D)</f>
        <v>Male</v>
      </c>
      <c r="D911" s="8">
        <f>_xlfn.XLOOKUP(A:A,Sheet1!A:A,Sheet1!F:F)</f>
        <v>59</v>
      </c>
      <c r="E911" s="2" t="str">
        <f>_xlfn.XLOOKUP(A:A,Sheet1!A:A,Sheet1!G:G)</f>
        <v>France</v>
      </c>
      <c r="F911" s="8" t="str">
        <f>_xlfn.XLOOKUP(A:A,Sheet1!A:A,Sheet1!H:H)</f>
        <v>French</v>
      </c>
      <c r="G911" s="8" t="str">
        <f>_xlfn.XLOOKUP(A:A,Sheet1!A:A,Sheet1!I:I)</f>
        <v>Cybersecurity</v>
      </c>
      <c r="H911" s="8">
        <f>_xlfn.XLOOKUP(A:A,Sheet1!A:A,Sheet1!K:K)</f>
        <v>17</v>
      </c>
      <c r="I911" s="9">
        <f>_xlfn.XLOOKUP(A:A,Sheet1!A:A,Sheet1!M:M)</f>
        <v>100</v>
      </c>
      <c r="J911" s="10">
        <f>_xlfn.XLOOKUP(A:A,Sheet1!A:A,Sheet1!O:O)</f>
        <v>4</v>
      </c>
      <c r="K911" t="str">
        <f>_xlfn.XLOOKUP(A:A,Sheet1!A:A,Sheet1!P:P)</f>
        <v>No</v>
      </c>
      <c r="L911" s="12">
        <f>_xlfn.XLOOKUP(A:A,Sheet1!A:A,Sheet1!S:S)</f>
        <v>0.72</v>
      </c>
    </row>
    <row r="912" spans="1:12" x14ac:dyDescent="0.35">
      <c r="A912" s="8" t="s">
        <v>1839</v>
      </c>
      <c r="B912" s="2" t="str">
        <f>_xlfn.XLOOKUP(A912,Sheet1!A:A,Sheet1!B:B)</f>
        <v>William Hartman</v>
      </c>
      <c r="C912" s="2" t="str">
        <f>_xlfn.XLOOKUP(A:A,Sheet1!A:A,Sheet1!D:D)</f>
        <v>Male</v>
      </c>
      <c r="D912" s="8">
        <f>_xlfn.XLOOKUP(A:A,Sheet1!A:A,Sheet1!F:F)</f>
        <v>47</v>
      </c>
      <c r="E912" s="2" t="str">
        <f>_xlfn.XLOOKUP(A:A,Sheet1!A:A,Sheet1!G:G)</f>
        <v>India</v>
      </c>
      <c r="F912" s="8" t="str">
        <f>_xlfn.XLOOKUP(A:A,Sheet1!A:A,Sheet1!H:H)</f>
        <v>Hindi</v>
      </c>
      <c r="G912" s="8" t="str">
        <f>_xlfn.XLOOKUP(A:A,Sheet1!A:A,Sheet1!I:I)</f>
        <v>Blockchain Development</v>
      </c>
      <c r="H912" s="8">
        <f>_xlfn.XLOOKUP(A:A,Sheet1!A:A,Sheet1!K:K)</f>
        <v>10</v>
      </c>
      <c r="I912" s="9">
        <f>_xlfn.XLOOKUP(A:A,Sheet1!A:A,Sheet1!M:M)</f>
        <v>75</v>
      </c>
      <c r="J912" s="10">
        <f>_xlfn.XLOOKUP(A:A,Sheet1!A:A,Sheet1!O:O)</f>
        <v>1.9</v>
      </c>
      <c r="K912" t="str">
        <f>_xlfn.XLOOKUP(A:A,Sheet1!A:A,Sheet1!P:P)</f>
        <v>No</v>
      </c>
      <c r="L912" s="12">
        <f>_xlfn.XLOOKUP(A:A,Sheet1!A:A,Sheet1!S:S)</f>
        <v>0.79269417475728277</v>
      </c>
    </row>
    <row r="913" spans="1:12" x14ac:dyDescent="0.35">
      <c r="A913" s="8" t="s">
        <v>1841</v>
      </c>
      <c r="B913" s="2" t="str">
        <f>_xlfn.XLOOKUP(A913,Sheet1!A:A,Sheet1!B:B)</f>
        <v>Sonya Haley</v>
      </c>
      <c r="C913" s="2" t="str">
        <f>_xlfn.XLOOKUP(A:A,Sheet1!A:A,Sheet1!D:D)</f>
        <v>Female</v>
      </c>
      <c r="D913" s="8">
        <f>_xlfn.XLOOKUP(A:A,Sheet1!A:A,Sheet1!F:F)</f>
        <v>53</v>
      </c>
      <c r="E913" s="2" t="str">
        <f>_xlfn.XLOOKUP(A:A,Sheet1!A:A,Sheet1!G:G)</f>
        <v>South Africa</v>
      </c>
      <c r="F913" s="8" t="str">
        <f>_xlfn.XLOOKUP(A:A,Sheet1!A:A,Sheet1!H:H)</f>
        <v>Afrikaans</v>
      </c>
      <c r="G913" s="8" t="str">
        <f>_xlfn.XLOOKUP(A:A,Sheet1!A:A,Sheet1!I:I)</f>
        <v>Machine Learning</v>
      </c>
      <c r="H913" s="8">
        <f>_xlfn.XLOOKUP(A:A,Sheet1!A:A,Sheet1!K:K)</f>
        <v>26</v>
      </c>
      <c r="I913" s="9">
        <f>_xlfn.XLOOKUP(A:A,Sheet1!A:A,Sheet1!M:M)</f>
        <v>75</v>
      </c>
      <c r="J913" s="10">
        <f>_xlfn.XLOOKUP(A:A,Sheet1!A:A,Sheet1!O:O)</f>
        <v>2.4</v>
      </c>
      <c r="K913" t="str">
        <f>_xlfn.XLOOKUP(A:A,Sheet1!A:A,Sheet1!P:P)</f>
        <v>Yes</v>
      </c>
      <c r="L913" s="12">
        <f>_xlfn.XLOOKUP(A:A,Sheet1!A:A,Sheet1!S:S)</f>
        <v>0.79269417475728277</v>
      </c>
    </row>
    <row r="914" spans="1:12" x14ac:dyDescent="0.35">
      <c r="A914" s="8" t="s">
        <v>1843</v>
      </c>
      <c r="B914" s="2" t="str">
        <f>_xlfn.XLOOKUP(A914,Sheet1!A:A,Sheet1!B:B)</f>
        <v>Robert Evans</v>
      </c>
      <c r="C914" s="2" t="str">
        <f>_xlfn.XLOOKUP(A:A,Sheet1!A:A,Sheet1!D:D)</f>
        <v>Male</v>
      </c>
      <c r="D914" s="8">
        <f>_xlfn.XLOOKUP(A:A,Sheet1!A:A,Sheet1!F:F)</f>
        <v>49</v>
      </c>
      <c r="E914" s="2" t="str">
        <f>_xlfn.XLOOKUP(A:A,Sheet1!A:A,Sheet1!G:G)</f>
        <v>South Africa</v>
      </c>
      <c r="F914" s="8" t="str">
        <f>_xlfn.XLOOKUP(A:A,Sheet1!A:A,Sheet1!H:H)</f>
        <v>Afrikaans</v>
      </c>
      <c r="G914" s="8" t="str">
        <f>_xlfn.XLOOKUP(A:A,Sheet1!A:A,Sheet1!I:I)</f>
        <v>Data Analysis</v>
      </c>
      <c r="H914" s="8">
        <f>_xlfn.XLOOKUP(A:A,Sheet1!A:A,Sheet1!K:K)</f>
        <v>9</v>
      </c>
      <c r="I914" s="9">
        <f>_xlfn.XLOOKUP(A:A,Sheet1!A:A,Sheet1!M:M)</f>
        <v>30</v>
      </c>
      <c r="J914" s="10">
        <f>_xlfn.XLOOKUP(A:A,Sheet1!A:A,Sheet1!O:O)</f>
        <v>2.5125695216907653</v>
      </c>
      <c r="K914" t="str">
        <f>_xlfn.XLOOKUP(A:A,Sheet1!A:A,Sheet1!P:P)</f>
        <v>Yes</v>
      </c>
      <c r="L914" s="12">
        <f>_xlfn.XLOOKUP(A:A,Sheet1!A:A,Sheet1!S:S)</f>
        <v>0.74</v>
      </c>
    </row>
    <row r="915" spans="1:12" x14ac:dyDescent="0.35">
      <c r="A915" s="8" t="s">
        <v>1844</v>
      </c>
      <c r="B915" s="2" t="str">
        <f>_xlfn.XLOOKUP(A915,Sheet1!A:A,Sheet1!B:B)</f>
        <v>Patricia Richardson</v>
      </c>
      <c r="C915" s="2" t="str">
        <f>_xlfn.XLOOKUP(A:A,Sheet1!A:A,Sheet1!D:D)</f>
        <v>Female</v>
      </c>
      <c r="D915" s="8">
        <f>_xlfn.XLOOKUP(A:A,Sheet1!A:A,Sheet1!F:F)</f>
        <v>50</v>
      </c>
      <c r="E915" s="2" t="str">
        <f>_xlfn.XLOOKUP(A:A,Sheet1!A:A,Sheet1!G:G)</f>
        <v>South Africa</v>
      </c>
      <c r="F915" s="8" t="str">
        <f>_xlfn.XLOOKUP(A:A,Sheet1!A:A,Sheet1!H:H)</f>
        <v>Afrikaans</v>
      </c>
      <c r="G915" s="8" t="str">
        <f>_xlfn.XLOOKUP(A:A,Sheet1!A:A,Sheet1!I:I)</f>
        <v>Mobile Apps</v>
      </c>
      <c r="H915" s="8">
        <f>_xlfn.XLOOKUP(A:A,Sheet1!A:A,Sheet1!K:K)</f>
        <v>8</v>
      </c>
      <c r="I915" s="9">
        <f>_xlfn.XLOOKUP(A:A,Sheet1!A:A,Sheet1!M:M)</f>
        <v>50</v>
      </c>
      <c r="J915" s="10">
        <f>_xlfn.XLOOKUP(A:A,Sheet1!A:A,Sheet1!O:O)</f>
        <v>3.7</v>
      </c>
      <c r="K915" t="str">
        <f>_xlfn.XLOOKUP(A:A,Sheet1!A:A,Sheet1!P:P)</f>
        <v>Yes</v>
      </c>
      <c r="L915" s="12">
        <f>_xlfn.XLOOKUP(A:A,Sheet1!A:A,Sheet1!S:S)</f>
        <v>0.82</v>
      </c>
    </row>
    <row r="916" spans="1:12" x14ac:dyDescent="0.35">
      <c r="A916" s="8" t="s">
        <v>1846</v>
      </c>
      <c r="B916" s="2" t="str">
        <f>_xlfn.XLOOKUP(A916,Sheet1!A:A,Sheet1!B:B)</f>
        <v>Carolyn Lopez</v>
      </c>
      <c r="C916" s="2" t="str">
        <f>_xlfn.XLOOKUP(A:A,Sheet1!A:A,Sheet1!D:D)</f>
        <v>Female</v>
      </c>
      <c r="D916" s="8">
        <f>_xlfn.XLOOKUP(A:A,Sheet1!A:A,Sheet1!F:F)</f>
        <v>59</v>
      </c>
      <c r="E916" s="2" t="str">
        <f>_xlfn.XLOOKUP(A:A,Sheet1!A:A,Sheet1!G:G)</f>
        <v>South Korea</v>
      </c>
      <c r="F916" s="8" t="str">
        <f>_xlfn.XLOOKUP(A:A,Sheet1!A:A,Sheet1!H:H)</f>
        <v>Korean</v>
      </c>
      <c r="G916" s="8" t="str">
        <f>_xlfn.XLOOKUP(A:A,Sheet1!A:A,Sheet1!I:I)</f>
        <v>Machine Learning</v>
      </c>
      <c r="H916" s="8">
        <f>_xlfn.XLOOKUP(A:A,Sheet1!A:A,Sheet1!K:K)</f>
        <v>22</v>
      </c>
      <c r="I916" s="9">
        <f>_xlfn.XLOOKUP(A:A,Sheet1!A:A,Sheet1!M:M)</f>
        <v>100</v>
      </c>
      <c r="J916" s="10">
        <f>_xlfn.XLOOKUP(A:A,Sheet1!A:A,Sheet1!O:O)</f>
        <v>1.1000000000000001</v>
      </c>
      <c r="K916" t="str">
        <f>_xlfn.XLOOKUP(A:A,Sheet1!A:A,Sheet1!P:P)</f>
        <v>No</v>
      </c>
      <c r="L916" s="12">
        <f>_xlfn.XLOOKUP(A:A,Sheet1!A:A,Sheet1!S:S)</f>
        <v>0.85</v>
      </c>
    </row>
    <row r="917" spans="1:12" x14ac:dyDescent="0.35">
      <c r="A917" s="8" t="s">
        <v>1848</v>
      </c>
      <c r="B917" s="2" t="str">
        <f>_xlfn.XLOOKUP(A917,Sheet1!A:A,Sheet1!B:B)</f>
        <v>Kyle Burns</v>
      </c>
      <c r="C917" s="2" t="str">
        <f>_xlfn.XLOOKUP(A:A,Sheet1!A:A,Sheet1!D:D)</f>
        <v>Male</v>
      </c>
      <c r="D917" s="8">
        <f>_xlfn.XLOOKUP(A:A,Sheet1!A:A,Sheet1!F:F)</f>
        <v>33</v>
      </c>
      <c r="E917" s="2" t="str">
        <f>_xlfn.XLOOKUP(A:A,Sheet1!A:A,Sheet1!G:G)</f>
        <v>Turkey</v>
      </c>
      <c r="F917" s="8" t="str">
        <f>_xlfn.XLOOKUP(A:A,Sheet1!A:A,Sheet1!H:H)</f>
        <v>Turkish</v>
      </c>
      <c r="G917" s="8" t="str">
        <f>_xlfn.XLOOKUP(A:A,Sheet1!A:A,Sheet1!I:I)</f>
        <v>Data Analysis</v>
      </c>
      <c r="H917" s="8">
        <f>_xlfn.XLOOKUP(A:A,Sheet1!A:A,Sheet1!K:K)</f>
        <v>8</v>
      </c>
      <c r="I917" s="9">
        <f>_xlfn.XLOOKUP(A:A,Sheet1!A:A,Sheet1!M:M)</f>
        <v>75</v>
      </c>
      <c r="J917" s="10">
        <f>_xlfn.XLOOKUP(A:A,Sheet1!A:A,Sheet1!O:O)</f>
        <v>2.2999999999999998</v>
      </c>
      <c r="K917" t="str">
        <f>_xlfn.XLOOKUP(A:A,Sheet1!A:A,Sheet1!P:P)</f>
        <v>Yes</v>
      </c>
      <c r="L917" s="12">
        <f>_xlfn.XLOOKUP(A:A,Sheet1!A:A,Sheet1!S:S)</f>
        <v>0.68</v>
      </c>
    </row>
    <row r="918" spans="1:12" x14ac:dyDescent="0.35">
      <c r="A918" s="8" t="s">
        <v>1850</v>
      </c>
      <c r="B918" s="2" t="str">
        <f>_xlfn.XLOOKUP(A918,Sheet1!A:A,Sheet1!B:B)</f>
        <v>Margaret Garcia</v>
      </c>
      <c r="C918" s="2" t="str">
        <f>_xlfn.XLOOKUP(A:A,Sheet1!A:A,Sheet1!D:D)</f>
        <v>Female</v>
      </c>
      <c r="D918" s="8">
        <f>_xlfn.XLOOKUP(A:A,Sheet1!A:A,Sheet1!F:F)</f>
        <v>45</v>
      </c>
      <c r="E918" s="2" t="str">
        <f>_xlfn.XLOOKUP(A:A,Sheet1!A:A,Sheet1!G:G)</f>
        <v>Canada</v>
      </c>
      <c r="F918" s="8" t="str">
        <f>_xlfn.XLOOKUP(A:A,Sheet1!A:A,Sheet1!H:H)</f>
        <v>English</v>
      </c>
      <c r="G918" s="8" t="str">
        <f>_xlfn.XLOOKUP(A:A,Sheet1!A:A,Sheet1!I:I)</f>
        <v>Web Development</v>
      </c>
      <c r="H918" s="8">
        <f>_xlfn.XLOOKUP(A:A,Sheet1!A:A,Sheet1!K:K)</f>
        <v>22</v>
      </c>
      <c r="I918" s="9">
        <f>_xlfn.XLOOKUP(A:A,Sheet1!A:A,Sheet1!M:M)</f>
        <v>40</v>
      </c>
      <c r="J918" s="10">
        <f>_xlfn.XLOOKUP(A:A,Sheet1!A:A,Sheet1!O:O)</f>
        <v>3.7</v>
      </c>
      <c r="K918" t="str">
        <f>_xlfn.XLOOKUP(A:A,Sheet1!A:A,Sheet1!P:P)</f>
        <v>Yes</v>
      </c>
      <c r="L918" s="12">
        <f>_xlfn.XLOOKUP(A:A,Sheet1!A:A,Sheet1!S:S)</f>
        <v>0.99</v>
      </c>
    </row>
    <row r="919" spans="1:12" x14ac:dyDescent="0.35">
      <c r="A919" s="8" t="s">
        <v>1852</v>
      </c>
      <c r="B919" s="2" t="str">
        <f>_xlfn.XLOOKUP(A919,Sheet1!A:A,Sheet1!B:B)</f>
        <v>Brittany Barker</v>
      </c>
      <c r="C919" s="2" t="str">
        <f>_xlfn.XLOOKUP(A:A,Sheet1!A:A,Sheet1!D:D)</f>
        <v>Female</v>
      </c>
      <c r="D919" s="8">
        <f>_xlfn.XLOOKUP(A:A,Sheet1!A:A,Sheet1!F:F)</f>
        <v>36</v>
      </c>
      <c r="E919" s="2" t="str">
        <f>_xlfn.XLOOKUP(A:A,Sheet1!A:A,Sheet1!G:G)</f>
        <v>Italy</v>
      </c>
      <c r="F919" s="8" t="str">
        <f>_xlfn.XLOOKUP(A:A,Sheet1!A:A,Sheet1!H:H)</f>
        <v>Italian</v>
      </c>
      <c r="G919" s="8" t="str">
        <f>_xlfn.XLOOKUP(A:A,Sheet1!A:A,Sheet1!I:I)</f>
        <v>Graphic Design</v>
      </c>
      <c r="H919" s="8">
        <f>_xlfn.XLOOKUP(A:A,Sheet1!A:A,Sheet1!K:K)</f>
        <v>14</v>
      </c>
      <c r="I919" s="9">
        <f>_xlfn.XLOOKUP(A:A,Sheet1!A:A,Sheet1!M:M)</f>
        <v>30</v>
      </c>
      <c r="J919" s="10">
        <f>_xlfn.XLOOKUP(A:A,Sheet1!A:A,Sheet1!O:O)</f>
        <v>1.9</v>
      </c>
      <c r="K919" t="str">
        <f>_xlfn.XLOOKUP(A:A,Sheet1!A:A,Sheet1!P:P)</f>
        <v>No</v>
      </c>
      <c r="L919" s="12">
        <f>_xlfn.XLOOKUP(A:A,Sheet1!A:A,Sheet1!S:S)</f>
        <v>0.62</v>
      </c>
    </row>
    <row r="920" spans="1:12" x14ac:dyDescent="0.35">
      <c r="A920" s="8" t="s">
        <v>1854</v>
      </c>
      <c r="B920" s="2" t="str">
        <f>_xlfn.XLOOKUP(A920,Sheet1!A:A,Sheet1!B:B)</f>
        <v>Paul Campbell</v>
      </c>
      <c r="C920" s="2" t="str">
        <f>_xlfn.XLOOKUP(A:A,Sheet1!A:A,Sheet1!D:D)</f>
        <v>Male</v>
      </c>
      <c r="D920" s="8">
        <f>_xlfn.XLOOKUP(A:A,Sheet1!A:A,Sheet1!F:F)</f>
        <v>46</v>
      </c>
      <c r="E920" s="2" t="str">
        <f>_xlfn.XLOOKUP(A:A,Sheet1!A:A,Sheet1!G:G)</f>
        <v>South Africa</v>
      </c>
      <c r="F920" s="8" t="str">
        <f>_xlfn.XLOOKUP(A:A,Sheet1!A:A,Sheet1!H:H)</f>
        <v>Afrikaans</v>
      </c>
      <c r="G920" s="8" t="str">
        <f>_xlfn.XLOOKUP(A:A,Sheet1!A:A,Sheet1!I:I)</f>
        <v>UI/UX Design</v>
      </c>
      <c r="H920" s="8">
        <f>_xlfn.XLOOKUP(A:A,Sheet1!A:A,Sheet1!K:K)</f>
        <v>6</v>
      </c>
      <c r="I920" s="9">
        <f>_xlfn.XLOOKUP(A:A,Sheet1!A:A,Sheet1!M:M)</f>
        <v>30</v>
      </c>
      <c r="J920" s="10">
        <f>_xlfn.XLOOKUP(A:A,Sheet1!A:A,Sheet1!O:O)</f>
        <v>1.5</v>
      </c>
      <c r="K920" t="str">
        <f>_xlfn.XLOOKUP(A:A,Sheet1!A:A,Sheet1!P:P)</f>
        <v>No</v>
      </c>
      <c r="L920" s="12">
        <f>_xlfn.XLOOKUP(A:A,Sheet1!A:A,Sheet1!S:S)</f>
        <v>0.79269417475728277</v>
      </c>
    </row>
    <row r="921" spans="1:12" x14ac:dyDescent="0.35">
      <c r="A921" s="8" t="s">
        <v>1856</v>
      </c>
      <c r="B921" s="2" t="str">
        <f>_xlfn.XLOOKUP(A921,Sheet1!A:A,Sheet1!B:B)</f>
        <v>Amy Morrow</v>
      </c>
      <c r="C921" s="2" t="str">
        <f>_xlfn.XLOOKUP(A:A,Sheet1!A:A,Sheet1!D:D)</f>
        <v>Female</v>
      </c>
      <c r="D921" s="8">
        <f>_xlfn.XLOOKUP(A:A,Sheet1!A:A,Sheet1!F:F)</f>
        <v>53</v>
      </c>
      <c r="E921" s="2" t="str">
        <f>_xlfn.XLOOKUP(A:A,Sheet1!A:A,Sheet1!G:G)</f>
        <v>Turkey</v>
      </c>
      <c r="F921" s="8" t="str">
        <f>_xlfn.XLOOKUP(A:A,Sheet1!A:A,Sheet1!H:H)</f>
        <v>Turkish</v>
      </c>
      <c r="G921" s="8" t="str">
        <f>_xlfn.XLOOKUP(A:A,Sheet1!A:A,Sheet1!I:I)</f>
        <v>Graphic Design</v>
      </c>
      <c r="H921" s="8">
        <f>_xlfn.XLOOKUP(A:A,Sheet1!A:A,Sheet1!K:K)</f>
        <v>14</v>
      </c>
      <c r="I921" s="9">
        <f>_xlfn.XLOOKUP(A:A,Sheet1!A:A,Sheet1!M:M)</f>
        <v>30</v>
      </c>
      <c r="J921" s="11">
        <v>0</v>
      </c>
      <c r="K921" t="str">
        <f>_xlfn.XLOOKUP(A:A,Sheet1!A:A,Sheet1!P:P)</f>
        <v>No</v>
      </c>
      <c r="L921" s="12">
        <f>_xlfn.XLOOKUP(A:A,Sheet1!A:A,Sheet1!S:S)</f>
        <v>0.83</v>
      </c>
    </row>
    <row r="922" spans="1:12" x14ac:dyDescent="0.35">
      <c r="A922" s="8" t="s">
        <v>1858</v>
      </c>
      <c r="B922" s="2" t="str">
        <f>_xlfn.XLOOKUP(A922,Sheet1!A:A,Sheet1!B:B)</f>
        <v>Amy Fitzgerald</v>
      </c>
      <c r="C922" s="2" t="str">
        <f>_xlfn.XLOOKUP(A:A,Sheet1!A:A,Sheet1!D:D)</f>
        <v>Female</v>
      </c>
      <c r="D922" s="8">
        <f>_xlfn.XLOOKUP(A:A,Sheet1!A:A,Sheet1!F:F)</f>
        <v>24</v>
      </c>
      <c r="E922" s="2" t="str">
        <f>_xlfn.XLOOKUP(A:A,Sheet1!A:A,Sheet1!G:G)</f>
        <v>United States</v>
      </c>
      <c r="F922" s="8" t="str">
        <f>_xlfn.XLOOKUP(A:A,Sheet1!A:A,Sheet1!H:H)</f>
        <v>English</v>
      </c>
      <c r="G922" s="8" t="str">
        <f>_xlfn.XLOOKUP(A:A,Sheet1!A:A,Sheet1!I:I)</f>
        <v>Web Development</v>
      </c>
      <c r="H922" s="8">
        <f>_xlfn.XLOOKUP(A:A,Sheet1!A:A,Sheet1!K:K)</f>
        <v>2</v>
      </c>
      <c r="I922" s="9">
        <f>_xlfn.XLOOKUP(A:A,Sheet1!A:A,Sheet1!M:M)</f>
        <v>30</v>
      </c>
      <c r="J922" s="10">
        <f>_xlfn.XLOOKUP(A:A,Sheet1!A:A,Sheet1!O:O)</f>
        <v>3.6</v>
      </c>
      <c r="K922" t="str">
        <f>_xlfn.XLOOKUP(A:A,Sheet1!A:A,Sheet1!P:P)</f>
        <v>No</v>
      </c>
      <c r="L922" s="12">
        <f>_xlfn.XLOOKUP(A:A,Sheet1!A:A,Sheet1!S:S)</f>
        <v>0.92</v>
      </c>
    </row>
    <row r="923" spans="1:12" x14ac:dyDescent="0.35">
      <c r="A923" s="8" t="s">
        <v>1860</v>
      </c>
      <c r="B923" s="2" t="str">
        <f>_xlfn.XLOOKUP(A923,Sheet1!A:A,Sheet1!B:B)</f>
        <v>Anita Becker</v>
      </c>
      <c r="C923" s="2" t="str">
        <f>_xlfn.XLOOKUP(A:A,Sheet1!A:A,Sheet1!D:D)</f>
        <v>Female</v>
      </c>
      <c r="D923" s="8">
        <f>_xlfn.XLOOKUP(A:A,Sheet1!A:A,Sheet1!F:F)</f>
        <v>49</v>
      </c>
      <c r="E923" s="2" t="str">
        <f>_xlfn.XLOOKUP(A:A,Sheet1!A:A,Sheet1!G:G)</f>
        <v>Spain</v>
      </c>
      <c r="F923" s="8" t="str">
        <f>_xlfn.XLOOKUP(A:A,Sheet1!A:A,Sheet1!H:H)</f>
        <v>Spanish</v>
      </c>
      <c r="G923" s="8" t="str">
        <f>_xlfn.XLOOKUP(A:A,Sheet1!A:A,Sheet1!I:I)</f>
        <v>DevOps</v>
      </c>
      <c r="H923" s="8">
        <f>_xlfn.XLOOKUP(A:A,Sheet1!A:A,Sheet1!K:K)</f>
        <v>4</v>
      </c>
      <c r="I923" s="9">
        <f>_xlfn.XLOOKUP(A:A,Sheet1!A:A,Sheet1!M:M)</f>
        <v>75</v>
      </c>
      <c r="J923" s="10">
        <f>_xlfn.XLOOKUP(A:A,Sheet1!A:A,Sheet1!O:O)</f>
        <v>2.1</v>
      </c>
      <c r="K923" t="str">
        <f>_xlfn.XLOOKUP(A:A,Sheet1!A:A,Sheet1!P:P)</f>
        <v>No</v>
      </c>
      <c r="L923" s="12">
        <f>_xlfn.XLOOKUP(A:A,Sheet1!A:A,Sheet1!S:S)</f>
        <v>0.85</v>
      </c>
    </row>
    <row r="924" spans="1:12" x14ac:dyDescent="0.35">
      <c r="A924" s="8" t="s">
        <v>1862</v>
      </c>
      <c r="B924" s="2" t="str">
        <f>_xlfn.XLOOKUP(A924,Sheet1!A:A,Sheet1!B:B)</f>
        <v xml:space="preserve"> Amy Brooks</v>
      </c>
      <c r="C924" s="2" t="str">
        <f>_xlfn.XLOOKUP(A:A,Sheet1!A:A,Sheet1!D:D)</f>
        <v>Female</v>
      </c>
      <c r="D924" s="8">
        <f>_xlfn.XLOOKUP(A:A,Sheet1!A:A,Sheet1!F:F)</f>
        <v>49</v>
      </c>
      <c r="E924" s="2" t="str">
        <f>_xlfn.XLOOKUP(A:A,Sheet1!A:A,Sheet1!G:G)</f>
        <v>South Korea</v>
      </c>
      <c r="F924" s="8" t="str">
        <f>_xlfn.XLOOKUP(A:A,Sheet1!A:A,Sheet1!H:H)</f>
        <v>Korean</v>
      </c>
      <c r="G924" s="8" t="str">
        <f>_xlfn.XLOOKUP(A:A,Sheet1!A:A,Sheet1!I:I)</f>
        <v>AI</v>
      </c>
      <c r="H924" s="8">
        <f>_xlfn.XLOOKUP(A:A,Sheet1!A:A,Sheet1!K:K)</f>
        <v>4</v>
      </c>
      <c r="I924" s="9">
        <f>_xlfn.XLOOKUP(A:A,Sheet1!A:A,Sheet1!M:M)</f>
        <v>75</v>
      </c>
      <c r="J924" s="10">
        <f>_xlfn.XLOOKUP(A:A,Sheet1!A:A,Sheet1!O:O)</f>
        <v>2.9</v>
      </c>
      <c r="K924" t="str">
        <f>_xlfn.XLOOKUP(A:A,Sheet1!A:A,Sheet1!P:P)</f>
        <v>No</v>
      </c>
      <c r="L924" s="12">
        <f>_xlfn.XLOOKUP(A:A,Sheet1!A:A,Sheet1!S:S)</f>
        <v>0.79269417475728277</v>
      </c>
    </row>
    <row r="925" spans="1:12" x14ac:dyDescent="0.35">
      <c r="A925" s="8" t="s">
        <v>1863</v>
      </c>
      <c r="B925" s="2" t="str">
        <f>_xlfn.XLOOKUP(A925,Sheet1!A:A,Sheet1!B:B)</f>
        <v>Lori Marshall</v>
      </c>
      <c r="C925" s="2" t="str">
        <f>_xlfn.XLOOKUP(A:A,Sheet1!A:A,Sheet1!D:D)</f>
        <v>Female</v>
      </c>
      <c r="D925" s="8">
        <f>_xlfn.XLOOKUP(A:A,Sheet1!A:A,Sheet1!F:F)</f>
        <v>49</v>
      </c>
      <c r="E925" s="2" t="str">
        <f>_xlfn.XLOOKUP(A:A,Sheet1!A:A,Sheet1!G:G)</f>
        <v>South Korea</v>
      </c>
      <c r="F925" s="8" t="str">
        <f>_xlfn.XLOOKUP(A:A,Sheet1!A:A,Sheet1!H:H)</f>
        <v>Korean</v>
      </c>
      <c r="G925" s="8" t="str">
        <f>_xlfn.XLOOKUP(A:A,Sheet1!A:A,Sheet1!I:I)</f>
        <v>Mobile Apps</v>
      </c>
      <c r="H925" s="8">
        <f>_xlfn.XLOOKUP(A:A,Sheet1!A:A,Sheet1!K:K)</f>
        <v>24</v>
      </c>
      <c r="I925" s="9">
        <f>_xlfn.XLOOKUP(A:A,Sheet1!A:A,Sheet1!M:M)</f>
        <v>100</v>
      </c>
      <c r="J925" s="10">
        <f>_xlfn.XLOOKUP(A:A,Sheet1!A:A,Sheet1!O:O)</f>
        <v>3.6</v>
      </c>
      <c r="K925" t="str">
        <f>_xlfn.XLOOKUP(A:A,Sheet1!A:A,Sheet1!P:P)</f>
        <v>Yes</v>
      </c>
      <c r="L925" s="12">
        <f>_xlfn.XLOOKUP(A:A,Sheet1!A:A,Sheet1!S:S)</f>
        <v>0.79269417475728277</v>
      </c>
    </row>
    <row r="926" spans="1:12" x14ac:dyDescent="0.35">
      <c r="A926" s="8" t="s">
        <v>1865</v>
      </c>
      <c r="B926" s="2" t="str">
        <f>_xlfn.XLOOKUP(A926,Sheet1!A:A,Sheet1!B:B)</f>
        <v>Jennifer Miller</v>
      </c>
      <c r="C926" s="2" t="str">
        <f>_xlfn.XLOOKUP(A:A,Sheet1!A:A,Sheet1!D:D)</f>
        <v>Female</v>
      </c>
      <c r="D926" s="8">
        <f>_xlfn.XLOOKUP(A:A,Sheet1!A:A,Sheet1!F:F)</f>
        <v>58</v>
      </c>
      <c r="E926" s="2" t="str">
        <f>_xlfn.XLOOKUP(A:A,Sheet1!A:A,Sheet1!G:G)</f>
        <v>Brazil</v>
      </c>
      <c r="F926" s="8" t="str">
        <f>_xlfn.XLOOKUP(A:A,Sheet1!A:A,Sheet1!H:H)</f>
        <v>Portuguese</v>
      </c>
      <c r="G926" s="8" t="str">
        <f>_xlfn.XLOOKUP(A:A,Sheet1!A:A,Sheet1!I:I)</f>
        <v>Blockchain Development</v>
      </c>
      <c r="H926" s="8">
        <f>_xlfn.XLOOKUP(A:A,Sheet1!A:A,Sheet1!K:K)</f>
        <v>29</v>
      </c>
      <c r="I926" s="9">
        <f>_xlfn.XLOOKUP(A:A,Sheet1!A:A,Sheet1!M:M)</f>
        <v>30</v>
      </c>
      <c r="J926" s="10">
        <f>_xlfn.XLOOKUP(A:A,Sheet1!A:A,Sheet1!O:O)</f>
        <v>3.3</v>
      </c>
      <c r="K926" t="str">
        <f>_xlfn.XLOOKUP(A:A,Sheet1!A:A,Sheet1!P:P)</f>
        <v>Yes</v>
      </c>
      <c r="L926" s="12">
        <f>_xlfn.XLOOKUP(A:A,Sheet1!A:A,Sheet1!S:S)</f>
        <v>0.89</v>
      </c>
    </row>
    <row r="927" spans="1:12" x14ac:dyDescent="0.35">
      <c r="A927" s="8" t="s">
        <v>1867</v>
      </c>
      <c r="B927" s="2" t="str">
        <f>_xlfn.XLOOKUP(A927,Sheet1!A:A,Sheet1!B:B)</f>
        <v>Thomas Young</v>
      </c>
      <c r="C927" s="2" t="str">
        <f>_xlfn.XLOOKUP(A:A,Sheet1!A:A,Sheet1!D:D)</f>
        <v>Male</v>
      </c>
      <c r="D927" s="8">
        <f>_xlfn.XLOOKUP(A:A,Sheet1!A:A,Sheet1!F:F)</f>
        <v>50</v>
      </c>
      <c r="E927" s="2" t="str">
        <f>_xlfn.XLOOKUP(A:A,Sheet1!A:A,Sheet1!G:G)</f>
        <v>South Africa</v>
      </c>
      <c r="F927" s="8" t="str">
        <f>_xlfn.XLOOKUP(A:A,Sheet1!A:A,Sheet1!H:H)</f>
        <v>Afrikaans</v>
      </c>
      <c r="G927" s="8" t="str">
        <f>_xlfn.XLOOKUP(A:A,Sheet1!A:A,Sheet1!I:I)</f>
        <v>UI/UX Design</v>
      </c>
      <c r="H927" s="8">
        <f>_xlfn.XLOOKUP(A:A,Sheet1!A:A,Sheet1!K:K)</f>
        <v>13</v>
      </c>
      <c r="I927" s="9">
        <f>_xlfn.XLOOKUP(A:A,Sheet1!A:A,Sheet1!M:M)</f>
        <v>40</v>
      </c>
      <c r="J927" s="10">
        <f>_xlfn.XLOOKUP(A:A,Sheet1!A:A,Sheet1!O:O)</f>
        <v>2.5</v>
      </c>
      <c r="K927" t="str">
        <f>_xlfn.XLOOKUP(A:A,Sheet1!A:A,Sheet1!P:P)</f>
        <v>Yes</v>
      </c>
      <c r="L927" s="12">
        <f>_xlfn.XLOOKUP(A:A,Sheet1!A:A,Sheet1!S:S)</f>
        <v>0.81</v>
      </c>
    </row>
    <row r="928" spans="1:12" x14ac:dyDescent="0.35">
      <c r="A928" s="8" t="s">
        <v>1869</v>
      </c>
      <c r="B928" s="2" t="str">
        <f>_xlfn.XLOOKUP(A928,Sheet1!A:A,Sheet1!B:B)</f>
        <v>Zachary Larsen</v>
      </c>
      <c r="C928" s="2" t="str">
        <f>_xlfn.XLOOKUP(A:A,Sheet1!A:A,Sheet1!D:D)</f>
        <v>Male</v>
      </c>
      <c r="D928" s="8">
        <f>_xlfn.XLOOKUP(A:A,Sheet1!A:A,Sheet1!F:F)</f>
        <v>27</v>
      </c>
      <c r="E928" s="2" t="str">
        <f>_xlfn.XLOOKUP(A:A,Sheet1!A:A,Sheet1!G:G)</f>
        <v>South Africa</v>
      </c>
      <c r="F928" s="8" t="str">
        <f>_xlfn.XLOOKUP(A:A,Sheet1!A:A,Sheet1!H:H)</f>
        <v>Afrikaans</v>
      </c>
      <c r="G928" s="8" t="str">
        <f>_xlfn.XLOOKUP(A:A,Sheet1!A:A,Sheet1!I:I)</f>
        <v>DevOps</v>
      </c>
      <c r="H928" s="8">
        <f>_xlfn.XLOOKUP(A:A,Sheet1!A:A,Sheet1!K:K)</f>
        <v>1</v>
      </c>
      <c r="I928" s="9">
        <f>_xlfn.XLOOKUP(A:A,Sheet1!A:A,Sheet1!M:M)</f>
        <v>100</v>
      </c>
      <c r="J928" s="10">
        <f>_xlfn.XLOOKUP(A:A,Sheet1!A:A,Sheet1!O:O)</f>
        <v>3.7</v>
      </c>
      <c r="K928" t="str">
        <f>_xlfn.XLOOKUP(A:A,Sheet1!A:A,Sheet1!P:P)</f>
        <v>Yes</v>
      </c>
      <c r="L928" s="12">
        <f>_xlfn.XLOOKUP(A:A,Sheet1!A:A,Sheet1!S:S)</f>
        <v>0.61</v>
      </c>
    </row>
    <row r="929" spans="1:12" x14ac:dyDescent="0.35">
      <c r="A929" s="8" t="s">
        <v>1871</v>
      </c>
      <c r="B929" s="2" t="str">
        <f>_xlfn.XLOOKUP(A929,Sheet1!A:A,Sheet1!B:B)</f>
        <v>Valerie Gutierrez</v>
      </c>
      <c r="C929" s="2" t="str">
        <f>_xlfn.XLOOKUP(A:A,Sheet1!A:A,Sheet1!D:D)</f>
        <v>Female</v>
      </c>
      <c r="D929" s="8">
        <f>_xlfn.XLOOKUP(A:A,Sheet1!A:A,Sheet1!F:F)</f>
        <v>20</v>
      </c>
      <c r="E929" s="2" t="str">
        <f>_xlfn.XLOOKUP(A:A,Sheet1!A:A,Sheet1!G:G)</f>
        <v>South Korea</v>
      </c>
      <c r="F929" s="8" t="str">
        <f>_xlfn.XLOOKUP(A:A,Sheet1!A:A,Sheet1!H:H)</f>
        <v>Korean</v>
      </c>
      <c r="G929" s="8" t="str">
        <f>_xlfn.XLOOKUP(A:A,Sheet1!A:A,Sheet1!I:I)</f>
        <v>Machine Learning</v>
      </c>
      <c r="H929" s="8">
        <f>_xlfn.XLOOKUP(A:A,Sheet1!A:A,Sheet1!K:K)</f>
        <v>9</v>
      </c>
      <c r="I929" s="9">
        <f>_xlfn.XLOOKUP(A:A,Sheet1!A:A,Sheet1!M:M)</f>
        <v>30</v>
      </c>
      <c r="J929" s="10">
        <f>_xlfn.XLOOKUP(A:A,Sheet1!A:A,Sheet1!O:O)</f>
        <v>4.5999999999999996</v>
      </c>
      <c r="K929" t="str">
        <f>_xlfn.XLOOKUP(A:A,Sheet1!A:A,Sheet1!P:P)</f>
        <v>Yes</v>
      </c>
      <c r="L929" s="12">
        <f>_xlfn.XLOOKUP(A:A,Sheet1!A:A,Sheet1!S:S)</f>
        <v>0.79269417475728277</v>
      </c>
    </row>
    <row r="930" spans="1:12" x14ac:dyDescent="0.35">
      <c r="A930" s="8" t="s">
        <v>1873</v>
      </c>
      <c r="B930" s="2" t="str">
        <f>_xlfn.XLOOKUP(A930,Sheet1!A:A,Sheet1!B:B)</f>
        <v>Daniel Parker</v>
      </c>
      <c r="C930" s="2" t="str">
        <f>_xlfn.XLOOKUP(A:A,Sheet1!A:A,Sheet1!D:D)</f>
        <v>Male</v>
      </c>
      <c r="D930" s="8">
        <f>_xlfn.XLOOKUP(A:A,Sheet1!A:A,Sheet1!F:F)</f>
        <v>52</v>
      </c>
      <c r="E930" s="2" t="str">
        <f>_xlfn.XLOOKUP(A:A,Sheet1!A:A,Sheet1!G:G)</f>
        <v>Russia</v>
      </c>
      <c r="F930" s="8" t="str">
        <f>_xlfn.XLOOKUP(A:A,Sheet1!A:A,Sheet1!H:H)</f>
        <v>Russian</v>
      </c>
      <c r="G930" s="8" t="str">
        <f>_xlfn.XLOOKUP(A:A,Sheet1!A:A,Sheet1!I:I)</f>
        <v>Blockchain Development</v>
      </c>
      <c r="H930" s="8">
        <f>_xlfn.XLOOKUP(A:A,Sheet1!A:A,Sheet1!K:K)</f>
        <v>15</v>
      </c>
      <c r="I930" s="9">
        <f>_xlfn.XLOOKUP(A:A,Sheet1!A:A,Sheet1!M:M)</f>
        <v>40</v>
      </c>
      <c r="J930" s="11">
        <v>0</v>
      </c>
      <c r="K930" t="str">
        <f>_xlfn.XLOOKUP(A:A,Sheet1!A:A,Sheet1!P:P)</f>
        <v>Yes</v>
      </c>
      <c r="L930" s="12">
        <f>_xlfn.XLOOKUP(A:A,Sheet1!A:A,Sheet1!S:S)</f>
        <v>0.92</v>
      </c>
    </row>
    <row r="931" spans="1:12" x14ac:dyDescent="0.35">
      <c r="A931" s="8" t="s">
        <v>1875</v>
      </c>
      <c r="B931" s="2" t="str">
        <f>_xlfn.XLOOKUP(A931,Sheet1!A:A,Sheet1!B:B)</f>
        <v>Nicole Bennett</v>
      </c>
      <c r="C931" s="2" t="str">
        <f>_xlfn.XLOOKUP(A:A,Sheet1!A:A,Sheet1!D:D)</f>
        <v>Female</v>
      </c>
      <c r="D931" s="8">
        <f>_xlfn.XLOOKUP(A:A,Sheet1!A:A,Sheet1!F:F)</f>
        <v>22</v>
      </c>
      <c r="E931" s="2" t="str">
        <f>_xlfn.XLOOKUP(A:A,Sheet1!A:A,Sheet1!G:G)</f>
        <v>France</v>
      </c>
      <c r="F931" s="8" t="str">
        <f>_xlfn.XLOOKUP(A:A,Sheet1!A:A,Sheet1!H:H)</f>
        <v>French</v>
      </c>
      <c r="G931" s="8" t="str">
        <f>_xlfn.XLOOKUP(A:A,Sheet1!A:A,Sheet1!I:I)</f>
        <v>Machine Learning</v>
      </c>
      <c r="H931" s="8">
        <f>_xlfn.XLOOKUP(A:A,Sheet1!A:A,Sheet1!K:K)</f>
        <v>2</v>
      </c>
      <c r="I931" s="9">
        <f>_xlfn.XLOOKUP(A:A,Sheet1!A:A,Sheet1!M:M)</f>
        <v>30</v>
      </c>
      <c r="J931" s="10">
        <f>_xlfn.XLOOKUP(A:A,Sheet1!A:A,Sheet1!O:O)</f>
        <v>2</v>
      </c>
      <c r="K931" t="str">
        <f>_xlfn.XLOOKUP(A:A,Sheet1!A:A,Sheet1!P:P)</f>
        <v>No</v>
      </c>
      <c r="L931" s="12">
        <f>_xlfn.XLOOKUP(A:A,Sheet1!A:A,Sheet1!S:S)</f>
        <v>0.96</v>
      </c>
    </row>
    <row r="932" spans="1:12" x14ac:dyDescent="0.35">
      <c r="A932" s="8" t="s">
        <v>1877</v>
      </c>
      <c r="B932" s="2" t="str">
        <f>_xlfn.XLOOKUP(A932,Sheet1!A:A,Sheet1!B:B)</f>
        <v>Lauren Lowery</v>
      </c>
      <c r="C932" s="2" t="str">
        <f>_xlfn.XLOOKUP(A:A,Sheet1!A:A,Sheet1!D:D)</f>
        <v>Female</v>
      </c>
      <c r="D932" s="8">
        <f>_xlfn.XLOOKUP(A:A,Sheet1!A:A,Sheet1!F:F)</f>
        <v>38</v>
      </c>
      <c r="E932" s="2" t="str">
        <f>_xlfn.XLOOKUP(A:A,Sheet1!A:A,Sheet1!G:G)</f>
        <v>Turkey</v>
      </c>
      <c r="F932" s="8" t="str">
        <f>_xlfn.XLOOKUP(A:A,Sheet1!A:A,Sheet1!H:H)</f>
        <v>Turkish</v>
      </c>
      <c r="G932" s="8" t="str">
        <f>_xlfn.XLOOKUP(A:A,Sheet1!A:A,Sheet1!I:I)</f>
        <v>Web Development</v>
      </c>
      <c r="H932" s="8">
        <f>_xlfn.XLOOKUP(A:A,Sheet1!A:A,Sheet1!K:K)</f>
        <v>14</v>
      </c>
      <c r="I932" s="9">
        <f>_xlfn.XLOOKUP(A:A,Sheet1!A:A,Sheet1!M:M)</f>
        <v>100</v>
      </c>
      <c r="J932" s="10">
        <f>_xlfn.XLOOKUP(A:A,Sheet1!A:A,Sheet1!O:O)</f>
        <v>1.7</v>
      </c>
      <c r="K932" t="str">
        <f>_xlfn.XLOOKUP(A:A,Sheet1!A:A,Sheet1!P:P)</f>
        <v>No</v>
      </c>
      <c r="L932" s="12">
        <f>_xlfn.XLOOKUP(A:A,Sheet1!A:A,Sheet1!S:S)</f>
        <v>0.66</v>
      </c>
    </row>
    <row r="933" spans="1:12" x14ac:dyDescent="0.35">
      <c r="A933" s="8" t="s">
        <v>1879</v>
      </c>
      <c r="B933" s="2" t="str">
        <f>_xlfn.XLOOKUP(A933,Sheet1!A:A,Sheet1!B:B)</f>
        <v>Alexander Woodward</v>
      </c>
      <c r="C933" s="2" t="str">
        <f>_xlfn.XLOOKUP(A:A,Sheet1!A:A,Sheet1!D:D)</f>
        <v>Male</v>
      </c>
      <c r="D933" s="8">
        <f>_xlfn.XLOOKUP(A:A,Sheet1!A:A,Sheet1!F:F)</f>
        <v>21</v>
      </c>
      <c r="E933" s="2" t="str">
        <f>_xlfn.XLOOKUP(A:A,Sheet1!A:A,Sheet1!G:G)</f>
        <v>Canada</v>
      </c>
      <c r="F933" s="8" t="str">
        <f>_xlfn.XLOOKUP(A:A,Sheet1!A:A,Sheet1!H:H)</f>
        <v>English</v>
      </c>
      <c r="G933" s="8" t="str">
        <f>_xlfn.XLOOKUP(A:A,Sheet1!A:A,Sheet1!I:I)</f>
        <v>Graphic Design</v>
      </c>
      <c r="H933" s="8">
        <f>_xlfn.XLOOKUP(A:A,Sheet1!A:A,Sheet1!K:K)</f>
        <v>0</v>
      </c>
      <c r="I933" s="9">
        <f>_xlfn.XLOOKUP(A:A,Sheet1!A:A,Sheet1!M:M)</f>
        <v>100</v>
      </c>
      <c r="J933" s="10">
        <f>_xlfn.XLOOKUP(A:A,Sheet1!A:A,Sheet1!O:O)</f>
        <v>3</v>
      </c>
      <c r="K933" t="str">
        <f>_xlfn.XLOOKUP(A:A,Sheet1!A:A,Sheet1!P:P)</f>
        <v>No</v>
      </c>
      <c r="L933" s="12">
        <f>_xlfn.XLOOKUP(A:A,Sheet1!A:A,Sheet1!S:S)</f>
        <v>0.64</v>
      </c>
    </row>
    <row r="934" spans="1:12" x14ac:dyDescent="0.35">
      <c r="A934" s="8" t="s">
        <v>1881</v>
      </c>
      <c r="B934" s="2" t="str">
        <f>_xlfn.XLOOKUP(A934,Sheet1!A:A,Sheet1!B:B)</f>
        <v>Anthony Walter</v>
      </c>
      <c r="C934" s="2" t="str">
        <f>_xlfn.XLOOKUP(A:A,Sheet1!A:A,Sheet1!D:D)</f>
        <v>Male</v>
      </c>
      <c r="D934" s="8">
        <f>_xlfn.XLOOKUP(A:A,Sheet1!A:A,Sheet1!F:F)</f>
        <v>41</v>
      </c>
      <c r="E934" s="2" t="str">
        <f>_xlfn.XLOOKUP(A:A,Sheet1!A:A,Sheet1!G:G)</f>
        <v>Australia</v>
      </c>
      <c r="F934" s="8" t="str">
        <f>_xlfn.XLOOKUP(A:A,Sheet1!A:A,Sheet1!H:H)</f>
        <v>English</v>
      </c>
      <c r="G934" s="8" t="str">
        <f>_xlfn.XLOOKUP(A:A,Sheet1!A:A,Sheet1!I:I)</f>
        <v>AI</v>
      </c>
      <c r="H934" s="8">
        <f>_xlfn.XLOOKUP(A:A,Sheet1!A:A,Sheet1!K:K)</f>
        <v>15</v>
      </c>
      <c r="I934" s="9">
        <f>_xlfn.XLOOKUP(A:A,Sheet1!A:A,Sheet1!M:M)</f>
        <v>40</v>
      </c>
      <c r="J934" s="10">
        <f>_xlfn.XLOOKUP(A:A,Sheet1!A:A,Sheet1!O:O)</f>
        <v>3.4</v>
      </c>
      <c r="K934" t="str">
        <f>_xlfn.XLOOKUP(A:A,Sheet1!A:A,Sheet1!P:P)</f>
        <v>No</v>
      </c>
      <c r="L934" s="12">
        <f>_xlfn.XLOOKUP(A:A,Sheet1!A:A,Sheet1!S:S)</f>
        <v>1</v>
      </c>
    </row>
    <row r="935" spans="1:12" x14ac:dyDescent="0.35">
      <c r="A935" s="8" t="s">
        <v>1883</v>
      </c>
      <c r="B935" s="2" t="str">
        <f>_xlfn.XLOOKUP(A935,Sheet1!A:A,Sheet1!B:B)</f>
        <v>Valerie Finley</v>
      </c>
      <c r="C935" s="2" t="str">
        <f>_xlfn.XLOOKUP(A:A,Sheet1!A:A,Sheet1!D:D)</f>
        <v>Female</v>
      </c>
      <c r="D935" s="8">
        <f>_xlfn.XLOOKUP(A:A,Sheet1!A:A,Sheet1!F:F)</f>
        <v>33</v>
      </c>
      <c r="E935" s="2" t="str">
        <f>_xlfn.XLOOKUP(A:A,Sheet1!A:A,Sheet1!G:G)</f>
        <v>Indonesia</v>
      </c>
      <c r="F935" s="8" t="str">
        <f>_xlfn.XLOOKUP(A:A,Sheet1!A:A,Sheet1!H:H)</f>
        <v>Indonesian</v>
      </c>
      <c r="G935" s="8" t="str">
        <f>_xlfn.XLOOKUP(A:A,Sheet1!A:A,Sheet1!I:I)</f>
        <v>Blockchain Development</v>
      </c>
      <c r="H935" s="8">
        <f>_xlfn.XLOOKUP(A:A,Sheet1!A:A,Sheet1!K:K)</f>
        <v>6</v>
      </c>
      <c r="I935" s="9">
        <f>_xlfn.XLOOKUP(A:A,Sheet1!A:A,Sheet1!M:M)</f>
        <v>40</v>
      </c>
      <c r="J935" s="10">
        <f>_xlfn.XLOOKUP(A:A,Sheet1!A:A,Sheet1!O:O)</f>
        <v>3.2</v>
      </c>
      <c r="K935" t="str">
        <f>_xlfn.XLOOKUP(A:A,Sheet1!A:A,Sheet1!P:P)</f>
        <v>Yes</v>
      </c>
      <c r="L935" s="12">
        <f>_xlfn.XLOOKUP(A:A,Sheet1!A:A,Sheet1!S:S)</f>
        <v>0.95</v>
      </c>
    </row>
    <row r="936" spans="1:12" x14ac:dyDescent="0.35">
      <c r="A936" s="8" t="s">
        <v>1885</v>
      </c>
      <c r="B936" s="2" t="str">
        <f>_xlfn.XLOOKUP(A936,Sheet1!A:A,Sheet1!B:B)</f>
        <v>Deborah Kelley</v>
      </c>
      <c r="C936" s="2" t="str">
        <f>_xlfn.XLOOKUP(A:A,Sheet1!A:A,Sheet1!D:D)</f>
        <v>Female</v>
      </c>
      <c r="D936" s="8">
        <f>_xlfn.XLOOKUP(A:A,Sheet1!A:A,Sheet1!F:F)</f>
        <v>38</v>
      </c>
      <c r="E936" s="2" t="str">
        <f>_xlfn.XLOOKUP(A:A,Sheet1!A:A,Sheet1!G:G)</f>
        <v>Mexico</v>
      </c>
      <c r="F936" s="8" t="str">
        <f>_xlfn.XLOOKUP(A:A,Sheet1!A:A,Sheet1!H:H)</f>
        <v>Spanish</v>
      </c>
      <c r="G936" s="8" t="str">
        <f>_xlfn.XLOOKUP(A:A,Sheet1!A:A,Sheet1!I:I)</f>
        <v>Mobile Apps</v>
      </c>
      <c r="H936" s="8">
        <f>_xlfn.XLOOKUP(A:A,Sheet1!A:A,Sheet1!K:K)</f>
        <v>11</v>
      </c>
      <c r="I936" s="9">
        <f>_xlfn.XLOOKUP(A:A,Sheet1!A:A,Sheet1!M:M)</f>
        <v>40</v>
      </c>
      <c r="J936" s="10">
        <f>_xlfn.XLOOKUP(A:A,Sheet1!A:A,Sheet1!O:O)</f>
        <v>2.8</v>
      </c>
      <c r="K936" t="str">
        <f>_xlfn.XLOOKUP(A:A,Sheet1!A:A,Sheet1!P:P)</f>
        <v>No</v>
      </c>
      <c r="L936" s="12">
        <f>_xlfn.XLOOKUP(A:A,Sheet1!A:A,Sheet1!S:S)</f>
        <v>0.91</v>
      </c>
    </row>
    <row r="937" spans="1:12" x14ac:dyDescent="0.35">
      <c r="A937" s="8" t="s">
        <v>1887</v>
      </c>
      <c r="B937" s="2" t="str">
        <f>_xlfn.XLOOKUP(A937,Sheet1!A:A,Sheet1!B:B)</f>
        <v>Kristina Miller</v>
      </c>
      <c r="C937" s="2" t="str">
        <f>_xlfn.XLOOKUP(A:A,Sheet1!A:A,Sheet1!D:D)</f>
        <v>Female</v>
      </c>
      <c r="D937" s="8">
        <f>_xlfn.XLOOKUP(A:A,Sheet1!A:A,Sheet1!F:F)</f>
        <v>26</v>
      </c>
      <c r="E937" s="2" t="str">
        <f>_xlfn.XLOOKUP(A:A,Sheet1!A:A,Sheet1!G:G)</f>
        <v>Russia</v>
      </c>
      <c r="F937" s="8" t="str">
        <f>_xlfn.XLOOKUP(A:A,Sheet1!A:A,Sheet1!H:H)</f>
        <v>Russian</v>
      </c>
      <c r="G937" s="8" t="str">
        <f>_xlfn.XLOOKUP(A:A,Sheet1!A:A,Sheet1!I:I)</f>
        <v>DevOps</v>
      </c>
      <c r="H937" s="8">
        <f>_xlfn.XLOOKUP(A:A,Sheet1!A:A,Sheet1!K:K)</f>
        <v>8</v>
      </c>
      <c r="I937" s="9">
        <f>_xlfn.XLOOKUP(A:A,Sheet1!A:A,Sheet1!M:M)</f>
        <v>20</v>
      </c>
      <c r="J937" s="10">
        <f>_xlfn.XLOOKUP(A:A,Sheet1!A:A,Sheet1!O:O)</f>
        <v>4.0999999999999996</v>
      </c>
      <c r="K937" t="str">
        <f>_xlfn.XLOOKUP(A:A,Sheet1!A:A,Sheet1!P:P)</f>
        <v>Yes</v>
      </c>
      <c r="L937" s="12">
        <f>_xlfn.XLOOKUP(A:A,Sheet1!A:A,Sheet1!S:S)</f>
        <v>0.82</v>
      </c>
    </row>
    <row r="938" spans="1:12" x14ac:dyDescent="0.35">
      <c r="A938" s="8" t="s">
        <v>1889</v>
      </c>
      <c r="B938" s="2" t="str">
        <f>_xlfn.XLOOKUP(A938,Sheet1!A:A,Sheet1!B:B)</f>
        <v>Anne Hampton</v>
      </c>
      <c r="C938" s="2" t="str">
        <f>_xlfn.XLOOKUP(A:A,Sheet1!A:A,Sheet1!D:D)</f>
        <v>Female</v>
      </c>
      <c r="D938" s="8">
        <f>_xlfn.XLOOKUP(A:A,Sheet1!A:A,Sheet1!F:F)</f>
        <v>43</v>
      </c>
      <c r="E938" s="2" t="str">
        <f>_xlfn.XLOOKUP(A:A,Sheet1!A:A,Sheet1!G:G)</f>
        <v>Netherlands</v>
      </c>
      <c r="F938" s="8" t="str">
        <f>_xlfn.XLOOKUP(A:A,Sheet1!A:A,Sheet1!H:H)</f>
        <v>Dutch</v>
      </c>
      <c r="G938" s="8" t="str">
        <f>_xlfn.XLOOKUP(A:A,Sheet1!A:A,Sheet1!I:I)</f>
        <v>AI</v>
      </c>
      <c r="H938" s="8">
        <f>_xlfn.XLOOKUP(A:A,Sheet1!A:A,Sheet1!K:K)</f>
        <v>3</v>
      </c>
      <c r="I938" s="9">
        <f>_xlfn.XLOOKUP(A:A,Sheet1!A:A,Sheet1!M:M)</f>
        <v>20</v>
      </c>
      <c r="J938" s="11">
        <v>0</v>
      </c>
      <c r="K938" t="str">
        <f>_xlfn.XLOOKUP(A:A,Sheet1!A:A,Sheet1!P:P)</f>
        <v>Yes</v>
      </c>
      <c r="L938" s="12">
        <f>_xlfn.XLOOKUP(A:A,Sheet1!A:A,Sheet1!S:S)</f>
        <v>0.95</v>
      </c>
    </row>
    <row r="939" spans="1:12" x14ac:dyDescent="0.35">
      <c r="A939" s="8" t="s">
        <v>1891</v>
      </c>
      <c r="B939" s="2" t="str">
        <f>_xlfn.XLOOKUP(A939,Sheet1!A:A,Sheet1!B:B)</f>
        <v>Sandra Henry</v>
      </c>
      <c r="C939" s="2" t="str">
        <f>_xlfn.XLOOKUP(A:A,Sheet1!A:A,Sheet1!D:D)</f>
        <v>Female</v>
      </c>
      <c r="D939" s="8">
        <f>_xlfn.XLOOKUP(A:A,Sheet1!A:A,Sheet1!F:F)</f>
        <v>21</v>
      </c>
      <c r="E939" s="2" t="str">
        <f>_xlfn.XLOOKUP(A:A,Sheet1!A:A,Sheet1!G:G)</f>
        <v>Italy</v>
      </c>
      <c r="F939" s="8" t="str">
        <f>_xlfn.XLOOKUP(A:A,Sheet1!A:A,Sheet1!H:H)</f>
        <v>Italian</v>
      </c>
      <c r="G939" s="8" t="str">
        <f>_xlfn.XLOOKUP(A:A,Sheet1!A:A,Sheet1!I:I)</f>
        <v>Cybersecurity</v>
      </c>
      <c r="H939" s="8">
        <f>_xlfn.XLOOKUP(A:A,Sheet1!A:A,Sheet1!K:K)</f>
        <v>0</v>
      </c>
      <c r="I939" s="9">
        <f>_xlfn.XLOOKUP(A:A,Sheet1!A:A,Sheet1!M:M)</f>
        <v>40</v>
      </c>
      <c r="J939" s="11">
        <v>0</v>
      </c>
      <c r="K939" t="str">
        <f>_xlfn.XLOOKUP(A:A,Sheet1!A:A,Sheet1!P:P)</f>
        <v>Yes</v>
      </c>
      <c r="L939" s="12">
        <f>_xlfn.XLOOKUP(A:A,Sheet1!A:A,Sheet1!S:S)</f>
        <v>0.95</v>
      </c>
    </row>
    <row r="940" spans="1:12" x14ac:dyDescent="0.35">
      <c r="A940" s="8" t="s">
        <v>1893</v>
      </c>
      <c r="B940" s="2" t="str">
        <f>_xlfn.XLOOKUP(A940,Sheet1!A:A,Sheet1!B:B)</f>
        <v>Tony Hester</v>
      </c>
      <c r="C940" s="2" t="str">
        <f>_xlfn.XLOOKUP(A:A,Sheet1!A:A,Sheet1!D:D)</f>
        <v>Male</v>
      </c>
      <c r="D940" s="8">
        <f>_xlfn.XLOOKUP(A:A,Sheet1!A:A,Sheet1!F:F)</f>
        <v>47</v>
      </c>
      <c r="E940" s="2" t="str">
        <f>_xlfn.XLOOKUP(A:A,Sheet1!A:A,Sheet1!G:G)</f>
        <v>South Korea</v>
      </c>
      <c r="F940" s="8" t="str">
        <f>_xlfn.XLOOKUP(A:A,Sheet1!A:A,Sheet1!H:H)</f>
        <v>Korean</v>
      </c>
      <c r="G940" s="8" t="str">
        <f>_xlfn.XLOOKUP(A:A,Sheet1!A:A,Sheet1!I:I)</f>
        <v>Mobile Apps</v>
      </c>
      <c r="H940" s="8">
        <f>_xlfn.XLOOKUP(A:A,Sheet1!A:A,Sheet1!K:K)</f>
        <v>7</v>
      </c>
      <c r="I940" s="9">
        <f>_xlfn.XLOOKUP(A:A,Sheet1!A:A,Sheet1!M:M)</f>
        <v>30</v>
      </c>
      <c r="J940" s="10">
        <f>_xlfn.XLOOKUP(A:A,Sheet1!A:A,Sheet1!O:O)</f>
        <v>2.5125695216907653</v>
      </c>
      <c r="K940" t="str">
        <f>_xlfn.XLOOKUP(A:A,Sheet1!A:A,Sheet1!P:P)</f>
        <v>No</v>
      </c>
      <c r="L940" s="12">
        <f>_xlfn.XLOOKUP(A:A,Sheet1!A:A,Sheet1!S:S)</f>
        <v>0.69</v>
      </c>
    </row>
    <row r="941" spans="1:12" x14ac:dyDescent="0.35">
      <c r="A941" s="8" t="s">
        <v>1895</v>
      </c>
      <c r="B941" s="2" t="str">
        <f>_xlfn.XLOOKUP(A941,Sheet1!A:A,Sheet1!B:B)</f>
        <v>Nathan Davis</v>
      </c>
      <c r="C941" s="2" t="str">
        <f>_xlfn.XLOOKUP(A:A,Sheet1!A:A,Sheet1!D:D)</f>
        <v>Male</v>
      </c>
      <c r="D941" s="8">
        <f>_xlfn.XLOOKUP(A:A,Sheet1!A:A,Sheet1!F:F)</f>
        <v>35</v>
      </c>
      <c r="E941" s="2" t="str">
        <f>_xlfn.XLOOKUP(A:A,Sheet1!A:A,Sheet1!G:G)</f>
        <v>Spain</v>
      </c>
      <c r="F941" s="8" t="str">
        <f>_xlfn.XLOOKUP(A:A,Sheet1!A:A,Sheet1!H:H)</f>
        <v>Spanish</v>
      </c>
      <c r="G941" s="8" t="str">
        <f>_xlfn.XLOOKUP(A:A,Sheet1!A:A,Sheet1!I:I)</f>
        <v>Graphic Design</v>
      </c>
      <c r="H941" s="8">
        <f>_xlfn.XLOOKUP(A:A,Sheet1!A:A,Sheet1!K:K)</f>
        <v>6</v>
      </c>
      <c r="I941" s="9">
        <f>_xlfn.XLOOKUP(A:A,Sheet1!A:A,Sheet1!M:M)</f>
        <v>40</v>
      </c>
      <c r="J941" s="10">
        <f>_xlfn.XLOOKUP(A:A,Sheet1!A:A,Sheet1!O:O)</f>
        <v>2.5125695216907653</v>
      </c>
      <c r="K941" t="str">
        <f>_xlfn.XLOOKUP(A:A,Sheet1!A:A,Sheet1!P:P)</f>
        <v>Yes</v>
      </c>
      <c r="L941" s="12">
        <f>_xlfn.XLOOKUP(A:A,Sheet1!A:A,Sheet1!S:S)</f>
        <v>0.91</v>
      </c>
    </row>
    <row r="942" spans="1:12" x14ac:dyDescent="0.35">
      <c r="A942" s="8" t="s">
        <v>1897</v>
      </c>
      <c r="B942" s="2" t="str">
        <f>_xlfn.XLOOKUP(A942,Sheet1!A:A,Sheet1!B:B)</f>
        <v>Erica Jackson</v>
      </c>
      <c r="C942" s="2" t="str">
        <f>_xlfn.XLOOKUP(A:A,Sheet1!A:A,Sheet1!D:D)</f>
        <v>Female</v>
      </c>
      <c r="D942" s="8">
        <f>_xlfn.XLOOKUP(A:A,Sheet1!A:A,Sheet1!F:F)</f>
        <v>37</v>
      </c>
      <c r="E942" s="2" t="str">
        <f>_xlfn.XLOOKUP(A:A,Sheet1!A:A,Sheet1!G:G)</f>
        <v>Indonesia</v>
      </c>
      <c r="F942" s="8" t="str">
        <f>_xlfn.XLOOKUP(A:A,Sheet1!A:A,Sheet1!H:H)</f>
        <v>Indonesian</v>
      </c>
      <c r="G942" s="8" t="str">
        <f>_xlfn.XLOOKUP(A:A,Sheet1!A:A,Sheet1!I:I)</f>
        <v>Mobile Apps</v>
      </c>
      <c r="H942" s="8">
        <f>_xlfn.XLOOKUP(A:A,Sheet1!A:A,Sheet1!K:K)</f>
        <v>9</v>
      </c>
      <c r="I942" s="9">
        <f>_xlfn.XLOOKUP(A:A,Sheet1!A:A,Sheet1!M:M)</f>
        <v>30</v>
      </c>
      <c r="J942" s="10">
        <f>_xlfn.XLOOKUP(A:A,Sheet1!A:A,Sheet1!O:O)</f>
        <v>2.7</v>
      </c>
      <c r="K942" t="str">
        <f>_xlfn.XLOOKUP(A:A,Sheet1!A:A,Sheet1!P:P)</f>
        <v>Yes</v>
      </c>
      <c r="L942" s="12">
        <f>_xlfn.XLOOKUP(A:A,Sheet1!A:A,Sheet1!S:S)</f>
        <v>0.79269417475728277</v>
      </c>
    </row>
    <row r="943" spans="1:12" x14ac:dyDescent="0.35">
      <c r="A943" s="8" t="s">
        <v>1899</v>
      </c>
      <c r="B943" s="2" t="str">
        <f>_xlfn.XLOOKUP(A943,Sheet1!A:A,Sheet1!B:B)</f>
        <v>Nancy Glover</v>
      </c>
      <c r="C943" s="2" t="str">
        <f>_xlfn.XLOOKUP(A:A,Sheet1!A:A,Sheet1!D:D)</f>
        <v>Female</v>
      </c>
      <c r="D943" s="8">
        <f>_xlfn.XLOOKUP(A:A,Sheet1!A:A,Sheet1!F:F)</f>
        <v>38</v>
      </c>
      <c r="E943" s="2" t="str">
        <f>_xlfn.XLOOKUP(A:A,Sheet1!A:A,Sheet1!G:G)</f>
        <v>Brazil</v>
      </c>
      <c r="F943" s="8" t="str">
        <f>_xlfn.XLOOKUP(A:A,Sheet1!A:A,Sheet1!H:H)</f>
        <v>Portuguese</v>
      </c>
      <c r="G943" s="8" t="str">
        <f>_xlfn.XLOOKUP(A:A,Sheet1!A:A,Sheet1!I:I)</f>
        <v>AI</v>
      </c>
      <c r="H943" s="8">
        <f>_xlfn.XLOOKUP(A:A,Sheet1!A:A,Sheet1!K:K)</f>
        <v>15</v>
      </c>
      <c r="I943" s="9">
        <f>_xlfn.XLOOKUP(A:A,Sheet1!A:A,Sheet1!M:M)</f>
        <v>40</v>
      </c>
      <c r="J943" s="10">
        <f>_xlfn.XLOOKUP(A:A,Sheet1!A:A,Sheet1!O:O)</f>
        <v>4</v>
      </c>
      <c r="K943" t="str">
        <f>_xlfn.XLOOKUP(A:A,Sheet1!A:A,Sheet1!P:P)</f>
        <v>No</v>
      </c>
      <c r="L943" s="12">
        <f>_xlfn.XLOOKUP(A:A,Sheet1!A:A,Sheet1!S:S)</f>
        <v>0.62</v>
      </c>
    </row>
    <row r="944" spans="1:12" x14ac:dyDescent="0.35">
      <c r="A944" s="8" t="s">
        <v>1901</v>
      </c>
      <c r="B944" s="2" t="str">
        <f>_xlfn.XLOOKUP(A944,Sheet1!A:A,Sheet1!B:B)</f>
        <v>Richard Sanchez</v>
      </c>
      <c r="C944" s="2" t="str">
        <f>_xlfn.XLOOKUP(A:A,Sheet1!A:A,Sheet1!D:D)</f>
        <v>Male</v>
      </c>
      <c r="D944" s="8">
        <f>_xlfn.XLOOKUP(A:A,Sheet1!A:A,Sheet1!F:F)</f>
        <v>40</v>
      </c>
      <c r="E944" s="2" t="str">
        <f>_xlfn.XLOOKUP(A:A,Sheet1!A:A,Sheet1!G:G)</f>
        <v>Canada</v>
      </c>
      <c r="F944" s="8" t="str">
        <f>_xlfn.XLOOKUP(A:A,Sheet1!A:A,Sheet1!H:H)</f>
        <v>English</v>
      </c>
      <c r="G944" s="8" t="str">
        <f>_xlfn.XLOOKUP(A:A,Sheet1!A:A,Sheet1!I:I)</f>
        <v>Data Analysis</v>
      </c>
      <c r="H944" s="8">
        <f>_xlfn.XLOOKUP(A:A,Sheet1!A:A,Sheet1!K:K)</f>
        <v>20</v>
      </c>
      <c r="I944" s="9">
        <f>_xlfn.XLOOKUP(A:A,Sheet1!A:A,Sheet1!M:M)</f>
        <v>20</v>
      </c>
      <c r="J944" s="10">
        <f>_xlfn.XLOOKUP(A:A,Sheet1!A:A,Sheet1!O:O)</f>
        <v>2.5</v>
      </c>
      <c r="K944" t="str">
        <f>_xlfn.XLOOKUP(A:A,Sheet1!A:A,Sheet1!P:P)</f>
        <v>No</v>
      </c>
      <c r="L944" s="12">
        <f>_xlfn.XLOOKUP(A:A,Sheet1!A:A,Sheet1!S:S)</f>
        <v>0.81</v>
      </c>
    </row>
    <row r="945" spans="1:12" x14ac:dyDescent="0.35">
      <c r="A945" s="8" t="s">
        <v>1903</v>
      </c>
      <c r="B945" s="2" t="str">
        <f>_xlfn.XLOOKUP(A945,Sheet1!A:A,Sheet1!B:B)</f>
        <v>Savannah Reid</v>
      </c>
      <c r="C945" s="2" t="str">
        <f>_xlfn.XLOOKUP(A:A,Sheet1!A:A,Sheet1!D:D)</f>
        <v>Female</v>
      </c>
      <c r="D945" s="8">
        <f>_xlfn.XLOOKUP(A:A,Sheet1!A:A,Sheet1!F:F)</f>
        <v>46</v>
      </c>
      <c r="E945" s="2" t="str">
        <f>_xlfn.XLOOKUP(A:A,Sheet1!A:A,Sheet1!G:G)</f>
        <v>Brazil</v>
      </c>
      <c r="F945" s="8" t="str">
        <f>_xlfn.XLOOKUP(A:A,Sheet1!A:A,Sheet1!H:H)</f>
        <v>Portuguese</v>
      </c>
      <c r="G945" s="8" t="str">
        <f>_xlfn.XLOOKUP(A:A,Sheet1!A:A,Sheet1!I:I)</f>
        <v>Data Analysis</v>
      </c>
      <c r="H945" s="8">
        <f>_xlfn.XLOOKUP(A:A,Sheet1!A:A,Sheet1!K:K)</f>
        <v>16</v>
      </c>
      <c r="I945" s="9">
        <f>_xlfn.XLOOKUP(A:A,Sheet1!A:A,Sheet1!M:M)</f>
        <v>75</v>
      </c>
      <c r="J945" s="11">
        <v>0</v>
      </c>
      <c r="K945" t="str">
        <f>_xlfn.XLOOKUP(A:A,Sheet1!A:A,Sheet1!P:P)</f>
        <v>No</v>
      </c>
      <c r="L945" s="12">
        <f>_xlfn.XLOOKUP(A:A,Sheet1!A:A,Sheet1!S:S)</f>
        <v>0.94</v>
      </c>
    </row>
    <row r="946" spans="1:12" x14ac:dyDescent="0.35">
      <c r="A946" s="8" t="s">
        <v>1905</v>
      </c>
      <c r="B946" s="2" t="str">
        <f>_xlfn.XLOOKUP(A946,Sheet1!A:A,Sheet1!B:B)</f>
        <v>Robert Salazar</v>
      </c>
      <c r="C946" s="2" t="str">
        <f>_xlfn.XLOOKUP(A:A,Sheet1!A:A,Sheet1!D:D)</f>
        <v>Male</v>
      </c>
      <c r="D946" s="8">
        <f>_xlfn.XLOOKUP(A:A,Sheet1!A:A,Sheet1!F:F)</f>
        <v>56</v>
      </c>
      <c r="E946" s="2" t="str">
        <f>_xlfn.XLOOKUP(A:A,Sheet1!A:A,Sheet1!G:G)</f>
        <v>Egypt</v>
      </c>
      <c r="F946" s="8" t="str">
        <f>_xlfn.XLOOKUP(A:A,Sheet1!A:A,Sheet1!H:H)</f>
        <v>Arabic</v>
      </c>
      <c r="G946" s="8" t="str">
        <f>_xlfn.XLOOKUP(A:A,Sheet1!A:A,Sheet1!I:I)</f>
        <v>DevOps</v>
      </c>
      <c r="H946" s="8">
        <f>_xlfn.XLOOKUP(A:A,Sheet1!A:A,Sheet1!K:K)</f>
        <v>22</v>
      </c>
      <c r="I946" s="9">
        <f>_xlfn.XLOOKUP(A:A,Sheet1!A:A,Sheet1!M:M)</f>
        <v>30</v>
      </c>
      <c r="J946" s="10">
        <f>_xlfn.XLOOKUP(A:A,Sheet1!A:A,Sheet1!O:O)</f>
        <v>2.5125695216907653</v>
      </c>
      <c r="K946" t="str">
        <f>_xlfn.XLOOKUP(A:A,Sheet1!A:A,Sheet1!P:P)</f>
        <v>No</v>
      </c>
      <c r="L946" s="12">
        <f>_xlfn.XLOOKUP(A:A,Sheet1!A:A,Sheet1!S:S)</f>
        <v>0.95</v>
      </c>
    </row>
    <row r="947" spans="1:12" x14ac:dyDescent="0.35">
      <c r="A947" s="8" t="s">
        <v>1907</v>
      </c>
      <c r="B947" s="2" t="str">
        <f>_xlfn.XLOOKUP(A947,Sheet1!A:A,Sheet1!B:B)</f>
        <v>Hector Greer</v>
      </c>
      <c r="C947" s="2" t="str">
        <f>_xlfn.XLOOKUP(A:A,Sheet1!A:A,Sheet1!D:D)</f>
        <v>Male</v>
      </c>
      <c r="D947" s="8">
        <f>_xlfn.XLOOKUP(A:A,Sheet1!A:A,Sheet1!F:F)</f>
        <v>24</v>
      </c>
      <c r="E947" s="2" t="str">
        <f>_xlfn.XLOOKUP(A:A,Sheet1!A:A,Sheet1!G:G)</f>
        <v>Turkey</v>
      </c>
      <c r="F947" s="8" t="str">
        <f>_xlfn.XLOOKUP(A:A,Sheet1!A:A,Sheet1!H:H)</f>
        <v>Turkish</v>
      </c>
      <c r="G947" s="8" t="str">
        <f>_xlfn.XLOOKUP(A:A,Sheet1!A:A,Sheet1!I:I)</f>
        <v>Graphic Design</v>
      </c>
      <c r="H947" s="8">
        <f>_xlfn.XLOOKUP(A:A,Sheet1!A:A,Sheet1!K:K)</f>
        <v>2</v>
      </c>
      <c r="I947" s="9">
        <f>_xlfn.XLOOKUP(A:A,Sheet1!A:A,Sheet1!M:M)</f>
        <v>40</v>
      </c>
      <c r="J947" s="10">
        <f>_xlfn.XLOOKUP(A:A,Sheet1!A:A,Sheet1!O:O)</f>
        <v>1.6</v>
      </c>
      <c r="K947" t="str">
        <f>_xlfn.XLOOKUP(A:A,Sheet1!A:A,Sheet1!P:P)</f>
        <v>No</v>
      </c>
      <c r="L947" s="12">
        <f>_xlfn.XLOOKUP(A:A,Sheet1!A:A,Sheet1!S:S)</f>
        <v>1</v>
      </c>
    </row>
    <row r="948" spans="1:12" x14ac:dyDescent="0.35">
      <c r="A948" s="8" t="s">
        <v>1909</v>
      </c>
      <c r="B948" s="2" t="str">
        <f>_xlfn.XLOOKUP(A948,Sheet1!A:A,Sheet1!B:B)</f>
        <v>Thomas Jackson</v>
      </c>
      <c r="C948" s="2" t="str">
        <f>_xlfn.XLOOKUP(A:A,Sheet1!A:A,Sheet1!D:D)</f>
        <v>Male</v>
      </c>
      <c r="D948" s="8">
        <f>_xlfn.XLOOKUP(A:A,Sheet1!A:A,Sheet1!F:F)</f>
        <v>41</v>
      </c>
      <c r="E948" s="2" t="str">
        <f>_xlfn.XLOOKUP(A:A,Sheet1!A:A,Sheet1!G:G)</f>
        <v>Mexico</v>
      </c>
      <c r="F948" s="8" t="str">
        <f>_xlfn.XLOOKUP(A:A,Sheet1!A:A,Sheet1!H:H)</f>
        <v>Spanish</v>
      </c>
      <c r="G948" s="8" t="str">
        <f>_xlfn.XLOOKUP(A:A,Sheet1!A:A,Sheet1!I:I)</f>
        <v>AI</v>
      </c>
      <c r="H948" s="8">
        <f>_xlfn.XLOOKUP(A:A,Sheet1!A:A,Sheet1!K:K)</f>
        <v>1</v>
      </c>
      <c r="I948" s="9">
        <f>_xlfn.XLOOKUP(A:A,Sheet1!A:A,Sheet1!M:M)</f>
        <v>75</v>
      </c>
      <c r="J948" s="11">
        <v>0</v>
      </c>
      <c r="K948" t="str">
        <f>_xlfn.XLOOKUP(A:A,Sheet1!A:A,Sheet1!P:P)</f>
        <v>Yes</v>
      </c>
      <c r="L948" s="12">
        <f>_xlfn.XLOOKUP(A:A,Sheet1!A:A,Sheet1!S:S)</f>
        <v>0.94</v>
      </c>
    </row>
    <row r="949" spans="1:12" x14ac:dyDescent="0.35">
      <c r="A949" s="8" t="s">
        <v>1911</v>
      </c>
      <c r="B949" s="2" t="str">
        <f>_xlfn.XLOOKUP(A949,Sheet1!A:A,Sheet1!B:B)</f>
        <v>Tina Clark</v>
      </c>
      <c r="C949" s="2" t="str">
        <f>_xlfn.XLOOKUP(A:A,Sheet1!A:A,Sheet1!D:D)</f>
        <v>Female</v>
      </c>
      <c r="D949" s="8">
        <f>_xlfn.XLOOKUP(A:A,Sheet1!A:A,Sheet1!F:F)</f>
        <v>38</v>
      </c>
      <c r="E949" s="2" t="str">
        <f>_xlfn.XLOOKUP(A:A,Sheet1!A:A,Sheet1!G:G)</f>
        <v>Turkey</v>
      </c>
      <c r="F949" s="8" t="str">
        <f>_xlfn.XLOOKUP(A:A,Sheet1!A:A,Sheet1!H:H)</f>
        <v>Turkish</v>
      </c>
      <c r="G949" s="8" t="str">
        <f>_xlfn.XLOOKUP(A:A,Sheet1!A:A,Sheet1!I:I)</f>
        <v>Mobile Apps</v>
      </c>
      <c r="H949" s="8">
        <f>_xlfn.XLOOKUP(A:A,Sheet1!A:A,Sheet1!K:K)</f>
        <v>8</v>
      </c>
      <c r="I949" s="9">
        <f>_xlfn.XLOOKUP(A:A,Sheet1!A:A,Sheet1!M:M)</f>
        <v>30</v>
      </c>
      <c r="J949" s="10">
        <f>_xlfn.XLOOKUP(A:A,Sheet1!A:A,Sheet1!O:O)</f>
        <v>4</v>
      </c>
      <c r="K949" t="str">
        <f>_xlfn.XLOOKUP(A:A,Sheet1!A:A,Sheet1!P:P)</f>
        <v>Yes</v>
      </c>
      <c r="L949" s="12">
        <f>_xlfn.XLOOKUP(A:A,Sheet1!A:A,Sheet1!S:S)</f>
        <v>0.92</v>
      </c>
    </row>
    <row r="950" spans="1:12" x14ac:dyDescent="0.35">
      <c r="A950" s="8" t="s">
        <v>1913</v>
      </c>
      <c r="B950" s="2" t="str">
        <f>_xlfn.XLOOKUP(A950,Sheet1!A:A,Sheet1!B:B)</f>
        <v>Heather Brown</v>
      </c>
      <c r="C950" s="2" t="str">
        <f>_xlfn.XLOOKUP(A:A,Sheet1!A:A,Sheet1!D:D)</f>
        <v>Female</v>
      </c>
      <c r="D950" s="8">
        <f>_xlfn.XLOOKUP(A:A,Sheet1!A:A,Sheet1!F:F)</f>
        <v>28</v>
      </c>
      <c r="E950" s="2" t="str">
        <f>_xlfn.XLOOKUP(A:A,Sheet1!A:A,Sheet1!G:G)</f>
        <v>France</v>
      </c>
      <c r="F950" s="8" t="str">
        <f>_xlfn.XLOOKUP(A:A,Sheet1!A:A,Sheet1!H:H)</f>
        <v>French</v>
      </c>
      <c r="G950" s="8" t="str">
        <f>_xlfn.XLOOKUP(A:A,Sheet1!A:A,Sheet1!I:I)</f>
        <v>DevOps</v>
      </c>
      <c r="H950" s="8">
        <f>_xlfn.XLOOKUP(A:A,Sheet1!A:A,Sheet1!K:K)</f>
        <v>8</v>
      </c>
      <c r="I950" s="9">
        <f>_xlfn.XLOOKUP(A:A,Sheet1!A:A,Sheet1!M:M)</f>
        <v>50</v>
      </c>
      <c r="J950" s="10">
        <f>_xlfn.XLOOKUP(A:A,Sheet1!A:A,Sheet1!O:O)</f>
        <v>2.5</v>
      </c>
      <c r="K950" t="str">
        <f>_xlfn.XLOOKUP(A:A,Sheet1!A:A,Sheet1!P:P)</f>
        <v>Yes</v>
      </c>
      <c r="L950" s="12">
        <f>_xlfn.XLOOKUP(A:A,Sheet1!A:A,Sheet1!S:S)</f>
        <v>0.95</v>
      </c>
    </row>
    <row r="951" spans="1:12" x14ac:dyDescent="0.35">
      <c r="A951" s="8" t="s">
        <v>1915</v>
      </c>
      <c r="B951" s="2" t="str">
        <f>_xlfn.XLOOKUP(A951,Sheet1!A:A,Sheet1!B:B)</f>
        <v>John Weaver</v>
      </c>
      <c r="C951" s="2" t="str">
        <f>_xlfn.XLOOKUP(A:A,Sheet1!A:A,Sheet1!D:D)</f>
        <v>Male</v>
      </c>
      <c r="D951" s="8">
        <f>_xlfn.XLOOKUP(A:A,Sheet1!A:A,Sheet1!F:F)</f>
        <v>25</v>
      </c>
      <c r="E951" s="2" t="str">
        <f>_xlfn.XLOOKUP(A:A,Sheet1!A:A,Sheet1!G:G)</f>
        <v>Brazil</v>
      </c>
      <c r="F951" s="8" t="str">
        <f>_xlfn.XLOOKUP(A:A,Sheet1!A:A,Sheet1!H:H)</f>
        <v>Portuguese</v>
      </c>
      <c r="G951" s="8" t="str">
        <f>_xlfn.XLOOKUP(A:A,Sheet1!A:A,Sheet1!I:I)</f>
        <v>DevOps</v>
      </c>
      <c r="H951" s="8">
        <f>_xlfn.XLOOKUP(A:A,Sheet1!A:A,Sheet1!K:K)</f>
        <v>7</v>
      </c>
      <c r="I951" s="9">
        <f>_xlfn.XLOOKUP(A:A,Sheet1!A:A,Sheet1!M:M)</f>
        <v>20</v>
      </c>
      <c r="J951" s="10">
        <f>_xlfn.XLOOKUP(A:A,Sheet1!A:A,Sheet1!O:O)</f>
        <v>3.8</v>
      </c>
      <c r="K951" t="str">
        <f>_xlfn.XLOOKUP(A:A,Sheet1!A:A,Sheet1!P:P)</f>
        <v>No</v>
      </c>
      <c r="L951" s="12">
        <f>_xlfn.XLOOKUP(A:A,Sheet1!A:A,Sheet1!S:S)</f>
        <v>0.97</v>
      </c>
    </row>
    <row r="952" spans="1:12" x14ac:dyDescent="0.35">
      <c r="A952" s="8" t="s">
        <v>1917</v>
      </c>
      <c r="B952" s="2" t="str">
        <f>_xlfn.XLOOKUP(A952,Sheet1!A:A,Sheet1!B:B)</f>
        <v>Bradley Harris</v>
      </c>
      <c r="C952" s="2" t="str">
        <f>_xlfn.XLOOKUP(A:A,Sheet1!A:A,Sheet1!D:D)</f>
        <v>Male</v>
      </c>
      <c r="D952" s="8">
        <f>_xlfn.XLOOKUP(A:A,Sheet1!A:A,Sheet1!F:F)</f>
        <v>41</v>
      </c>
      <c r="E952" s="2" t="str">
        <f>_xlfn.XLOOKUP(A:A,Sheet1!A:A,Sheet1!G:G)</f>
        <v>United Kingdom</v>
      </c>
      <c r="F952" s="8" t="str">
        <f>_xlfn.XLOOKUP(A:A,Sheet1!A:A,Sheet1!H:H)</f>
        <v>English</v>
      </c>
      <c r="G952" s="8" t="str">
        <f>_xlfn.XLOOKUP(A:A,Sheet1!A:A,Sheet1!I:I)</f>
        <v>DevOps</v>
      </c>
      <c r="H952" s="8">
        <f>_xlfn.XLOOKUP(A:A,Sheet1!A:A,Sheet1!K:K)</f>
        <v>8</v>
      </c>
      <c r="I952" s="9">
        <f>_xlfn.XLOOKUP(A:A,Sheet1!A:A,Sheet1!M:M)</f>
        <v>50</v>
      </c>
      <c r="J952" s="10">
        <f>_xlfn.XLOOKUP(A:A,Sheet1!A:A,Sheet1!O:O)</f>
        <v>4.8</v>
      </c>
      <c r="K952" t="str">
        <f>_xlfn.XLOOKUP(A:A,Sheet1!A:A,Sheet1!P:P)</f>
        <v>No</v>
      </c>
      <c r="L952" s="12">
        <f>_xlfn.XLOOKUP(A:A,Sheet1!A:A,Sheet1!S:S)</f>
        <v>0.75</v>
      </c>
    </row>
    <row r="953" spans="1:12" x14ac:dyDescent="0.35">
      <c r="A953" s="8" t="s">
        <v>1919</v>
      </c>
      <c r="B953" s="2" t="str">
        <f>_xlfn.XLOOKUP(A953,Sheet1!A:A,Sheet1!B:B)</f>
        <v>Cassandra Macdonald</v>
      </c>
      <c r="C953" s="2" t="str">
        <f>_xlfn.XLOOKUP(A:A,Sheet1!A:A,Sheet1!D:D)</f>
        <v>Female</v>
      </c>
      <c r="D953" s="8">
        <f>_xlfn.XLOOKUP(A:A,Sheet1!A:A,Sheet1!F:F)</f>
        <v>45</v>
      </c>
      <c r="E953" s="2" t="str">
        <f>_xlfn.XLOOKUP(A:A,Sheet1!A:A,Sheet1!G:G)</f>
        <v>Mexico</v>
      </c>
      <c r="F953" s="8" t="str">
        <f>_xlfn.XLOOKUP(A:A,Sheet1!A:A,Sheet1!H:H)</f>
        <v>Spanish</v>
      </c>
      <c r="G953" s="8" t="str">
        <f>_xlfn.XLOOKUP(A:A,Sheet1!A:A,Sheet1!I:I)</f>
        <v>Data Analysis</v>
      </c>
      <c r="H953" s="8">
        <f>_xlfn.XLOOKUP(A:A,Sheet1!A:A,Sheet1!K:K)</f>
        <v>6</v>
      </c>
      <c r="I953" s="9">
        <f>_xlfn.XLOOKUP(A:A,Sheet1!A:A,Sheet1!M:M)</f>
        <v>40</v>
      </c>
      <c r="J953" s="10">
        <f>_xlfn.XLOOKUP(A:A,Sheet1!A:A,Sheet1!O:O)</f>
        <v>2</v>
      </c>
      <c r="K953" t="str">
        <f>_xlfn.XLOOKUP(A:A,Sheet1!A:A,Sheet1!P:P)</f>
        <v>Yes</v>
      </c>
      <c r="L953" s="12">
        <f>_xlfn.XLOOKUP(A:A,Sheet1!A:A,Sheet1!S:S)</f>
        <v>0.78</v>
      </c>
    </row>
    <row r="954" spans="1:12" x14ac:dyDescent="0.35">
      <c r="A954" s="8" t="s">
        <v>1921</v>
      </c>
      <c r="B954" s="2" t="str">
        <f>_xlfn.XLOOKUP(A954,Sheet1!A:A,Sheet1!B:B)</f>
        <v>Matthew White</v>
      </c>
      <c r="C954" s="2" t="str">
        <f>_xlfn.XLOOKUP(A:A,Sheet1!A:A,Sheet1!D:D)</f>
        <v>Male</v>
      </c>
      <c r="D954" s="8">
        <f>_xlfn.XLOOKUP(A:A,Sheet1!A:A,Sheet1!F:F)</f>
        <v>47</v>
      </c>
      <c r="E954" s="2" t="str">
        <f>_xlfn.XLOOKUP(A:A,Sheet1!A:A,Sheet1!G:G)</f>
        <v>Turkey</v>
      </c>
      <c r="F954" s="8" t="str">
        <f>_xlfn.XLOOKUP(A:A,Sheet1!A:A,Sheet1!H:H)</f>
        <v>Turkish</v>
      </c>
      <c r="G954" s="8" t="str">
        <f>_xlfn.XLOOKUP(A:A,Sheet1!A:A,Sheet1!I:I)</f>
        <v>DevOps</v>
      </c>
      <c r="H954" s="8">
        <f>_xlfn.XLOOKUP(A:A,Sheet1!A:A,Sheet1!K:K)</f>
        <v>16</v>
      </c>
      <c r="I954" s="9">
        <f>_xlfn.XLOOKUP(A:A,Sheet1!A:A,Sheet1!M:M)</f>
        <v>100</v>
      </c>
      <c r="J954" s="10">
        <f>_xlfn.XLOOKUP(A:A,Sheet1!A:A,Sheet1!O:O)</f>
        <v>3.3</v>
      </c>
      <c r="K954" t="str">
        <f>_xlfn.XLOOKUP(A:A,Sheet1!A:A,Sheet1!P:P)</f>
        <v>No</v>
      </c>
      <c r="L954" s="12">
        <f>_xlfn.XLOOKUP(A:A,Sheet1!A:A,Sheet1!S:S)</f>
        <v>0.65</v>
      </c>
    </row>
    <row r="955" spans="1:12" x14ac:dyDescent="0.35">
      <c r="A955" s="8" t="s">
        <v>1923</v>
      </c>
      <c r="B955" s="2" t="str">
        <f>_xlfn.XLOOKUP(A955,Sheet1!A:A,Sheet1!B:B)</f>
        <v>Miss Kimberly Marshall</v>
      </c>
      <c r="C955" s="2" t="str">
        <f>_xlfn.XLOOKUP(A:A,Sheet1!A:A,Sheet1!D:D)</f>
        <v>Female</v>
      </c>
      <c r="D955" s="8">
        <f>_xlfn.XLOOKUP(A:A,Sheet1!A:A,Sheet1!F:F)</f>
        <v>59</v>
      </c>
      <c r="E955" s="2" t="str">
        <f>_xlfn.XLOOKUP(A:A,Sheet1!A:A,Sheet1!G:G)</f>
        <v>United Kingdom</v>
      </c>
      <c r="F955" s="8" t="str">
        <f>_xlfn.XLOOKUP(A:A,Sheet1!A:A,Sheet1!H:H)</f>
        <v>English</v>
      </c>
      <c r="G955" s="8" t="str">
        <f>_xlfn.XLOOKUP(A:A,Sheet1!A:A,Sheet1!I:I)</f>
        <v>Data Analysis</v>
      </c>
      <c r="H955" s="8">
        <f>_xlfn.XLOOKUP(A:A,Sheet1!A:A,Sheet1!K:K)</f>
        <v>40</v>
      </c>
      <c r="I955" s="9">
        <f>_xlfn.XLOOKUP(A:A,Sheet1!A:A,Sheet1!M:M)</f>
        <v>40</v>
      </c>
      <c r="J955" s="10">
        <f>_xlfn.XLOOKUP(A:A,Sheet1!A:A,Sheet1!O:O)</f>
        <v>2.5</v>
      </c>
      <c r="K955" t="str">
        <f>_xlfn.XLOOKUP(A:A,Sheet1!A:A,Sheet1!P:P)</f>
        <v>Yes</v>
      </c>
      <c r="L955" s="12">
        <f>_xlfn.XLOOKUP(A:A,Sheet1!A:A,Sheet1!S:S)</f>
        <v>0.7</v>
      </c>
    </row>
    <row r="956" spans="1:12" x14ac:dyDescent="0.35">
      <c r="A956" s="8" t="s">
        <v>1925</v>
      </c>
      <c r="B956" s="2" t="str">
        <f>_xlfn.XLOOKUP(A956,Sheet1!A:A,Sheet1!B:B)</f>
        <v>Laura Thompson</v>
      </c>
      <c r="C956" s="2" t="str">
        <f>_xlfn.XLOOKUP(A:A,Sheet1!A:A,Sheet1!D:D)</f>
        <v>Female</v>
      </c>
      <c r="D956" s="8">
        <f>_xlfn.XLOOKUP(A:A,Sheet1!A:A,Sheet1!F:F)</f>
        <v>25</v>
      </c>
      <c r="E956" s="2" t="str">
        <f>_xlfn.XLOOKUP(A:A,Sheet1!A:A,Sheet1!G:G)</f>
        <v>Canada</v>
      </c>
      <c r="F956" s="8" t="str">
        <f>_xlfn.XLOOKUP(A:A,Sheet1!A:A,Sheet1!H:H)</f>
        <v>English</v>
      </c>
      <c r="G956" s="8" t="str">
        <f>_xlfn.XLOOKUP(A:A,Sheet1!A:A,Sheet1!I:I)</f>
        <v>Blockchain Development</v>
      </c>
      <c r="H956" s="8">
        <f>_xlfn.XLOOKUP(A:A,Sheet1!A:A,Sheet1!K:K)</f>
        <v>6</v>
      </c>
      <c r="I956" s="9">
        <f>_xlfn.XLOOKUP(A:A,Sheet1!A:A,Sheet1!M:M)</f>
        <v>100</v>
      </c>
      <c r="J956" s="10">
        <f>_xlfn.XLOOKUP(A:A,Sheet1!A:A,Sheet1!O:O)</f>
        <v>2.5125695216907653</v>
      </c>
      <c r="K956" t="str">
        <f>_xlfn.XLOOKUP(A:A,Sheet1!A:A,Sheet1!P:P)</f>
        <v>Yes</v>
      </c>
      <c r="L956" s="12">
        <f>_xlfn.XLOOKUP(A:A,Sheet1!A:A,Sheet1!S:S)</f>
        <v>0.78</v>
      </c>
    </row>
    <row r="957" spans="1:12" x14ac:dyDescent="0.35">
      <c r="A957" s="8" t="s">
        <v>1927</v>
      </c>
      <c r="B957" s="2" t="str">
        <f>_xlfn.XLOOKUP(A957,Sheet1!A:A,Sheet1!B:B)</f>
        <v>Nathan Soto</v>
      </c>
      <c r="C957" s="2" t="str">
        <f>_xlfn.XLOOKUP(A:A,Sheet1!A:A,Sheet1!D:D)</f>
        <v>Male</v>
      </c>
      <c r="D957" s="8">
        <f>_xlfn.XLOOKUP(A:A,Sheet1!A:A,Sheet1!F:F)</f>
        <v>27</v>
      </c>
      <c r="E957" s="2" t="str">
        <f>_xlfn.XLOOKUP(A:A,Sheet1!A:A,Sheet1!G:G)</f>
        <v>Australia</v>
      </c>
      <c r="F957" s="8" t="str">
        <f>_xlfn.XLOOKUP(A:A,Sheet1!A:A,Sheet1!H:H)</f>
        <v>English</v>
      </c>
      <c r="G957" s="8" t="str">
        <f>_xlfn.XLOOKUP(A:A,Sheet1!A:A,Sheet1!I:I)</f>
        <v>Web Development</v>
      </c>
      <c r="H957" s="8">
        <f>_xlfn.XLOOKUP(A:A,Sheet1!A:A,Sheet1!K:K)</f>
        <v>3</v>
      </c>
      <c r="I957" s="9">
        <f>_xlfn.XLOOKUP(A:A,Sheet1!A:A,Sheet1!M:M)</f>
        <v>50</v>
      </c>
      <c r="J957" s="10">
        <f>_xlfn.XLOOKUP(A:A,Sheet1!A:A,Sheet1!O:O)</f>
        <v>2.5125695216907653</v>
      </c>
      <c r="K957" t="str">
        <f>_xlfn.XLOOKUP(A:A,Sheet1!A:A,Sheet1!P:P)</f>
        <v>Yes</v>
      </c>
      <c r="L957" s="12">
        <f>_xlfn.XLOOKUP(A:A,Sheet1!A:A,Sheet1!S:S)</f>
        <v>0.96</v>
      </c>
    </row>
    <row r="958" spans="1:12" x14ac:dyDescent="0.35">
      <c r="A958" s="8" t="s">
        <v>1929</v>
      </c>
      <c r="B958" s="2" t="str">
        <f>_xlfn.XLOOKUP(A958,Sheet1!A:A,Sheet1!B:B)</f>
        <v>Rhonda Hines</v>
      </c>
      <c r="C958" s="2" t="str">
        <f>_xlfn.XLOOKUP(A:A,Sheet1!A:A,Sheet1!D:D)</f>
        <v>Female</v>
      </c>
      <c r="D958" s="8">
        <f>_xlfn.XLOOKUP(A:A,Sheet1!A:A,Sheet1!F:F)</f>
        <v>57</v>
      </c>
      <c r="E958" s="2" t="str">
        <f>_xlfn.XLOOKUP(A:A,Sheet1!A:A,Sheet1!G:G)</f>
        <v>Australia</v>
      </c>
      <c r="F958" s="8" t="str">
        <f>_xlfn.XLOOKUP(A:A,Sheet1!A:A,Sheet1!H:H)</f>
        <v>English</v>
      </c>
      <c r="G958" s="8" t="str">
        <f>_xlfn.XLOOKUP(A:A,Sheet1!A:A,Sheet1!I:I)</f>
        <v>AI</v>
      </c>
      <c r="H958" s="8">
        <f>_xlfn.XLOOKUP(A:A,Sheet1!A:A,Sheet1!K:K)</f>
        <v>5</v>
      </c>
      <c r="I958" s="9">
        <f>_xlfn.XLOOKUP(A:A,Sheet1!A:A,Sheet1!M:M)</f>
        <v>100</v>
      </c>
      <c r="J958" s="11">
        <v>0</v>
      </c>
      <c r="K958" t="str">
        <f>_xlfn.XLOOKUP(A:A,Sheet1!A:A,Sheet1!P:P)</f>
        <v>Yes</v>
      </c>
      <c r="L958" s="12">
        <f>_xlfn.XLOOKUP(A:A,Sheet1!A:A,Sheet1!S:S)</f>
        <v>0.8</v>
      </c>
    </row>
    <row r="959" spans="1:12" x14ac:dyDescent="0.35">
      <c r="A959" s="8" t="s">
        <v>1931</v>
      </c>
      <c r="B959" s="2" t="str">
        <f>_xlfn.XLOOKUP(A959,Sheet1!A:A,Sheet1!B:B)</f>
        <v>Gabrielle Bowman</v>
      </c>
      <c r="C959" s="2" t="str">
        <f>_xlfn.XLOOKUP(A:A,Sheet1!A:A,Sheet1!D:D)</f>
        <v>Female</v>
      </c>
      <c r="D959" s="8">
        <f>_xlfn.XLOOKUP(A:A,Sheet1!A:A,Sheet1!F:F)</f>
        <v>34</v>
      </c>
      <c r="E959" s="2" t="str">
        <f>_xlfn.XLOOKUP(A:A,Sheet1!A:A,Sheet1!G:G)</f>
        <v>Turkey</v>
      </c>
      <c r="F959" s="8" t="str">
        <f>_xlfn.XLOOKUP(A:A,Sheet1!A:A,Sheet1!H:H)</f>
        <v>Turkish</v>
      </c>
      <c r="G959" s="8" t="str">
        <f>_xlfn.XLOOKUP(A:A,Sheet1!A:A,Sheet1!I:I)</f>
        <v>UI/UX Design</v>
      </c>
      <c r="H959" s="8">
        <f>_xlfn.XLOOKUP(A:A,Sheet1!A:A,Sheet1!K:K)</f>
        <v>12</v>
      </c>
      <c r="I959" s="9">
        <f>_xlfn.XLOOKUP(A:A,Sheet1!A:A,Sheet1!M:M)</f>
        <v>20</v>
      </c>
      <c r="J959" s="10">
        <f>_xlfn.XLOOKUP(A:A,Sheet1!A:A,Sheet1!O:O)</f>
        <v>1.6</v>
      </c>
      <c r="K959" t="str">
        <f>_xlfn.XLOOKUP(A:A,Sheet1!A:A,Sheet1!P:P)</f>
        <v>Yes</v>
      </c>
      <c r="L959" s="12">
        <f>_xlfn.XLOOKUP(A:A,Sheet1!A:A,Sheet1!S:S)</f>
        <v>0.64</v>
      </c>
    </row>
    <row r="960" spans="1:12" x14ac:dyDescent="0.35">
      <c r="A960" s="8" t="s">
        <v>1933</v>
      </c>
      <c r="B960" s="2" t="str">
        <f>_xlfn.XLOOKUP(A960,Sheet1!A:A,Sheet1!B:B)</f>
        <v>Julian Edwards</v>
      </c>
      <c r="C960" s="2" t="str">
        <f>_xlfn.XLOOKUP(A:A,Sheet1!A:A,Sheet1!D:D)</f>
        <v>Male</v>
      </c>
      <c r="D960" s="8">
        <f>_xlfn.XLOOKUP(A:A,Sheet1!A:A,Sheet1!F:F)</f>
        <v>55</v>
      </c>
      <c r="E960" s="2" t="str">
        <f>_xlfn.XLOOKUP(A:A,Sheet1!A:A,Sheet1!G:G)</f>
        <v>France</v>
      </c>
      <c r="F960" s="8" t="str">
        <f>_xlfn.XLOOKUP(A:A,Sheet1!A:A,Sheet1!H:H)</f>
        <v>French</v>
      </c>
      <c r="G960" s="8" t="str">
        <f>_xlfn.XLOOKUP(A:A,Sheet1!A:A,Sheet1!I:I)</f>
        <v>UI/UX Design</v>
      </c>
      <c r="H960" s="8">
        <f>_xlfn.XLOOKUP(A:A,Sheet1!A:A,Sheet1!K:K)</f>
        <v>33</v>
      </c>
      <c r="I960" s="9">
        <f>_xlfn.XLOOKUP(A:A,Sheet1!A:A,Sheet1!M:M)</f>
        <v>50</v>
      </c>
      <c r="J960" s="11">
        <v>0</v>
      </c>
      <c r="K960" t="str">
        <f>_xlfn.XLOOKUP(A:A,Sheet1!A:A,Sheet1!P:P)</f>
        <v>No</v>
      </c>
      <c r="L960" s="12">
        <f>_xlfn.XLOOKUP(A:A,Sheet1!A:A,Sheet1!S:S)</f>
        <v>0.92</v>
      </c>
    </row>
    <row r="961" spans="1:12" x14ac:dyDescent="0.35">
      <c r="A961" s="8" t="s">
        <v>1935</v>
      </c>
      <c r="B961" s="2" t="str">
        <f>_xlfn.XLOOKUP(A961,Sheet1!A:A,Sheet1!B:B)</f>
        <v>Nicholas Scott</v>
      </c>
      <c r="C961" s="2" t="str">
        <f>_xlfn.XLOOKUP(A:A,Sheet1!A:A,Sheet1!D:D)</f>
        <v>Male</v>
      </c>
      <c r="D961" s="8">
        <f>_xlfn.XLOOKUP(A:A,Sheet1!A:A,Sheet1!F:F)</f>
        <v>21</v>
      </c>
      <c r="E961" s="2" t="str">
        <f>_xlfn.XLOOKUP(A:A,Sheet1!A:A,Sheet1!G:G)</f>
        <v>Egypt</v>
      </c>
      <c r="F961" s="8" t="str">
        <f>_xlfn.XLOOKUP(A:A,Sheet1!A:A,Sheet1!H:H)</f>
        <v>Arabic</v>
      </c>
      <c r="G961" s="8" t="str">
        <f>_xlfn.XLOOKUP(A:A,Sheet1!A:A,Sheet1!I:I)</f>
        <v>Blockchain Development</v>
      </c>
      <c r="H961" s="8">
        <f>_xlfn.XLOOKUP(A:A,Sheet1!A:A,Sheet1!K:K)</f>
        <v>1</v>
      </c>
      <c r="I961" s="9">
        <f>_xlfn.XLOOKUP(A:A,Sheet1!A:A,Sheet1!M:M)</f>
        <v>100</v>
      </c>
      <c r="J961" s="11">
        <v>0</v>
      </c>
      <c r="K961" t="str">
        <f>_xlfn.XLOOKUP(A:A,Sheet1!A:A,Sheet1!P:P)</f>
        <v>Yes</v>
      </c>
      <c r="L961" s="12">
        <f>_xlfn.XLOOKUP(A:A,Sheet1!A:A,Sheet1!S:S)</f>
        <v>0.79269417475728277</v>
      </c>
    </row>
    <row r="962" spans="1:12" x14ac:dyDescent="0.35">
      <c r="A962" s="8" t="s">
        <v>1937</v>
      </c>
      <c r="B962" s="2" t="str">
        <f>_xlfn.XLOOKUP(A962,Sheet1!A:A,Sheet1!B:B)</f>
        <v>Daniel Green</v>
      </c>
      <c r="C962" s="2" t="str">
        <f>_xlfn.XLOOKUP(A:A,Sheet1!A:A,Sheet1!D:D)</f>
        <v>Male</v>
      </c>
      <c r="D962" s="8">
        <f>_xlfn.XLOOKUP(A:A,Sheet1!A:A,Sheet1!F:F)</f>
        <v>53</v>
      </c>
      <c r="E962" s="2" t="str">
        <f>_xlfn.XLOOKUP(A:A,Sheet1!A:A,Sheet1!G:G)</f>
        <v>Netherlands</v>
      </c>
      <c r="F962" s="8" t="str">
        <f>_xlfn.XLOOKUP(A:A,Sheet1!A:A,Sheet1!H:H)</f>
        <v>Dutch</v>
      </c>
      <c r="G962" s="8" t="str">
        <f>_xlfn.XLOOKUP(A:A,Sheet1!A:A,Sheet1!I:I)</f>
        <v>DevOps</v>
      </c>
      <c r="H962" s="8">
        <f>_xlfn.XLOOKUP(A:A,Sheet1!A:A,Sheet1!K:K)</f>
        <v>27</v>
      </c>
      <c r="I962" s="9">
        <f>_xlfn.XLOOKUP(A:A,Sheet1!A:A,Sheet1!M:M)</f>
        <v>20</v>
      </c>
      <c r="J962" s="10">
        <f>_xlfn.XLOOKUP(A:A,Sheet1!A:A,Sheet1!O:O)</f>
        <v>4.7</v>
      </c>
      <c r="K962" t="str">
        <f>_xlfn.XLOOKUP(A:A,Sheet1!A:A,Sheet1!P:P)</f>
        <v>Yes</v>
      </c>
      <c r="L962" s="12">
        <f>_xlfn.XLOOKUP(A:A,Sheet1!A:A,Sheet1!S:S)</f>
        <v>0.71</v>
      </c>
    </row>
    <row r="963" spans="1:12" x14ac:dyDescent="0.35">
      <c r="A963" s="8" t="s">
        <v>1939</v>
      </c>
      <c r="B963" s="2" t="str">
        <f>_xlfn.XLOOKUP(A963,Sheet1!A:A,Sheet1!B:B)</f>
        <v>Catherine Johnston</v>
      </c>
      <c r="C963" s="2" t="str">
        <f>_xlfn.XLOOKUP(A:A,Sheet1!A:A,Sheet1!D:D)</f>
        <v>Female</v>
      </c>
      <c r="D963" s="8">
        <f>_xlfn.XLOOKUP(A:A,Sheet1!A:A,Sheet1!F:F)</f>
        <v>21</v>
      </c>
      <c r="E963" s="2" t="str">
        <f>_xlfn.XLOOKUP(A:A,Sheet1!A:A,Sheet1!G:G)</f>
        <v>Germany</v>
      </c>
      <c r="F963" s="8" t="str">
        <f>_xlfn.XLOOKUP(A:A,Sheet1!A:A,Sheet1!H:H)</f>
        <v>German</v>
      </c>
      <c r="G963" s="8" t="str">
        <f>_xlfn.XLOOKUP(A:A,Sheet1!A:A,Sheet1!I:I)</f>
        <v>UI/UX Design</v>
      </c>
      <c r="H963" s="8">
        <f>_xlfn.XLOOKUP(A:A,Sheet1!A:A,Sheet1!K:K)</f>
        <v>1</v>
      </c>
      <c r="I963" s="9">
        <f>_xlfn.XLOOKUP(A:A,Sheet1!A:A,Sheet1!M:M)</f>
        <v>100</v>
      </c>
      <c r="J963" s="11">
        <v>0</v>
      </c>
      <c r="K963" t="str">
        <f>_xlfn.XLOOKUP(A:A,Sheet1!A:A,Sheet1!P:P)</f>
        <v>Yes</v>
      </c>
      <c r="L963" s="12">
        <f>_xlfn.XLOOKUP(A:A,Sheet1!A:A,Sheet1!S:S)</f>
        <v>0.95</v>
      </c>
    </row>
    <row r="964" spans="1:12" x14ac:dyDescent="0.35">
      <c r="A964" s="8" t="s">
        <v>1941</v>
      </c>
      <c r="B964" s="2" t="str">
        <f>_xlfn.XLOOKUP(A964,Sheet1!A:A,Sheet1!B:B)</f>
        <v>Brenda Koch</v>
      </c>
      <c r="C964" s="2" t="str">
        <f>_xlfn.XLOOKUP(A:A,Sheet1!A:A,Sheet1!D:D)</f>
        <v>Female</v>
      </c>
      <c r="D964" s="8">
        <f>_xlfn.XLOOKUP(A:A,Sheet1!A:A,Sheet1!F:F)</f>
        <v>36</v>
      </c>
      <c r="E964" s="2" t="str">
        <f>_xlfn.XLOOKUP(A:A,Sheet1!A:A,Sheet1!G:G)</f>
        <v>Brazil</v>
      </c>
      <c r="F964" s="8" t="str">
        <f>_xlfn.XLOOKUP(A:A,Sheet1!A:A,Sheet1!H:H)</f>
        <v>Portuguese</v>
      </c>
      <c r="G964" s="8" t="str">
        <f>_xlfn.XLOOKUP(A:A,Sheet1!A:A,Sheet1!I:I)</f>
        <v>Web Development</v>
      </c>
      <c r="H964" s="8">
        <f>_xlfn.XLOOKUP(A:A,Sheet1!A:A,Sheet1!K:K)</f>
        <v>9</v>
      </c>
      <c r="I964" s="9">
        <f>_xlfn.XLOOKUP(A:A,Sheet1!A:A,Sheet1!M:M)</f>
        <v>20</v>
      </c>
      <c r="J964" s="10">
        <f>_xlfn.XLOOKUP(A:A,Sheet1!A:A,Sheet1!O:O)</f>
        <v>4.0999999999999996</v>
      </c>
      <c r="K964" t="str">
        <f>_xlfn.XLOOKUP(A:A,Sheet1!A:A,Sheet1!P:P)</f>
        <v>No</v>
      </c>
      <c r="L964" s="12">
        <f>_xlfn.XLOOKUP(A:A,Sheet1!A:A,Sheet1!S:S)</f>
        <v>0.86</v>
      </c>
    </row>
    <row r="965" spans="1:12" x14ac:dyDescent="0.35">
      <c r="A965" s="8" t="s">
        <v>1943</v>
      </c>
      <c r="B965" s="2" t="str">
        <f>_xlfn.XLOOKUP(A965,Sheet1!A:A,Sheet1!B:B)</f>
        <v xml:space="preserve"> Robert Meza</v>
      </c>
      <c r="C965" s="2" t="str">
        <f>_xlfn.XLOOKUP(A:A,Sheet1!A:A,Sheet1!D:D)</f>
        <v>Male</v>
      </c>
      <c r="D965" s="8">
        <f>_xlfn.XLOOKUP(A:A,Sheet1!A:A,Sheet1!F:F)</f>
        <v>40</v>
      </c>
      <c r="E965" s="2" t="str">
        <f>_xlfn.XLOOKUP(A:A,Sheet1!A:A,Sheet1!G:G)</f>
        <v>Germany</v>
      </c>
      <c r="F965" s="8" t="str">
        <f>_xlfn.XLOOKUP(A:A,Sheet1!A:A,Sheet1!H:H)</f>
        <v>German</v>
      </c>
      <c r="G965" s="8" t="str">
        <f>_xlfn.XLOOKUP(A:A,Sheet1!A:A,Sheet1!I:I)</f>
        <v>AI</v>
      </c>
      <c r="H965" s="8">
        <f>_xlfn.XLOOKUP(A:A,Sheet1!A:A,Sheet1!K:K)</f>
        <v>2</v>
      </c>
      <c r="I965" s="9">
        <f>_xlfn.XLOOKUP(A:A,Sheet1!A:A,Sheet1!M:M)</f>
        <v>30</v>
      </c>
      <c r="J965" s="10">
        <f>_xlfn.XLOOKUP(A:A,Sheet1!A:A,Sheet1!O:O)</f>
        <v>1.3</v>
      </c>
      <c r="K965" t="str">
        <f>_xlfn.XLOOKUP(A:A,Sheet1!A:A,Sheet1!P:P)</f>
        <v>Yes</v>
      </c>
      <c r="L965" s="12">
        <f>_xlfn.XLOOKUP(A:A,Sheet1!A:A,Sheet1!S:S)</f>
        <v>0.77</v>
      </c>
    </row>
    <row r="966" spans="1:12" x14ac:dyDescent="0.35">
      <c r="A966" s="8" t="s">
        <v>1944</v>
      </c>
      <c r="B966" s="2" t="str">
        <f>_xlfn.XLOOKUP(A966,Sheet1!A:A,Sheet1!B:B)</f>
        <v>Latoya Brown</v>
      </c>
      <c r="C966" s="2" t="str">
        <f>_xlfn.XLOOKUP(A:A,Sheet1!A:A,Sheet1!D:D)</f>
        <v>Female</v>
      </c>
      <c r="D966" s="8">
        <f>_xlfn.XLOOKUP(A:A,Sheet1!A:A,Sheet1!F:F)</f>
        <v>59</v>
      </c>
      <c r="E966" s="2" t="str">
        <f>_xlfn.XLOOKUP(A:A,Sheet1!A:A,Sheet1!G:G)</f>
        <v>United Kingdom</v>
      </c>
      <c r="F966" s="8" t="str">
        <f>_xlfn.XLOOKUP(A:A,Sheet1!A:A,Sheet1!H:H)</f>
        <v>English</v>
      </c>
      <c r="G966" s="8" t="str">
        <f>_xlfn.XLOOKUP(A:A,Sheet1!A:A,Sheet1!I:I)</f>
        <v>UI/UX Design</v>
      </c>
      <c r="H966" s="8">
        <f>_xlfn.XLOOKUP(A:A,Sheet1!A:A,Sheet1!K:K)</f>
        <v>40</v>
      </c>
      <c r="I966" s="9">
        <f>_xlfn.XLOOKUP(A:A,Sheet1!A:A,Sheet1!M:M)</f>
        <v>100</v>
      </c>
      <c r="J966" s="10">
        <f>_xlfn.XLOOKUP(A:A,Sheet1!A:A,Sheet1!O:O)</f>
        <v>2.6</v>
      </c>
      <c r="K966" t="str">
        <f>_xlfn.XLOOKUP(A:A,Sheet1!A:A,Sheet1!P:P)</f>
        <v>No</v>
      </c>
      <c r="L966" s="12">
        <f>_xlfn.XLOOKUP(A:A,Sheet1!A:A,Sheet1!S:S)</f>
        <v>0.79269417475728277</v>
      </c>
    </row>
    <row r="967" spans="1:12" x14ac:dyDescent="0.35">
      <c r="A967" s="8" t="s">
        <v>1946</v>
      </c>
      <c r="B967" s="2" t="str">
        <f>_xlfn.XLOOKUP(A967,Sheet1!A:A,Sheet1!B:B)</f>
        <v xml:space="preserve">David Osborne </v>
      </c>
      <c r="C967" s="2" t="str">
        <f>_xlfn.XLOOKUP(A:A,Sheet1!A:A,Sheet1!D:D)</f>
        <v>Male</v>
      </c>
      <c r="D967" s="8">
        <f>_xlfn.XLOOKUP(A:A,Sheet1!A:A,Sheet1!F:F)</f>
        <v>45</v>
      </c>
      <c r="E967" s="2" t="str">
        <f>_xlfn.XLOOKUP(A:A,Sheet1!A:A,Sheet1!G:G)</f>
        <v>Netherlands</v>
      </c>
      <c r="F967" s="8" t="str">
        <f>_xlfn.XLOOKUP(A:A,Sheet1!A:A,Sheet1!H:H)</f>
        <v>Dutch</v>
      </c>
      <c r="G967" s="8" t="str">
        <f>_xlfn.XLOOKUP(A:A,Sheet1!A:A,Sheet1!I:I)</f>
        <v>Cybersecurity</v>
      </c>
      <c r="H967" s="8">
        <f>_xlfn.XLOOKUP(A:A,Sheet1!A:A,Sheet1!K:K)</f>
        <v>4</v>
      </c>
      <c r="I967" s="9">
        <f>_xlfn.XLOOKUP(A:A,Sheet1!A:A,Sheet1!M:M)</f>
        <v>20</v>
      </c>
      <c r="J967" s="10">
        <f>_xlfn.XLOOKUP(A:A,Sheet1!A:A,Sheet1!O:O)</f>
        <v>2.7</v>
      </c>
      <c r="K967" t="str">
        <f>_xlfn.XLOOKUP(A:A,Sheet1!A:A,Sheet1!P:P)</f>
        <v>No</v>
      </c>
      <c r="L967" s="12">
        <f>_xlfn.XLOOKUP(A:A,Sheet1!A:A,Sheet1!S:S)</f>
        <v>0.72</v>
      </c>
    </row>
    <row r="968" spans="1:12" x14ac:dyDescent="0.35">
      <c r="A968" s="8" t="s">
        <v>1947</v>
      </c>
      <c r="B968" s="2" t="str">
        <f>_xlfn.XLOOKUP(A968,Sheet1!A:A,Sheet1!B:B)</f>
        <v>David Hooper</v>
      </c>
      <c r="C968" s="2" t="str">
        <f>_xlfn.XLOOKUP(A:A,Sheet1!A:A,Sheet1!D:D)</f>
        <v>Male</v>
      </c>
      <c r="D968" s="8">
        <f>_xlfn.XLOOKUP(A:A,Sheet1!A:A,Sheet1!F:F)</f>
        <v>44</v>
      </c>
      <c r="E968" s="2" t="str">
        <f>_xlfn.XLOOKUP(A:A,Sheet1!A:A,Sheet1!G:G)</f>
        <v>South Korea</v>
      </c>
      <c r="F968" s="8" t="str">
        <f>_xlfn.XLOOKUP(A:A,Sheet1!A:A,Sheet1!H:H)</f>
        <v>Korean</v>
      </c>
      <c r="G968" s="8" t="str">
        <f>_xlfn.XLOOKUP(A:A,Sheet1!A:A,Sheet1!I:I)</f>
        <v>Machine Learning</v>
      </c>
      <c r="H968" s="8">
        <f>_xlfn.XLOOKUP(A:A,Sheet1!A:A,Sheet1!K:K)</f>
        <v>9</v>
      </c>
      <c r="I968" s="9">
        <f>_xlfn.XLOOKUP(A:A,Sheet1!A:A,Sheet1!M:M)</f>
        <v>40</v>
      </c>
      <c r="J968" s="10">
        <f>_xlfn.XLOOKUP(A:A,Sheet1!A:A,Sheet1!O:O)</f>
        <v>2.5125695216907653</v>
      </c>
      <c r="K968" t="str">
        <f>_xlfn.XLOOKUP(A:A,Sheet1!A:A,Sheet1!P:P)</f>
        <v>No</v>
      </c>
      <c r="L968" s="12">
        <f>_xlfn.XLOOKUP(A:A,Sheet1!A:A,Sheet1!S:S)</f>
        <v>0.7</v>
      </c>
    </row>
    <row r="969" spans="1:12" x14ac:dyDescent="0.35">
      <c r="A969" s="8" t="s">
        <v>1949</v>
      </c>
      <c r="B969" s="2" t="str">
        <f>_xlfn.XLOOKUP(A969,Sheet1!A:A,Sheet1!B:B)</f>
        <v>Sarah Miller</v>
      </c>
      <c r="C969" s="2" t="str">
        <f>_xlfn.XLOOKUP(A:A,Sheet1!A:A,Sheet1!D:D)</f>
        <v>Female</v>
      </c>
      <c r="D969" s="8">
        <f>_xlfn.XLOOKUP(A:A,Sheet1!A:A,Sheet1!F:F)</f>
        <v>36</v>
      </c>
      <c r="E969" s="2" t="str">
        <f>_xlfn.XLOOKUP(A:A,Sheet1!A:A,Sheet1!G:G)</f>
        <v>United Kingdom</v>
      </c>
      <c r="F969" s="8" t="str">
        <f>_xlfn.XLOOKUP(A:A,Sheet1!A:A,Sheet1!H:H)</f>
        <v>English</v>
      </c>
      <c r="G969" s="8" t="str">
        <f>_xlfn.XLOOKUP(A:A,Sheet1!A:A,Sheet1!I:I)</f>
        <v>Cybersecurity</v>
      </c>
      <c r="H969" s="8">
        <f>_xlfn.XLOOKUP(A:A,Sheet1!A:A,Sheet1!K:K)</f>
        <v>13</v>
      </c>
      <c r="I969" s="9">
        <f>_xlfn.XLOOKUP(A:A,Sheet1!A:A,Sheet1!M:M)</f>
        <v>30</v>
      </c>
      <c r="J969" s="10">
        <f>_xlfn.XLOOKUP(A:A,Sheet1!A:A,Sheet1!O:O)</f>
        <v>3.6</v>
      </c>
      <c r="K969" t="str">
        <f>_xlfn.XLOOKUP(A:A,Sheet1!A:A,Sheet1!P:P)</f>
        <v>No</v>
      </c>
      <c r="L969" s="12">
        <f>_xlfn.XLOOKUP(A:A,Sheet1!A:A,Sheet1!S:S)</f>
        <v>0.86</v>
      </c>
    </row>
    <row r="970" spans="1:12" x14ac:dyDescent="0.35">
      <c r="A970" s="8" t="s">
        <v>1951</v>
      </c>
      <c r="B970" s="2" t="str">
        <f>_xlfn.XLOOKUP(A970,Sheet1!A:A,Sheet1!B:B)</f>
        <v xml:space="preserve">Lisa Werner </v>
      </c>
      <c r="C970" s="2" t="str">
        <f>_xlfn.XLOOKUP(A:A,Sheet1!A:A,Sheet1!D:D)</f>
        <v>Female</v>
      </c>
      <c r="D970" s="8">
        <f>_xlfn.XLOOKUP(A:A,Sheet1!A:A,Sheet1!F:F)</f>
        <v>26</v>
      </c>
      <c r="E970" s="2" t="str">
        <f>_xlfn.XLOOKUP(A:A,Sheet1!A:A,Sheet1!G:G)</f>
        <v>India</v>
      </c>
      <c r="F970" s="8" t="str">
        <f>_xlfn.XLOOKUP(A:A,Sheet1!A:A,Sheet1!H:H)</f>
        <v>Hindi</v>
      </c>
      <c r="G970" s="8" t="str">
        <f>_xlfn.XLOOKUP(A:A,Sheet1!A:A,Sheet1!I:I)</f>
        <v>Graphic Design</v>
      </c>
      <c r="H970" s="8">
        <f>_xlfn.XLOOKUP(A:A,Sheet1!A:A,Sheet1!K:K)</f>
        <v>1</v>
      </c>
      <c r="I970" s="9">
        <f>_xlfn.XLOOKUP(A:A,Sheet1!A:A,Sheet1!M:M)</f>
        <v>75</v>
      </c>
      <c r="J970" s="10">
        <f>_xlfn.XLOOKUP(A:A,Sheet1!A:A,Sheet1!O:O)</f>
        <v>3</v>
      </c>
      <c r="K970" t="str">
        <f>_xlfn.XLOOKUP(A:A,Sheet1!A:A,Sheet1!P:P)</f>
        <v>Yes</v>
      </c>
      <c r="L970" s="12">
        <f>_xlfn.XLOOKUP(A:A,Sheet1!A:A,Sheet1!S:S)</f>
        <v>0.79269417475728277</v>
      </c>
    </row>
    <row r="971" spans="1:12" x14ac:dyDescent="0.35">
      <c r="A971" s="8" t="s">
        <v>1952</v>
      </c>
      <c r="B971" s="2" t="str">
        <f>_xlfn.XLOOKUP(A971,Sheet1!A:A,Sheet1!B:B)</f>
        <v>Eric Jimenez</v>
      </c>
      <c r="C971" s="2" t="str">
        <f>_xlfn.XLOOKUP(A:A,Sheet1!A:A,Sheet1!D:D)</f>
        <v>Male</v>
      </c>
      <c r="D971" s="8">
        <f>_xlfn.XLOOKUP(A:A,Sheet1!A:A,Sheet1!F:F)</f>
        <v>49</v>
      </c>
      <c r="E971" s="2" t="str">
        <f>_xlfn.XLOOKUP(A:A,Sheet1!A:A,Sheet1!G:G)</f>
        <v>India</v>
      </c>
      <c r="F971" s="8" t="str">
        <f>_xlfn.XLOOKUP(A:A,Sheet1!A:A,Sheet1!H:H)</f>
        <v>Hindi</v>
      </c>
      <c r="G971" s="8" t="str">
        <f>_xlfn.XLOOKUP(A:A,Sheet1!A:A,Sheet1!I:I)</f>
        <v>Web Development</v>
      </c>
      <c r="H971" s="8">
        <f>_xlfn.XLOOKUP(A:A,Sheet1!A:A,Sheet1!K:K)</f>
        <v>1</v>
      </c>
      <c r="I971" s="9">
        <f>_xlfn.XLOOKUP(A:A,Sheet1!A:A,Sheet1!M:M)</f>
        <v>40</v>
      </c>
      <c r="J971" s="11">
        <v>0</v>
      </c>
      <c r="K971" t="str">
        <f>_xlfn.XLOOKUP(A:A,Sheet1!A:A,Sheet1!P:P)</f>
        <v>No</v>
      </c>
      <c r="L971" s="12">
        <f>_xlfn.XLOOKUP(A:A,Sheet1!A:A,Sheet1!S:S)</f>
        <v>0.82</v>
      </c>
    </row>
    <row r="972" spans="1:12" x14ac:dyDescent="0.35">
      <c r="A972" s="8" t="s">
        <v>1954</v>
      </c>
      <c r="B972" s="2" t="str">
        <f>_xlfn.XLOOKUP(A972,Sheet1!A:A,Sheet1!B:B)</f>
        <v>Jay Bush</v>
      </c>
      <c r="C972" s="2" t="str">
        <f>_xlfn.XLOOKUP(A:A,Sheet1!A:A,Sheet1!D:D)</f>
        <v>Male</v>
      </c>
      <c r="D972" s="8">
        <f>_xlfn.XLOOKUP(A:A,Sheet1!A:A,Sheet1!F:F)</f>
        <v>29</v>
      </c>
      <c r="E972" s="2" t="str">
        <f>_xlfn.XLOOKUP(A:A,Sheet1!A:A,Sheet1!G:G)</f>
        <v>France</v>
      </c>
      <c r="F972" s="8" t="str">
        <f>_xlfn.XLOOKUP(A:A,Sheet1!A:A,Sheet1!H:H)</f>
        <v>French</v>
      </c>
      <c r="G972" s="8" t="str">
        <f>_xlfn.XLOOKUP(A:A,Sheet1!A:A,Sheet1!I:I)</f>
        <v>Mobile Apps</v>
      </c>
      <c r="H972" s="8">
        <f>_xlfn.XLOOKUP(A:A,Sheet1!A:A,Sheet1!K:K)</f>
        <v>3</v>
      </c>
      <c r="I972" s="9">
        <f>_xlfn.XLOOKUP(A:A,Sheet1!A:A,Sheet1!M:M)</f>
        <v>40</v>
      </c>
      <c r="J972" s="11">
        <v>0</v>
      </c>
      <c r="K972" t="str">
        <f>_xlfn.XLOOKUP(A:A,Sheet1!A:A,Sheet1!P:P)</f>
        <v>Yes</v>
      </c>
      <c r="L972" s="12">
        <f>_xlfn.XLOOKUP(A:A,Sheet1!A:A,Sheet1!S:S)</f>
        <v>0.81</v>
      </c>
    </row>
    <row r="973" spans="1:12" x14ac:dyDescent="0.35">
      <c r="A973" s="8" t="s">
        <v>1956</v>
      </c>
      <c r="B973" s="2" t="str">
        <f>_xlfn.XLOOKUP(A973,Sheet1!A:A,Sheet1!B:B)</f>
        <v>Johnny Rice</v>
      </c>
      <c r="C973" s="2" t="str">
        <f>_xlfn.XLOOKUP(A:A,Sheet1!A:A,Sheet1!D:D)</f>
        <v>Male</v>
      </c>
      <c r="D973" s="8">
        <f>_xlfn.XLOOKUP(A:A,Sheet1!A:A,Sheet1!F:F)</f>
        <v>32</v>
      </c>
      <c r="E973" s="2" t="str">
        <f>_xlfn.XLOOKUP(A:A,Sheet1!A:A,Sheet1!G:G)</f>
        <v>France</v>
      </c>
      <c r="F973" s="8" t="str">
        <f>_xlfn.XLOOKUP(A:A,Sheet1!A:A,Sheet1!H:H)</f>
        <v>French</v>
      </c>
      <c r="G973" s="8" t="str">
        <f>_xlfn.XLOOKUP(A:A,Sheet1!A:A,Sheet1!I:I)</f>
        <v>Graphic Design</v>
      </c>
      <c r="H973" s="8">
        <f>_xlfn.XLOOKUP(A:A,Sheet1!A:A,Sheet1!K:K)</f>
        <v>1</v>
      </c>
      <c r="I973" s="9">
        <f>_xlfn.XLOOKUP(A:A,Sheet1!A:A,Sheet1!M:M)</f>
        <v>40</v>
      </c>
      <c r="J973" s="10">
        <f>_xlfn.XLOOKUP(A:A,Sheet1!A:A,Sheet1!O:O)</f>
        <v>3.1</v>
      </c>
      <c r="K973" t="str">
        <f>_xlfn.XLOOKUP(A:A,Sheet1!A:A,Sheet1!P:P)</f>
        <v>Yes</v>
      </c>
      <c r="L973" s="12">
        <f>_xlfn.XLOOKUP(A:A,Sheet1!A:A,Sheet1!S:S)</f>
        <v>0.76</v>
      </c>
    </row>
    <row r="974" spans="1:12" x14ac:dyDescent="0.35">
      <c r="A974" s="8" t="s">
        <v>1958</v>
      </c>
      <c r="B974" s="2" t="str">
        <f>_xlfn.XLOOKUP(A974,Sheet1!A:A,Sheet1!B:B)</f>
        <v>Matthew Strong</v>
      </c>
      <c r="C974" s="2" t="str">
        <f>_xlfn.XLOOKUP(A:A,Sheet1!A:A,Sheet1!D:D)</f>
        <v>Male</v>
      </c>
      <c r="D974" s="8">
        <f>_xlfn.XLOOKUP(A:A,Sheet1!A:A,Sheet1!F:F)</f>
        <v>24</v>
      </c>
      <c r="E974" s="2" t="str">
        <f>_xlfn.XLOOKUP(A:A,Sheet1!A:A,Sheet1!G:G)</f>
        <v>Indonesia</v>
      </c>
      <c r="F974" s="8" t="str">
        <f>_xlfn.XLOOKUP(A:A,Sheet1!A:A,Sheet1!H:H)</f>
        <v>Indonesian</v>
      </c>
      <c r="G974" s="8" t="str">
        <f>_xlfn.XLOOKUP(A:A,Sheet1!A:A,Sheet1!I:I)</f>
        <v>Blockchain Development</v>
      </c>
      <c r="H974" s="8">
        <f>_xlfn.XLOOKUP(A:A,Sheet1!A:A,Sheet1!K:K)</f>
        <v>3</v>
      </c>
      <c r="I974" s="9">
        <f>_xlfn.XLOOKUP(A:A,Sheet1!A:A,Sheet1!M:M)</f>
        <v>30</v>
      </c>
      <c r="J974" s="10">
        <f>_xlfn.XLOOKUP(A:A,Sheet1!A:A,Sheet1!O:O)</f>
        <v>3.9</v>
      </c>
      <c r="K974" t="str">
        <f>_xlfn.XLOOKUP(A:A,Sheet1!A:A,Sheet1!P:P)</f>
        <v>No</v>
      </c>
      <c r="L974" s="12">
        <f>_xlfn.XLOOKUP(A:A,Sheet1!A:A,Sheet1!S:S)</f>
        <v>0.9</v>
      </c>
    </row>
    <row r="975" spans="1:12" x14ac:dyDescent="0.35">
      <c r="A975" s="8" t="s">
        <v>1960</v>
      </c>
      <c r="B975" s="2" t="str">
        <f>_xlfn.XLOOKUP(A975,Sheet1!A:A,Sheet1!B:B)</f>
        <v>Mark Chandler</v>
      </c>
      <c r="C975" s="2" t="str">
        <f>_xlfn.XLOOKUP(A:A,Sheet1!A:A,Sheet1!D:D)</f>
        <v>Male</v>
      </c>
      <c r="D975" s="8">
        <f>_xlfn.XLOOKUP(A:A,Sheet1!A:A,Sheet1!F:F)</f>
        <v>35</v>
      </c>
      <c r="E975" s="2" t="str">
        <f>_xlfn.XLOOKUP(A:A,Sheet1!A:A,Sheet1!G:G)</f>
        <v>South Korea</v>
      </c>
      <c r="F975" s="8" t="str">
        <f>_xlfn.XLOOKUP(A:A,Sheet1!A:A,Sheet1!H:H)</f>
        <v>Korean</v>
      </c>
      <c r="G975" s="8" t="str">
        <f>_xlfn.XLOOKUP(A:A,Sheet1!A:A,Sheet1!I:I)</f>
        <v>DevOps</v>
      </c>
      <c r="H975" s="8">
        <f>_xlfn.XLOOKUP(A:A,Sheet1!A:A,Sheet1!K:K)</f>
        <v>14</v>
      </c>
      <c r="I975" s="9">
        <f>_xlfn.XLOOKUP(A:A,Sheet1!A:A,Sheet1!M:M)</f>
        <v>30</v>
      </c>
      <c r="J975" s="10">
        <f>_xlfn.XLOOKUP(A:A,Sheet1!A:A,Sheet1!O:O)</f>
        <v>1.6</v>
      </c>
      <c r="K975" t="str">
        <f>_xlfn.XLOOKUP(A:A,Sheet1!A:A,Sheet1!P:P)</f>
        <v>Yes</v>
      </c>
      <c r="L975" s="12">
        <f>_xlfn.XLOOKUP(A:A,Sheet1!A:A,Sheet1!S:S)</f>
        <v>0.67</v>
      </c>
    </row>
    <row r="976" spans="1:12" x14ac:dyDescent="0.35">
      <c r="A976" s="8" t="s">
        <v>1962</v>
      </c>
      <c r="B976" s="2" t="str">
        <f>_xlfn.XLOOKUP(A976,Sheet1!A:A,Sheet1!B:B)</f>
        <v>Crystal Brown</v>
      </c>
      <c r="C976" s="2" t="str">
        <f>_xlfn.XLOOKUP(A:A,Sheet1!A:A,Sheet1!D:D)</f>
        <v>Female</v>
      </c>
      <c r="D976" s="8">
        <f>_xlfn.XLOOKUP(A:A,Sheet1!A:A,Sheet1!F:F)</f>
        <v>43</v>
      </c>
      <c r="E976" s="2" t="str">
        <f>_xlfn.XLOOKUP(A:A,Sheet1!A:A,Sheet1!G:G)</f>
        <v>Spain</v>
      </c>
      <c r="F976" s="8" t="str">
        <f>_xlfn.XLOOKUP(A:A,Sheet1!A:A,Sheet1!H:H)</f>
        <v>Spanish</v>
      </c>
      <c r="G976" s="8" t="str">
        <f>_xlfn.XLOOKUP(A:A,Sheet1!A:A,Sheet1!I:I)</f>
        <v>Blockchain Development</v>
      </c>
      <c r="H976" s="8">
        <f>_xlfn.XLOOKUP(A:A,Sheet1!A:A,Sheet1!K:K)</f>
        <v>2</v>
      </c>
      <c r="I976" s="9">
        <f>_xlfn.XLOOKUP(A:A,Sheet1!A:A,Sheet1!M:M)</f>
        <v>40</v>
      </c>
      <c r="J976" s="10">
        <f>_xlfn.XLOOKUP(A:A,Sheet1!A:A,Sheet1!O:O)</f>
        <v>1.8</v>
      </c>
      <c r="K976" t="str">
        <f>_xlfn.XLOOKUP(A:A,Sheet1!A:A,Sheet1!P:P)</f>
        <v>No</v>
      </c>
      <c r="L976" s="12">
        <f>_xlfn.XLOOKUP(A:A,Sheet1!A:A,Sheet1!S:S)</f>
        <v>0.61</v>
      </c>
    </row>
    <row r="977" spans="1:12" x14ac:dyDescent="0.35">
      <c r="A977" s="8" t="s">
        <v>1964</v>
      </c>
      <c r="B977" s="2" t="str">
        <f>_xlfn.XLOOKUP(A977,Sheet1!A:A,Sheet1!B:B)</f>
        <v>Timothy Barton</v>
      </c>
      <c r="C977" s="2" t="str">
        <f>_xlfn.XLOOKUP(A:A,Sheet1!A:A,Sheet1!D:D)</f>
        <v>Male</v>
      </c>
      <c r="D977" s="8">
        <f>_xlfn.XLOOKUP(A:A,Sheet1!A:A,Sheet1!F:F)</f>
        <v>53</v>
      </c>
      <c r="E977" s="2" t="str">
        <f>_xlfn.XLOOKUP(A:A,Sheet1!A:A,Sheet1!G:G)</f>
        <v>South Korea</v>
      </c>
      <c r="F977" s="8" t="str">
        <f>_xlfn.XLOOKUP(A:A,Sheet1!A:A,Sheet1!H:H)</f>
        <v>Korean</v>
      </c>
      <c r="G977" s="8" t="str">
        <f>_xlfn.XLOOKUP(A:A,Sheet1!A:A,Sheet1!I:I)</f>
        <v>Machine Learning</v>
      </c>
      <c r="H977" s="8">
        <f>_xlfn.XLOOKUP(A:A,Sheet1!A:A,Sheet1!K:K)</f>
        <v>27</v>
      </c>
      <c r="I977" s="9">
        <f>_xlfn.XLOOKUP(A:A,Sheet1!A:A,Sheet1!M:M)</f>
        <v>100</v>
      </c>
      <c r="J977" s="10">
        <f>_xlfn.XLOOKUP(A:A,Sheet1!A:A,Sheet1!O:O)</f>
        <v>3.7</v>
      </c>
      <c r="K977" t="str">
        <f>_xlfn.XLOOKUP(A:A,Sheet1!A:A,Sheet1!P:P)</f>
        <v>No</v>
      </c>
      <c r="L977" s="12">
        <f>_xlfn.XLOOKUP(A:A,Sheet1!A:A,Sheet1!S:S)</f>
        <v>0.73</v>
      </c>
    </row>
    <row r="978" spans="1:12" x14ac:dyDescent="0.35">
      <c r="A978" s="8" t="s">
        <v>1966</v>
      </c>
      <c r="B978" s="2" t="str">
        <f>_xlfn.XLOOKUP(A978,Sheet1!A:A,Sheet1!B:B)</f>
        <v>Lisa Hickman</v>
      </c>
      <c r="C978" s="2" t="str">
        <f>_xlfn.XLOOKUP(A:A,Sheet1!A:A,Sheet1!D:D)</f>
        <v>Female</v>
      </c>
      <c r="D978" s="8">
        <f>_xlfn.XLOOKUP(A:A,Sheet1!A:A,Sheet1!F:F)</f>
        <v>38</v>
      </c>
      <c r="E978" s="2" t="str">
        <f>_xlfn.XLOOKUP(A:A,Sheet1!A:A,Sheet1!G:G)</f>
        <v>Russia</v>
      </c>
      <c r="F978" s="8" t="str">
        <f>_xlfn.XLOOKUP(A:A,Sheet1!A:A,Sheet1!H:H)</f>
        <v>Russian</v>
      </c>
      <c r="G978" s="8" t="str">
        <f>_xlfn.XLOOKUP(A:A,Sheet1!A:A,Sheet1!I:I)</f>
        <v>DevOps</v>
      </c>
      <c r="H978" s="8">
        <f>_xlfn.XLOOKUP(A:A,Sheet1!A:A,Sheet1!K:K)</f>
        <v>7</v>
      </c>
      <c r="I978" s="9">
        <f>_xlfn.XLOOKUP(A:A,Sheet1!A:A,Sheet1!M:M)</f>
        <v>75</v>
      </c>
      <c r="J978" s="10">
        <f>_xlfn.XLOOKUP(A:A,Sheet1!A:A,Sheet1!O:O)</f>
        <v>2.5125695216907653</v>
      </c>
      <c r="K978" t="str">
        <f>_xlfn.XLOOKUP(A:A,Sheet1!A:A,Sheet1!P:P)</f>
        <v>No</v>
      </c>
      <c r="L978" s="12">
        <f>_xlfn.XLOOKUP(A:A,Sheet1!A:A,Sheet1!S:S)</f>
        <v>0.79269417475728277</v>
      </c>
    </row>
    <row r="979" spans="1:12" x14ac:dyDescent="0.35">
      <c r="A979" s="8" t="s">
        <v>1968</v>
      </c>
      <c r="B979" s="2" t="str">
        <f>_xlfn.XLOOKUP(A979,Sheet1!A:A,Sheet1!B:B)</f>
        <v>Alan Mendoza</v>
      </c>
      <c r="C979" s="2" t="str">
        <f>_xlfn.XLOOKUP(A:A,Sheet1!A:A,Sheet1!D:D)</f>
        <v>Male</v>
      </c>
      <c r="D979" s="8">
        <f>_xlfn.XLOOKUP(A:A,Sheet1!A:A,Sheet1!F:F)</f>
        <v>57</v>
      </c>
      <c r="E979" s="2" t="str">
        <f>_xlfn.XLOOKUP(A:A,Sheet1!A:A,Sheet1!G:G)</f>
        <v>United Kingdom</v>
      </c>
      <c r="F979" s="8" t="str">
        <f>_xlfn.XLOOKUP(A:A,Sheet1!A:A,Sheet1!H:H)</f>
        <v>English</v>
      </c>
      <c r="G979" s="8" t="str">
        <f>_xlfn.XLOOKUP(A:A,Sheet1!A:A,Sheet1!I:I)</f>
        <v>Cybersecurity</v>
      </c>
      <c r="H979" s="8">
        <f>_xlfn.XLOOKUP(A:A,Sheet1!A:A,Sheet1!K:K)</f>
        <v>29</v>
      </c>
      <c r="I979" s="9">
        <f>_xlfn.XLOOKUP(A:A,Sheet1!A:A,Sheet1!M:M)</f>
        <v>75</v>
      </c>
      <c r="J979" s="10">
        <f>_xlfn.XLOOKUP(A:A,Sheet1!A:A,Sheet1!O:O)</f>
        <v>4.0999999999999996</v>
      </c>
      <c r="K979" t="str">
        <f>_xlfn.XLOOKUP(A:A,Sheet1!A:A,Sheet1!P:P)</f>
        <v>No</v>
      </c>
      <c r="L979" s="12">
        <f>_xlfn.XLOOKUP(A:A,Sheet1!A:A,Sheet1!S:S)</f>
        <v>0.9</v>
      </c>
    </row>
    <row r="980" spans="1:12" x14ac:dyDescent="0.35">
      <c r="A980" s="8" t="s">
        <v>1970</v>
      </c>
      <c r="B980" s="2" t="str">
        <f>_xlfn.XLOOKUP(A980,Sheet1!A:A,Sheet1!B:B)</f>
        <v>Jason Sanders</v>
      </c>
      <c r="C980" s="2" t="str">
        <f>_xlfn.XLOOKUP(A:A,Sheet1!A:A,Sheet1!D:D)</f>
        <v>Male</v>
      </c>
      <c r="D980" s="8">
        <f>_xlfn.XLOOKUP(A:A,Sheet1!A:A,Sheet1!F:F)</f>
        <v>27</v>
      </c>
      <c r="E980" s="2" t="str">
        <f>_xlfn.XLOOKUP(A:A,Sheet1!A:A,Sheet1!G:G)</f>
        <v>China</v>
      </c>
      <c r="F980" s="8" t="str">
        <f>_xlfn.XLOOKUP(A:A,Sheet1!A:A,Sheet1!H:H)</f>
        <v>Mandarin</v>
      </c>
      <c r="G980" s="8" t="str">
        <f>_xlfn.XLOOKUP(A:A,Sheet1!A:A,Sheet1!I:I)</f>
        <v>Blockchain Development</v>
      </c>
      <c r="H980" s="8">
        <f>_xlfn.XLOOKUP(A:A,Sheet1!A:A,Sheet1!K:K)</f>
        <v>5</v>
      </c>
      <c r="I980" s="9">
        <f>_xlfn.XLOOKUP(A:A,Sheet1!A:A,Sheet1!M:M)</f>
        <v>75</v>
      </c>
      <c r="J980" s="10">
        <f>_xlfn.XLOOKUP(A:A,Sheet1!A:A,Sheet1!O:O)</f>
        <v>1.4</v>
      </c>
      <c r="K980" t="str">
        <f>_xlfn.XLOOKUP(A:A,Sheet1!A:A,Sheet1!P:P)</f>
        <v>Yes</v>
      </c>
      <c r="L980" s="12">
        <f>_xlfn.XLOOKUP(A:A,Sheet1!A:A,Sheet1!S:S)</f>
        <v>0.64</v>
      </c>
    </row>
    <row r="981" spans="1:12" x14ac:dyDescent="0.35">
      <c r="A981" s="8" t="s">
        <v>1972</v>
      </c>
      <c r="B981" s="2" t="str">
        <f>_xlfn.XLOOKUP(A981,Sheet1!A:A,Sheet1!B:B)</f>
        <v>Charles Dean</v>
      </c>
      <c r="C981" s="2" t="str">
        <f>_xlfn.XLOOKUP(A:A,Sheet1!A:A,Sheet1!D:D)</f>
        <v>Male</v>
      </c>
      <c r="D981" s="8">
        <f>_xlfn.XLOOKUP(A:A,Sheet1!A:A,Sheet1!F:F)</f>
        <v>43</v>
      </c>
      <c r="E981" s="2" t="str">
        <f>_xlfn.XLOOKUP(A:A,Sheet1!A:A,Sheet1!G:G)</f>
        <v>Argentina</v>
      </c>
      <c r="F981" s="8" t="str">
        <f>_xlfn.XLOOKUP(A:A,Sheet1!A:A,Sheet1!H:H)</f>
        <v>Spanish</v>
      </c>
      <c r="G981" s="8" t="str">
        <f>_xlfn.XLOOKUP(A:A,Sheet1!A:A,Sheet1!I:I)</f>
        <v>Web Development</v>
      </c>
      <c r="H981" s="8">
        <f>_xlfn.XLOOKUP(A:A,Sheet1!A:A,Sheet1!K:K)</f>
        <v>2</v>
      </c>
      <c r="I981" s="9">
        <f>_xlfn.XLOOKUP(A:A,Sheet1!A:A,Sheet1!M:M)</f>
        <v>100</v>
      </c>
      <c r="J981" s="10">
        <f>_xlfn.XLOOKUP(A:A,Sheet1!A:A,Sheet1!O:O)</f>
        <v>1.1000000000000001</v>
      </c>
      <c r="K981" t="str">
        <f>_xlfn.XLOOKUP(A:A,Sheet1!A:A,Sheet1!P:P)</f>
        <v>Yes</v>
      </c>
      <c r="L981" s="12">
        <f>_xlfn.XLOOKUP(A:A,Sheet1!A:A,Sheet1!S:S)</f>
        <v>0.63</v>
      </c>
    </row>
    <row r="982" spans="1:12" x14ac:dyDescent="0.35">
      <c r="A982" s="8" t="s">
        <v>1974</v>
      </c>
      <c r="B982" s="2" t="str">
        <f>_xlfn.XLOOKUP(A982,Sheet1!A:A,Sheet1!B:B)</f>
        <v>Blake Newton</v>
      </c>
      <c r="C982" s="2" t="str">
        <f>_xlfn.XLOOKUP(A:A,Sheet1!A:A,Sheet1!D:D)</f>
        <v>Male</v>
      </c>
      <c r="D982" s="8">
        <f>_xlfn.XLOOKUP(A:A,Sheet1!A:A,Sheet1!F:F)</f>
        <v>48</v>
      </c>
      <c r="E982" s="2" t="str">
        <f>_xlfn.XLOOKUP(A:A,Sheet1!A:A,Sheet1!G:G)</f>
        <v>Canada</v>
      </c>
      <c r="F982" s="8" t="str">
        <f>_xlfn.XLOOKUP(A:A,Sheet1!A:A,Sheet1!H:H)</f>
        <v>English</v>
      </c>
      <c r="G982" s="8" t="str">
        <f>_xlfn.XLOOKUP(A:A,Sheet1!A:A,Sheet1!I:I)</f>
        <v>Data Analysis</v>
      </c>
      <c r="H982" s="8">
        <f>_xlfn.XLOOKUP(A:A,Sheet1!A:A,Sheet1!K:K)</f>
        <v>18</v>
      </c>
      <c r="I982" s="9">
        <f>_xlfn.XLOOKUP(A:A,Sheet1!A:A,Sheet1!M:M)</f>
        <v>40</v>
      </c>
      <c r="J982" s="10">
        <f>_xlfn.XLOOKUP(A:A,Sheet1!A:A,Sheet1!O:O)</f>
        <v>3.9</v>
      </c>
      <c r="K982" t="str">
        <f>_xlfn.XLOOKUP(A:A,Sheet1!A:A,Sheet1!P:P)</f>
        <v>No</v>
      </c>
      <c r="L982" s="12">
        <f>_xlfn.XLOOKUP(A:A,Sheet1!A:A,Sheet1!S:S)</f>
        <v>0.79269417475728277</v>
      </c>
    </row>
    <row r="983" spans="1:12" x14ac:dyDescent="0.35">
      <c r="A983" s="8" t="s">
        <v>1976</v>
      </c>
      <c r="B983" s="2" t="str">
        <f>_xlfn.XLOOKUP(A983,Sheet1!A:A,Sheet1!B:B)</f>
        <v>David Gonzalez</v>
      </c>
      <c r="C983" s="2" t="str">
        <f>_xlfn.XLOOKUP(A:A,Sheet1!A:A,Sheet1!D:D)</f>
        <v>Male</v>
      </c>
      <c r="D983" s="8">
        <f>_xlfn.XLOOKUP(A:A,Sheet1!A:A,Sheet1!F:F)</f>
        <v>26</v>
      </c>
      <c r="E983" s="2" t="str">
        <f>_xlfn.XLOOKUP(A:A,Sheet1!A:A,Sheet1!G:G)</f>
        <v>Brazil</v>
      </c>
      <c r="F983" s="8" t="str">
        <f>_xlfn.XLOOKUP(A:A,Sheet1!A:A,Sheet1!H:H)</f>
        <v>Portuguese</v>
      </c>
      <c r="G983" s="8" t="str">
        <f>_xlfn.XLOOKUP(A:A,Sheet1!A:A,Sheet1!I:I)</f>
        <v>Cybersecurity</v>
      </c>
      <c r="H983" s="8">
        <f>_xlfn.XLOOKUP(A:A,Sheet1!A:A,Sheet1!K:K)</f>
        <v>8</v>
      </c>
      <c r="I983" s="9">
        <f>_xlfn.XLOOKUP(A:A,Sheet1!A:A,Sheet1!M:M)</f>
        <v>20</v>
      </c>
      <c r="J983" s="10">
        <f>_xlfn.XLOOKUP(A:A,Sheet1!A:A,Sheet1!O:O)</f>
        <v>3.6</v>
      </c>
      <c r="K983" t="str">
        <f>_xlfn.XLOOKUP(A:A,Sheet1!A:A,Sheet1!P:P)</f>
        <v>No</v>
      </c>
      <c r="L983" s="12">
        <f>_xlfn.XLOOKUP(A:A,Sheet1!A:A,Sheet1!S:S)</f>
        <v>0.67</v>
      </c>
    </row>
    <row r="984" spans="1:12" x14ac:dyDescent="0.35">
      <c r="A984" s="8" t="s">
        <v>1978</v>
      </c>
      <c r="B984" s="2" t="str">
        <f>_xlfn.XLOOKUP(A984,Sheet1!A:A,Sheet1!B:B)</f>
        <v>Cindy Williams</v>
      </c>
      <c r="C984" s="2" t="str">
        <f>_xlfn.XLOOKUP(A:A,Sheet1!A:A,Sheet1!D:D)</f>
        <v>Female</v>
      </c>
      <c r="D984" s="8">
        <f>_xlfn.XLOOKUP(A:A,Sheet1!A:A,Sheet1!F:F)</f>
        <v>41</v>
      </c>
      <c r="E984" s="2" t="str">
        <f>_xlfn.XLOOKUP(A:A,Sheet1!A:A,Sheet1!G:G)</f>
        <v>South Africa</v>
      </c>
      <c r="F984" s="8" t="str">
        <f>_xlfn.XLOOKUP(A:A,Sheet1!A:A,Sheet1!H:H)</f>
        <v>Afrikaans</v>
      </c>
      <c r="G984" s="8" t="str">
        <f>_xlfn.XLOOKUP(A:A,Sheet1!A:A,Sheet1!I:I)</f>
        <v>Graphic Design</v>
      </c>
      <c r="H984" s="8">
        <f>_xlfn.XLOOKUP(A:A,Sheet1!A:A,Sheet1!K:K)</f>
        <v>0</v>
      </c>
      <c r="I984" s="9">
        <f>_xlfn.XLOOKUP(A:A,Sheet1!A:A,Sheet1!M:M)</f>
        <v>40</v>
      </c>
      <c r="J984" s="11">
        <v>0</v>
      </c>
      <c r="K984" t="str">
        <f>_xlfn.XLOOKUP(A:A,Sheet1!A:A,Sheet1!P:P)</f>
        <v>No</v>
      </c>
      <c r="L984" s="12">
        <f>_xlfn.XLOOKUP(A:A,Sheet1!A:A,Sheet1!S:S)</f>
        <v>0.97</v>
      </c>
    </row>
    <row r="985" spans="1:12" x14ac:dyDescent="0.35">
      <c r="A985" s="8" t="s">
        <v>1980</v>
      </c>
      <c r="B985" s="2" t="str">
        <f>_xlfn.XLOOKUP(A985,Sheet1!A:A,Sheet1!B:B)</f>
        <v xml:space="preserve">Laura Wong </v>
      </c>
      <c r="C985" s="2" t="str">
        <f>_xlfn.XLOOKUP(A:A,Sheet1!A:A,Sheet1!D:D)</f>
        <v>Female</v>
      </c>
      <c r="D985" s="8">
        <f>_xlfn.XLOOKUP(A:A,Sheet1!A:A,Sheet1!F:F)</f>
        <v>50</v>
      </c>
      <c r="E985" s="2" t="str">
        <f>_xlfn.XLOOKUP(A:A,Sheet1!A:A,Sheet1!G:G)</f>
        <v>Italy</v>
      </c>
      <c r="F985" s="8" t="str">
        <f>_xlfn.XLOOKUP(A:A,Sheet1!A:A,Sheet1!H:H)</f>
        <v>Italian</v>
      </c>
      <c r="G985" s="8" t="str">
        <f>_xlfn.XLOOKUP(A:A,Sheet1!A:A,Sheet1!I:I)</f>
        <v>Data Analysis</v>
      </c>
      <c r="H985" s="8">
        <f>_xlfn.XLOOKUP(A:A,Sheet1!A:A,Sheet1!K:K)</f>
        <v>16</v>
      </c>
      <c r="I985" s="9">
        <f>_xlfn.XLOOKUP(A:A,Sheet1!A:A,Sheet1!M:M)</f>
        <v>75</v>
      </c>
      <c r="J985" s="10">
        <f>_xlfn.XLOOKUP(A:A,Sheet1!A:A,Sheet1!O:O)</f>
        <v>4.5</v>
      </c>
      <c r="K985" t="str">
        <f>_xlfn.XLOOKUP(A:A,Sheet1!A:A,Sheet1!P:P)</f>
        <v>No</v>
      </c>
      <c r="L985" s="12">
        <f>_xlfn.XLOOKUP(A:A,Sheet1!A:A,Sheet1!S:S)</f>
        <v>0.69</v>
      </c>
    </row>
    <row r="986" spans="1:12" x14ac:dyDescent="0.35">
      <c r="A986" s="8" t="s">
        <v>1981</v>
      </c>
      <c r="B986" s="2" t="str">
        <f>_xlfn.XLOOKUP(A986,Sheet1!A:A,Sheet1!B:B)</f>
        <v>Robert Moran</v>
      </c>
      <c r="C986" s="2" t="str">
        <f>_xlfn.XLOOKUP(A:A,Sheet1!A:A,Sheet1!D:D)</f>
        <v>Male</v>
      </c>
      <c r="D986" s="8">
        <f>_xlfn.XLOOKUP(A:A,Sheet1!A:A,Sheet1!F:F)</f>
        <v>48</v>
      </c>
      <c r="E986" s="2" t="str">
        <f>_xlfn.XLOOKUP(A:A,Sheet1!A:A,Sheet1!G:G)</f>
        <v>South Africa</v>
      </c>
      <c r="F986" s="8" t="str">
        <f>_xlfn.XLOOKUP(A:A,Sheet1!A:A,Sheet1!H:H)</f>
        <v>Afrikaans</v>
      </c>
      <c r="G986" s="8" t="str">
        <f>_xlfn.XLOOKUP(A:A,Sheet1!A:A,Sheet1!I:I)</f>
        <v>Web Development</v>
      </c>
      <c r="H986" s="8">
        <f>_xlfn.XLOOKUP(A:A,Sheet1!A:A,Sheet1!K:K)</f>
        <v>8</v>
      </c>
      <c r="I986" s="9">
        <f>_xlfn.XLOOKUP(A:A,Sheet1!A:A,Sheet1!M:M)</f>
        <v>50</v>
      </c>
      <c r="J986" s="10">
        <f>_xlfn.XLOOKUP(A:A,Sheet1!A:A,Sheet1!O:O)</f>
        <v>2.5125695216907653</v>
      </c>
      <c r="K986" t="str">
        <f>_xlfn.XLOOKUP(A:A,Sheet1!A:A,Sheet1!P:P)</f>
        <v>Yes</v>
      </c>
      <c r="L986" s="12">
        <f>_xlfn.XLOOKUP(A:A,Sheet1!A:A,Sheet1!S:S)</f>
        <v>0.73</v>
      </c>
    </row>
    <row r="987" spans="1:12" x14ac:dyDescent="0.35">
      <c r="A987" s="8" t="s">
        <v>1983</v>
      </c>
      <c r="B987" s="2" t="str">
        <f>_xlfn.XLOOKUP(A987,Sheet1!A:A,Sheet1!B:B)</f>
        <v>Bradley Wu</v>
      </c>
      <c r="C987" s="2" t="str">
        <f>_xlfn.XLOOKUP(A:A,Sheet1!A:A,Sheet1!D:D)</f>
        <v>Male</v>
      </c>
      <c r="D987" s="8">
        <f>_xlfn.XLOOKUP(A:A,Sheet1!A:A,Sheet1!F:F)</f>
        <v>60</v>
      </c>
      <c r="E987" s="2" t="str">
        <f>_xlfn.XLOOKUP(A:A,Sheet1!A:A,Sheet1!G:G)</f>
        <v>Spain</v>
      </c>
      <c r="F987" s="8" t="str">
        <f>_xlfn.XLOOKUP(A:A,Sheet1!A:A,Sheet1!H:H)</f>
        <v>Spanish</v>
      </c>
      <c r="G987" s="8" t="str">
        <f>_xlfn.XLOOKUP(A:A,Sheet1!A:A,Sheet1!I:I)</f>
        <v>Blockchain Development</v>
      </c>
      <c r="H987" s="8">
        <f>_xlfn.XLOOKUP(A:A,Sheet1!A:A,Sheet1!K:K)</f>
        <v>39</v>
      </c>
      <c r="I987" s="9">
        <f>_xlfn.XLOOKUP(A:A,Sheet1!A:A,Sheet1!M:M)</f>
        <v>20</v>
      </c>
      <c r="J987" s="10">
        <f>_xlfn.XLOOKUP(A:A,Sheet1!A:A,Sheet1!O:O)</f>
        <v>1.4</v>
      </c>
      <c r="K987" t="str">
        <f>_xlfn.XLOOKUP(A:A,Sheet1!A:A,Sheet1!P:P)</f>
        <v>Yes</v>
      </c>
      <c r="L987" s="12">
        <f>_xlfn.XLOOKUP(A:A,Sheet1!A:A,Sheet1!S:S)</f>
        <v>0.86</v>
      </c>
    </row>
    <row r="988" spans="1:12" x14ac:dyDescent="0.35">
      <c r="A988" s="8" t="s">
        <v>1985</v>
      </c>
      <c r="B988" s="2" t="str">
        <f>_xlfn.XLOOKUP(A988,Sheet1!A:A,Sheet1!B:B)</f>
        <v>Daniel Thomas</v>
      </c>
      <c r="C988" s="2" t="str">
        <f>_xlfn.XLOOKUP(A:A,Sheet1!A:A,Sheet1!D:D)</f>
        <v>Male</v>
      </c>
      <c r="D988" s="8">
        <f>_xlfn.XLOOKUP(A:A,Sheet1!A:A,Sheet1!F:F)</f>
        <v>26</v>
      </c>
      <c r="E988" s="2" t="str">
        <f>_xlfn.XLOOKUP(A:A,Sheet1!A:A,Sheet1!G:G)</f>
        <v>Egypt</v>
      </c>
      <c r="F988" s="8" t="str">
        <f>_xlfn.XLOOKUP(A:A,Sheet1!A:A,Sheet1!H:H)</f>
        <v>Arabic</v>
      </c>
      <c r="G988" s="8" t="str">
        <f>_xlfn.XLOOKUP(A:A,Sheet1!A:A,Sheet1!I:I)</f>
        <v>Machine Learning</v>
      </c>
      <c r="H988" s="8">
        <f>_xlfn.XLOOKUP(A:A,Sheet1!A:A,Sheet1!K:K)</f>
        <v>9</v>
      </c>
      <c r="I988" s="9">
        <f>_xlfn.XLOOKUP(A:A,Sheet1!A:A,Sheet1!M:M)</f>
        <v>50</v>
      </c>
      <c r="J988" s="11">
        <v>0</v>
      </c>
      <c r="K988" t="str">
        <f>_xlfn.XLOOKUP(A:A,Sheet1!A:A,Sheet1!P:P)</f>
        <v>Yes</v>
      </c>
      <c r="L988" s="12">
        <f>_xlfn.XLOOKUP(A:A,Sheet1!A:A,Sheet1!S:S)</f>
        <v>0.81</v>
      </c>
    </row>
    <row r="989" spans="1:12" x14ac:dyDescent="0.35">
      <c r="A989" s="8" t="s">
        <v>1987</v>
      </c>
      <c r="B989" s="2" t="str">
        <f>_xlfn.XLOOKUP(A989,Sheet1!A:A,Sheet1!B:B)</f>
        <v>Michelle Peterson</v>
      </c>
      <c r="C989" s="2" t="str">
        <f>_xlfn.XLOOKUP(A:A,Sheet1!A:A,Sheet1!D:D)</f>
        <v>Female</v>
      </c>
      <c r="D989" s="8">
        <f>_xlfn.XLOOKUP(A:A,Sheet1!A:A,Sheet1!F:F)</f>
        <v>35</v>
      </c>
      <c r="E989" s="2" t="str">
        <f>_xlfn.XLOOKUP(A:A,Sheet1!A:A,Sheet1!G:G)</f>
        <v>South Korea</v>
      </c>
      <c r="F989" s="8" t="str">
        <f>_xlfn.XLOOKUP(A:A,Sheet1!A:A,Sheet1!H:H)</f>
        <v>Korean</v>
      </c>
      <c r="G989" s="8" t="str">
        <f>_xlfn.XLOOKUP(A:A,Sheet1!A:A,Sheet1!I:I)</f>
        <v>Graphic Design</v>
      </c>
      <c r="H989" s="8">
        <f>_xlfn.XLOOKUP(A:A,Sheet1!A:A,Sheet1!K:K)</f>
        <v>16</v>
      </c>
      <c r="I989" s="9">
        <f>_xlfn.XLOOKUP(A:A,Sheet1!A:A,Sheet1!M:M)</f>
        <v>100</v>
      </c>
      <c r="J989" s="10">
        <f>_xlfn.XLOOKUP(A:A,Sheet1!A:A,Sheet1!O:O)</f>
        <v>4.3</v>
      </c>
      <c r="K989" t="str">
        <f>_xlfn.XLOOKUP(A:A,Sheet1!A:A,Sheet1!P:P)</f>
        <v>Yes</v>
      </c>
      <c r="L989" s="12">
        <f>_xlfn.XLOOKUP(A:A,Sheet1!A:A,Sheet1!S:S)</f>
        <v>0.74</v>
      </c>
    </row>
    <row r="990" spans="1:12" x14ac:dyDescent="0.35">
      <c r="A990" s="8" t="s">
        <v>1989</v>
      </c>
      <c r="B990" s="2" t="str">
        <f>_xlfn.XLOOKUP(A990,Sheet1!A:A,Sheet1!B:B)</f>
        <v>Seth Thomas</v>
      </c>
      <c r="C990" s="2" t="str">
        <f>_xlfn.XLOOKUP(A:A,Sheet1!A:A,Sheet1!D:D)</f>
        <v>Male</v>
      </c>
      <c r="D990" s="8">
        <f>_xlfn.XLOOKUP(A:A,Sheet1!A:A,Sheet1!F:F)</f>
        <v>23</v>
      </c>
      <c r="E990" s="2" t="str">
        <f>_xlfn.XLOOKUP(A:A,Sheet1!A:A,Sheet1!G:G)</f>
        <v>United States</v>
      </c>
      <c r="F990" s="8" t="str">
        <f>_xlfn.XLOOKUP(A:A,Sheet1!A:A,Sheet1!H:H)</f>
        <v>English</v>
      </c>
      <c r="G990" s="8" t="str">
        <f>_xlfn.XLOOKUP(A:A,Sheet1!A:A,Sheet1!I:I)</f>
        <v>Blockchain Development</v>
      </c>
      <c r="H990" s="8">
        <f>_xlfn.XLOOKUP(A:A,Sheet1!A:A,Sheet1!K:K)</f>
        <v>4</v>
      </c>
      <c r="I990" s="9">
        <f>_xlfn.XLOOKUP(A:A,Sheet1!A:A,Sheet1!M:M)</f>
        <v>100</v>
      </c>
      <c r="J990" s="10">
        <f>_xlfn.XLOOKUP(A:A,Sheet1!A:A,Sheet1!O:O)</f>
        <v>2.2000000000000002</v>
      </c>
      <c r="K990" t="str">
        <f>_xlfn.XLOOKUP(A:A,Sheet1!A:A,Sheet1!P:P)</f>
        <v>Yes</v>
      </c>
      <c r="L990" s="12">
        <f>_xlfn.XLOOKUP(A:A,Sheet1!A:A,Sheet1!S:S)</f>
        <v>0.64</v>
      </c>
    </row>
    <row r="991" spans="1:12" x14ac:dyDescent="0.35">
      <c r="A991" s="8" t="s">
        <v>1991</v>
      </c>
      <c r="B991" s="2" t="str">
        <f>_xlfn.XLOOKUP(A991,Sheet1!A:A,Sheet1!B:B)</f>
        <v>Evan Ramos</v>
      </c>
      <c r="C991" s="2" t="str">
        <f>_xlfn.XLOOKUP(A:A,Sheet1!A:A,Sheet1!D:D)</f>
        <v>Male</v>
      </c>
      <c r="D991" s="8">
        <f>_xlfn.XLOOKUP(A:A,Sheet1!A:A,Sheet1!F:F)</f>
        <v>37</v>
      </c>
      <c r="E991" s="2" t="str">
        <f>_xlfn.XLOOKUP(A:A,Sheet1!A:A,Sheet1!G:G)</f>
        <v>Australia</v>
      </c>
      <c r="F991" s="8" t="str">
        <f>_xlfn.XLOOKUP(A:A,Sheet1!A:A,Sheet1!H:H)</f>
        <v>English</v>
      </c>
      <c r="G991" s="8" t="str">
        <f>_xlfn.XLOOKUP(A:A,Sheet1!A:A,Sheet1!I:I)</f>
        <v>Graphic Design</v>
      </c>
      <c r="H991" s="8">
        <f>_xlfn.XLOOKUP(A:A,Sheet1!A:A,Sheet1!K:K)</f>
        <v>4</v>
      </c>
      <c r="I991" s="9">
        <f>_xlfn.XLOOKUP(A:A,Sheet1!A:A,Sheet1!M:M)</f>
        <v>75</v>
      </c>
      <c r="J991" s="10">
        <f>_xlfn.XLOOKUP(A:A,Sheet1!A:A,Sheet1!O:O)</f>
        <v>3.2</v>
      </c>
      <c r="K991" t="str">
        <f>_xlfn.XLOOKUP(A:A,Sheet1!A:A,Sheet1!P:P)</f>
        <v>No</v>
      </c>
      <c r="L991" s="12">
        <f>_xlfn.XLOOKUP(A:A,Sheet1!A:A,Sheet1!S:S)</f>
        <v>0.76</v>
      </c>
    </row>
    <row r="992" spans="1:12" x14ac:dyDescent="0.35">
      <c r="A992" s="8" t="s">
        <v>1993</v>
      </c>
      <c r="B992" s="2" t="str">
        <f>_xlfn.XLOOKUP(A992,Sheet1!A:A,Sheet1!B:B)</f>
        <v>Michelle Solis</v>
      </c>
      <c r="C992" s="2" t="str">
        <f>_xlfn.XLOOKUP(A:A,Sheet1!A:A,Sheet1!D:D)</f>
        <v>Female</v>
      </c>
      <c r="D992" s="8">
        <f>_xlfn.XLOOKUP(A:A,Sheet1!A:A,Sheet1!F:F)</f>
        <v>21</v>
      </c>
      <c r="E992" s="2" t="str">
        <f>_xlfn.XLOOKUP(A:A,Sheet1!A:A,Sheet1!G:G)</f>
        <v>Argentina</v>
      </c>
      <c r="F992" s="8" t="str">
        <f>_xlfn.XLOOKUP(A:A,Sheet1!A:A,Sheet1!H:H)</f>
        <v>Spanish</v>
      </c>
      <c r="G992" s="8" t="str">
        <f>_xlfn.XLOOKUP(A:A,Sheet1!A:A,Sheet1!I:I)</f>
        <v>AI</v>
      </c>
      <c r="H992" s="8">
        <f>_xlfn.XLOOKUP(A:A,Sheet1!A:A,Sheet1!K:K)</f>
        <v>2</v>
      </c>
      <c r="I992" s="9">
        <f>_xlfn.XLOOKUP(A:A,Sheet1!A:A,Sheet1!M:M)</f>
        <v>100</v>
      </c>
      <c r="J992" s="10">
        <f>_xlfn.XLOOKUP(A:A,Sheet1!A:A,Sheet1!O:O)</f>
        <v>3.7</v>
      </c>
      <c r="K992" t="str">
        <f>_xlfn.XLOOKUP(A:A,Sheet1!A:A,Sheet1!P:P)</f>
        <v>Yes</v>
      </c>
      <c r="L992" s="12">
        <f>_xlfn.XLOOKUP(A:A,Sheet1!A:A,Sheet1!S:S)</f>
        <v>0.73</v>
      </c>
    </row>
    <row r="993" spans="1:12" x14ac:dyDescent="0.35">
      <c r="A993" s="8" t="s">
        <v>1995</v>
      </c>
      <c r="B993" s="2" t="str">
        <f>_xlfn.XLOOKUP(A993,Sheet1!A:A,Sheet1!B:B)</f>
        <v>Charlotte Taylor</v>
      </c>
      <c r="C993" s="2" t="str">
        <f>_xlfn.XLOOKUP(A:A,Sheet1!A:A,Sheet1!D:D)</f>
        <v>Female</v>
      </c>
      <c r="D993" s="8">
        <f>_xlfn.XLOOKUP(A:A,Sheet1!A:A,Sheet1!F:F)</f>
        <v>58</v>
      </c>
      <c r="E993" s="2" t="str">
        <f>_xlfn.XLOOKUP(A:A,Sheet1!A:A,Sheet1!G:G)</f>
        <v>Germany</v>
      </c>
      <c r="F993" s="8" t="str">
        <f>_xlfn.XLOOKUP(A:A,Sheet1!A:A,Sheet1!H:H)</f>
        <v>German</v>
      </c>
      <c r="G993" s="8" t="str">
        <f>_xlfn.XLOOKUP(A:A,Sheet1!A:A,Sheet1!I:I)</f>
        <v>UI/UX Design</v>
      </c>
      <c r="H993" s="8">
        <f>_xlfn.XLOOKUP(A:A,Sheet1!A:A,Sheet1!K:K)</f>
        <v>37</v>
      </c>
      <c r="I993" s="9">
        <f>_xlfn.XLOOKUP(A:A,Sheet1!A:A,Sheet1!M:M)</f>
        <v>50</v>
      </c>
      <c r="J993" s="10">
        <f>_xlfn.XLOOKUP(A:A,Sheet1!A:A,Sheet1!O:O)</f>
        <v>4.9000000000000004</v>
      </c>
      <c r="K993" t="str">
        <f>_xlfn.XLOOKUP(A:A,Sheet1!A:A,Sheet1!P:P)</f>
        <v>No</v>
      </c>
      <c r="L993" s="12">
        <f>_xlfn.XLOOKUP(A:A,Sheet1!A:A,Sheet1!S:S)</f>
        <v>0.69</v>
      </c>
    </row>
    <row r="994" spans="1:12" x14ac:dyDescent="0.35">
      <c r="A994" s="8" t="s">
        <v>1997</v>
      </c>
      <c r="B994" s="2" t="str">
        <f>_xlfn.XLOOKUP(A994,Sheet1!A:A,Sheet1!B:B)</f>
        <v>Sandra Preston</v>
      </c>
      <c r="C994" s="2" t="str">
        <f>_xlfn.XLOOKUP(A:A,Sheet1!A:A,Sheet1!D:D)</f>
        <v>Female</v>
      </c>
      <c r="D994" s="8">
        <f>_xlfn.XLOOKUP(A:A,Sheet1!A:A,Sheet1!F:F)</f>
        <v>52</v>
      </c>
      <c r="E994" s="2" t="str">
        <f>_xlfn.XLOOKUP(A:A,Sheet1!A:A,Sheet1!G:G)</f>
        <v>Indonesia</v>
      </c>
      <c r="F994" s="8" t="str">
        <f>_xlfn.XLOOKUP(A:A,Sheet1!A:A,Sheet1!H:H)</f>
        <v>Indonesian</v>
      </c>
      <c r="G994" s="8" t="str">
        <f>_xlfn.XLOOKUP(A:A,Sheet1!A:A,Sheet1!I:I)</f>
        <v>Mobile Apps</v>
      </c>
      <c r="H994" s="8">
        <f>_xlfn.XLOOKUP(A:A,Sheet1!A:A,Sheet1!K:K)</f>
        <v>32</v>
      </c>
      <c r="I994" s="9">
        <f>_xlfn.XLOOKUP(A:A,Sheet1!A:A,Sheet1!M:M)</f>
        <v>75</v>
      </c>
      <c r="J994" s="10">
        <f>_xlfn.XLOOKUP(A:A,Sheet1!A:A,Sheet1!O:O)</f>
        <v>3.2</v>
      </c>
      <c r="K994" t="str">
        <f>_xlfn.XLOOKUP(A:A,Sheet1!A:A,Sheet1!P:P)</f>
        <v>No</v>
      </c>
      <c r="L994" s="12">
        <f>_xlfn.XLOOKUP(A:A,Sheet1!A:A,Sheet1!S:S)</f>
        <v>0.79</v>
      </c>
    </row>
    <row r="995" spans="1:12" x14ac:dyDescent="0.35">
      <c r="A995" s="8" t="s">
        <v>1999</v>
      </c>
      <c r="B995" s="2" t="str">
        <f>_xlfn.XLOOKUP(A995,Sheet1!A:A,Sheet1!B:B)</f>
        <v>Jim Weiss</v>
      </c>
      <c r="C995" s="2" t="str">
        <f>_xlfn.XLOOKUP(A:A,Sheet1!A:A,Sheet1!D:D)</f>
        <v>Male</v>
      </c>
      <c r="D995" s="8">
        <f>_xlfn.XLOOKUP(A:A,Sheet1!A:A,Sheet1!F:F)</f>
        <v>46</v>
      </c>
      <c r="E995" s="2" t="str">
        <f>_xlfn.XLOOKUP(A:A,Sheet1!A:A,Sheet1!G:G)</f>
        <v>Russia</v>
      </c>
      <c r="F995" s="8" t="str">
        <f>_xlfn.XLOOKUP(A:A,Sheet1!A:A,Sheet1!H:H)</f>
        <v>Russian</v>
      </c>
      <c r="G995" s="8" t="str">
        <f>_xlfn.XLOOKUP(A:A,Sheet1!A:A,Sheet1!I:I)</f>
        <v>Mobile Apps</v>
      </c>
      <c r="H995" s="8">
        <f>_xlfn.XLOOKUP(A:A,Sheet1!A:A,Sheet1!K:K)</f>
        <v>8</v>
      </c>
      <c r="I995" s="9">
        <f>_xlfn.XLOOKUP(A:A,Sheet1!A:A,Sheet1!M:M)</f>
        <v>20</v>
      </c>
      <c r="J995" s="10">
        <f>_xlfn.XLOOKUP(A:A,Sheet1!A:A,Sheet1!O:O)</f>
        <v>2.2000000000000002</v>
      </c>
      <c r="K995" t="str">
        <f>_xlfn.XLOOKUP(A:A,Sheet1!A:A,Sheet1!P:P)</f>
        <v>No</v>
      </c>
      <c r="L995" s="12">
        <f>_xlfn.XLOOKUP(A:A,Sheet1!A:A,Sheet1!S:S)</f>
        <v>0.89</v>
      </c>
    </row>
    <row r="996" spans="1:12" x14ac:dyDescent="0.35">
      <c r="A996" s="8" t="s">
        <v>2001</v>
      </c>
      <c r="B996" s="2" t="str">
        <f>_xlfn.XLOOKUP(A996,Sheet1!A:A,Sheet1!B:B)</f>
        <v>Jennifer Hinton</v>
      </c>
      <c r="C996" s="2" t="str">
        <f>_xlfn.XLOOKUP(A:A,Sheet1!A:A,Sheet1!D:D)</f>
        <v>Female</v>
      </c>
      <c r="D996" s="8">
        <f>_xlfn.XLOOKUP(A:A,Sheet1!A:A,Sheet1!F:F)</f>
        <v>34</v>
      </c>
      <c r="E996" s="2" t="str">
        <f>_xlfn.XLOOKUP(A:A,Sheet1!A:A,Sheet1!G:G)</f>
        <v>South Africa</v>
      </c>
      <c r="F996" s="8" t="str">
        <f>_xlfn.XLOOKUP(A:A,Sheet1!A:A,Sheet1!H:H)</f>
        <v>Afrikaans</v>
      </c>
      <c r="G996" s="8" t="str">
        <f>_xlfn.XLOOKUP(A:A,Sheet1!A:A,Sheet1!I:I)</f>
        <v>DevOps</v>
      </c>
      <c r="H996" s="8">
        <f>_xlfn.XLOOKUP(A:A,Sheet1!A:A,Sheet1!K:K)</f>
        <v>8</v>
      </c>
      <c r="I996" s="9">
        <f>_xlfn.XLOOKUP(A:A,Sheet1!A:A,Sheet1!M:M)</f>
        <v>30</v>
      </c>
      <c r="J996" s="10">
        <f>_xlfn.XLOOKUP(A:A,Sheet1!A:A,Sheet1!O:O)</f>
        <v>3.9</v>
      </c>
      <c r="K996" t="str">
        <f>_xlfn.XLOOKUP(A:A,Sheet1!A:A,Sheet1!P:P)</f>
        <v>Yes</v>
      </c>
      <c r="L996" s="12">
        <f>_xlfn.XLOOKUP(A:A,Sheet1!A:A,Sheet1!S:S)</f>
        <v>0.95</v>
      </c>
    </row>
    <row r="997" spans="1:12" x14ac:dyDescent="0.35">
      <c r="A997" s="8" t="s">
        <v>2003</v>
      </c>
      <c r="B997" s="2" t="str">
        <f>_xlfn.XLOOKUP(A997,Sheet1!A:A,Sheet1!B:B)</f>
        <v>Albert Wilcox</v>
      </c>
      <c r="C997" s="2" t="str">
        <f>_xlfn.XLOOKUP(A:A,Sheet1!A:A,Sheet1!D:D)</f>
        <v>Male</v>
      </c>
      <c r="D997" s="8">
        <f>_xlfn.XLOOKUP(A:A,Sheet1!A:A,Sheet1!F:F)</f>
        <v>56</v>
      </c>
      <c r="E997" s="2" t="str">
        <f>_xlfn.XLOOKUP(A:A,Sheet1!A:A,Sheet1!G:G)</f>
        <v>Turkey</v>
      </c>
      <c r="F997" s="8" t="str">
        <f>_xlfn.XLOOKUP(A:A,Sheet1!A:A,Sheet1!H:H)</f>
        <v>Turkish</v>
      </c>
      <c r="G997" s="8" t="str">
        <f>_xlfn.XLOOKUP(A:A,Sheet1!A:A,Sheet1!I:I)</f>
        <v>DevOps</v>
      </c>
      <c r="H997" s="8">
        <f>_xlfn.XLOOKUP(A:A,Sheet1!A:A,Sheet1!K:K)</f>
        <v>13</v>
      </c>
      <c r="I997" s="9">
        <f>_xlfn.XLOOKUP(A:A,Sheet1!A:A,Sheet1!M:M)</f>
        <v>100</v>
      </c>
      <c r="J997" s="11">
        <v>0</v>
      </c>
      <c r="K997" t="str">
        <f>_xlfn.XLOOKUP(A:A,Sheet1!A:A,Sheet1!P:P)</f>
        <v>No</v>
      </c>
      <c r="L997" s="12">
        <f>_xlfn.XLOOKUP(A:A,Sheet1!A:A,Sheet1!S:S)</f>
        <v>0.68</v>
      </c>
    </row>
    <row r="998" spans="1:12" x14ac:dyDescent="0.35">
      <c r="A998" s="8" t="s">
        <v>2005</v>
      </c>
      <c r="B998" s="2" t="str">
        <f>_xlfn.XLOOKUP(A998,Sheet1!A:A,Sheet1!B:B)</f>
        <v>Cheryl Norris</v>
      </c>
      <c r="C998" s="2" t="str">
        <f>_xlfn.XLOOKUP(A:A,Sheet1!A:A,Sheet1!D:D)</f>
        <v>Female</v>
      </c>
      <c r="D998" s="8">
        <f>_xlfn.XLOOKUP(A:A,Sheet1!A:A,Sheet1!F:F)</f>
        <v>26</v>
      </c>
      <c r="E998" s="2" t="str">
        <f>_xlfn.XLOOKUP(A:A,Sheet1!A:A,Sheet1!G:G)</f>
        <v>Germany</v>
      </c>
      <c r="F998" s="8" t="str">
        <f>_xlfn.XLOOKUP(A:A,Sheet1!A:A,Sheet1!H:H)</f>
        <v>German</v>
      </c>
      <c r="G998" s="8" t="str">
        <f>_xlfn.XLOOKUP(A:A,Sheet1!A:A,Sheet1!I:I)</f>
        <v>Blockchain Development</v>
      </c>
      <c r="H998" s="8">
        <f>_xlfn.XLOOKUP(A:A,Sheet1!A:A,Sheet1!K:K)</f>
        <v>6</v>
      </c>
      <c r="I998" s="9">
        <f>_xlfn.XLOOKUP(A:A,Sheet1!A:A,Sheet1!M:M)</f>
        <v>40</v>
      </c>
      <c r="J998" s="10">
        <f>_xlfn.XLOOKUP(A:A,Sheet1!A:A,Sheet1!O:O)</f>
        <v>2.8</v>
      </c>
      <c r="K998" t="str">
        <f>_xlfn.XLOOKUP(A:A,Sheet1!A:A,Sheet1!P:P)</f>
        <v>No</v>
      </c>
      <c r="L998" s="12">
        <f>_xlfn.XLOOKUP(A:A,Sheet1!A:A,Sheet1!S:S)</f>
        <v>0.82</v>
      </c>
    </row>
    <row r="999" spans="1:12" x14ac:dyDescent="0.35">
      <c r="A999" s="8" t="s">
        <v>2007</v>
      </c>
      <c r="B999" s="2" t="str">
        <f>_xlfn.XLOOKUP(A999,Sheet1!A:A,Sheet1!B:B)</f>
        <v>Kathy Watkins</v>
      </c>
      <c r="C999" s="2" t="str">
        <f>_xlfn.XLOOKUP(A:A,Sheet1!A:A,Sheet1!D:D)</f>
        <v>Female</v>
      </c>
      <c r="D999" s="8">
        <f>_xlfn.XLOOKUP(A:A,Sheet1!A:A,Sheet1!F:F)</f>
        <v>37</v>
      </c>
      <c r="E999" s="2" t="str">
        <f>_xlfn.XLOOKUP(A:A,Sheet1!A:A,Sheet1!G:G)</f>
        <v>Japan</v>
      </c>
      <c r="F999" s="8" t="str">
        <f>_xlfn.XLOOKUP(A:A,Sheet1!A:A,Sheet1!H:H)</f>
        <v>Japanese</v>
      </c>
      <c r="G999" s="8" t="str">
        <f>_xlfn.XLOOKUP(A:A,Sheet1!A:A,Sheet1!I:I)</f>
        <v>Data Analysis</v>
      </c>
      <c r="H999" s="8">
        <f>_xlfn.XLOOKUP(A:A,Sheet1!A:A,Sheet1!K:K)</f>
        <v>15</v>
      </c>
      <c r="I999" s="9">
        <f>_xlfn.XLOOKUP(A:A,Sheet1!A:A,Sheet1!M:M)</f>
        <v>75</v>
      </c>
      <c r="J999" s="10">
        <f>_xlfn.XLOOKUP(A:A,Sheet1!A:A,Sheet1!O:O)</f>
        <v>2.5125695216907653</v>
      </c>
      <c r="K999" t="str">
        <f>_xlfn.XLOOKUP(A:A,Sheet1!A:A,Sheet1!P:P)</f>
        <v>No</v>
      </c>
      <c r="L999" s="12">
        <f>_xlfn.XLOOKUP(A:A,Sheet1!A:A,Sheet1!S:S)</f>
        <v>0.94</v>
      </c>
    </row>
    <row r="1000" spans="1:12" x14ac:dyDescent="0.35">
      <c r="A1000" s="8" t="s">
        <v>2009</v>
      </c>
      <c r="B1000" s="2" t="str">
        <f>_xlfn.XLOOKUP(A1000,Sheet1!A:A,Sheet1!B:B)</f>
        <v>John Obrien</v>
      </c>
      <c r="C1000" s="2" t="str">
        <f>_xlfn.XLOOKUP(A:A,Sheet1!A:A,Sheet1!D:D)</f>
        <v>Male</v>
      </c>
      <c r="D1000" s="8">
        <f>_xlfn.XLOOKUP(A:A,Sheet1!A:A,Sheet1!F:F)</f>
        <v>46</v>
      </c>
      <c r="E1000" s="2" t="str">
        <f>_xlfn.XLOOKUP(A:A,Sheet1!A:A,Sheet1!G:G)</f>
        <v>Russia</v>
      </c>
      <c r="F1000" s="8" t="str">
        <f>_xlfn.XLOOKUP(A:A,Sheet1!A:A,Sheet1!H:H)</f>
        <v>Russian</v>
      </c>
      <c r="G1000" s="8" t="str">
        <f>_xlfn.XLOOKUP(A:A,Sheet1!A:A,Sheet1!I:I)</f>
        <v>Machine Learning</v>
      </c>
      <c r="H1000" s="8">
        <f>_xlfn.XLOOKUP(A:A,Sheet1!A:A,Sheet1!K:K)</f>
        <v>22</v>
      </c>
      <c r="I1000" s="9">
        <f>_xlfn.XLOOKUP(A:A,Sheet1!A:A,Sheet1!M:M)</f>
        <v>100</v>
      </c>
      <c r="J1000" s="10">
        <f>_xlfn.XLOOKUP(A:A,Sheet1!A:A,Sheet1!O:O)</f>
        <v>2.8</v>
      </c>
      <c r="K1000" t="str">
        <f>_xlfn.XLOOKUP(A:A,Sheet1!A:A,Sheet1!P:P)</f>
        <v>Yes</v>
      </c>
      <c r="L1000" s="12">
        <f>_xlfn.XLOOKUP(A:A,Sheet1!A:A,Sheet1!S:S)</f>
        <v>0.97</v>
      </c>
    </row>
    <row r="1001" spans="1:12" x14ac:dyDescent="0.35">
      <c r="A1001" s="8" t="s">
        <v>2011</v>
      </c>
      <c r="B1001" s="2" t="str">
        <f>_xlfn.XLOOKUP(A1001,Sheet1!A:A,Sheet1!B:B)</f>
        <v>Dawn Green</v>
      </c>
      <c r="C1001" s="2" t="str">
        <f>_xlfn.XLOOKUP(A:A,Sheet1!A:A,Sheet1!D:D)</f>
        <v>Female</v>
      </c>
      <c r="D1001" s="8">
        <f>_xlfn.XLOOKUP(A:A,Sheet1!A:A,Sheet1!F:F)</f>
        <v>36</v>
      </c>
      <c r="E1001" s="2" t="str">
        <f>_xlfn.XLOOKUP(A:A,Sheet1!A:A,Sheet1!G:G)</f>
        <v>Mexico</v>
      </c>
      <c r="F1001" s="8" t="str">
        <f>_xlfn.XLOOKUP(A:A,Sheet1!A:A,Sheet1!H:H)</f>
        <v>Spanish</v>
      </c>
      <c r="G1001" s="8" t="str">
        <f>_xlfn.XLOOKUP(A:A,Sheet1!A:A,Sheet1!I:I)</f>
        <v>UI/UX Design</v>
      </c>
      <c r="H1001" s="8">
        <f>_xlfn.XLOOKUP(A:A,Sheet1!A:A,Sheet1!K:K)</f>
        <v>18</v>
      </c>
      <c r="I1001" s="9">
        <f>_xlfn.XLOOKUP(A:A,Sheet1!A:A,Sheet1!M:M)</f>
        <v>20</v>
      </c>
      <c r="J1001" s="10">
        <f>_xlfn.XLOOKUP(A:A,Sheet1!A:A,Sheet1!O:O)</f>
        <v>1.7</v>
      </c>
      <c r="K1001" t="str">
        <f>_xlfn.XLOOKUP(A:A,Sheet1!A:A,Sheet1!P:P)</f>
        <v>Yes</v>
      </c>
      <c r="L1001" s="12">
        <f>_xlfn.XLOOKUP(A:A,Sheet1!A:A,Sheet1!S:S)</f>
        <v>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2E3D-8183-424D-825F-55423F34D533}">
  <dimension ref="A1:H46"/>
  <sheetViews>
    <sheetView tabSelected="1" workbookViewId="0">
      <selection activeCell="G24" sqref="G24"/>
    </sheetView>
  </sheetViews>
  <sheetFormatPr defaultRowHeight="14.5" x14ac:dyDescent="0.35"/>
  <cols>
    <col min="1" max="1" width="12.36328125" bestFit="1" customWidth="1"/>
    <col min="2" max="2" width="20.26953125" bestFit="1" customWidth="1"/>
    <col min="4" max="4" width="12.36328125" bestFit="1" customWidth="1"/>
    <col min="5" max="5" width="20.26953125" bestFit="1" customWidth="1"/>
    <col min="7" max="7" width="14.1796875" bestFit="1" customWidth="1"/>
    <col min="8" max="8" width="20.26953125" bestFit="1" customWidth="1"/>
  </cols>
  <sheetData>
    <row r="1" spans="1:8" x14ac:dyDescent="0.35">
      <c r="A1" s="16" t="s">
        <v>2066</v>
      </c>
      <c r="B1" t="s">
        <v>2068</v>
      </c>
      <c r="D1" s="16" t="s">
        <v>2066</v>
      </c>
      <c r="E1" t="s">
        <v>2065</v>
      </c>
      <c r="G1" s="16" t="s">
        <v>2066</v>
      </c>
      <c r="H1" t="s">
        <v>2065</v>
      </c>
    </row>
    <row r="2" spans="1:8" x14ac:dyDescent="0.35">
      <c r="A2" s="8" t="s">
        <v>27</v>
      </c>
      <c r="B2" s="4">
        <v>2.427382647385985</v>
      </c>
      <c r="D2" s="8">
        <v>0</v>
      </c>
      <c r="E2" s="15">
        <v>72</v>
      </c>
      <c r="G2" s="9">
        <v>20</v>
      </c>
      <c r="H2" s="15">
        <v>142</v>
      </c>
    </row>
    <row r="3" spans="1:8" x14ac:dyDescent="0.35">
      <c r="A3" s="8" t="s">
        <v>4</v>
      </c>
      <c r="B3" s="4">
        <v>2.3823888977170409</v>
      </c>
      <c r="D3" s="8">
        <v>1</v>
      </c>
      <c r="E3" s="15">
        <v>64</v>
      </c>
      <c r="G3" s="9">
        <v>30</v>
      </c>
      <c r="H3" s="15">
        <v>150</v>
      </c>
    </row>
    <row r="4" spans="1:8" x14ac:dyDescent="0.35">
      <c r="A4" s="8" t="s">
        <v>56</v>
      </c>
      <c r="B4" s="4">
        <v>2.4757340197118243</v>
      </c>
      <c r="D4" s="8">
        <v>2</v>
      </c>
      <c r="E4" s="15">
        <v>67</v>
      </c>
      <c r="G4" s="9">
        <v>40</v>
      </c>
      <c r="H4" s="15">
        <v>265</v>
      </c>
    </row>
    <row r="5" spans="1:8" x14ac:dyDescent="0.35">
      <c r="A5" s="8" t="s">
        <v>33</v>
      </c>
      <c r="B5" s="4">
        <v>2.4356843251761231</v>
      </c>
      <c r="D5" s="8">
        <v>3</v>
      </c>
      <c r="E5" s="15">
        <v>51</v>
      </c>
      <c r="G5" s="9">
        <v>50</v>
      </c>
      <c r="H5" s="15">
        <v>152</v>
      </c>
    </row>
    <row r="6" spans="1:8" x14ac:dyDescent="0.35">
      <c r="A6" s="8" t="s">
        <v>67</v>
      </c>
      <c r="B6" s="4">
        <v>2.7867243365644376</v>
      </c>
      <c r="D6" s="8">
        <v>4</v>
      </c>
      <c r="E6" s="15">
        <v>49</v>
      </c>
      <c r="G6" s="9">
        <v>75</v>
      </c>
      <c r="H6" s="15">
        <v>134</v>
      </c>
    </row>
    <row r="7" spans="1:8" x14ac:dyDescent="0.35">
      <c r="A7" s="8" t="s">
        <v>16</v>
      </c>
      <c r="B7" s="4">
        <v>2.5107586685325392</v>
      </c>
      <c r="D7" s="8">
        <v>5</v>
      </c>
      <c r="E7" s="15">
        <v>37</v>
      </c>
      <c r="G7" s="9">
        <v>100</v>
      </c>
      <c r="H7" s="15">
        <v>157</v>
      </c>
    </row>
    <row r="8" spans="1:8" x14ac:dyDescent="0.35">
      <c r="A8" s="8" t="s">
        <v>90</v>
      </c>
      <c r="B8" s="4">
        <v>2.5688231846615723</v>
      </c>
      <c r="D8" s="8">
        <v>6</v>
      </c>
      <c r="E8" s="15">
        <v>40</v>
      </c>
      <c r="G8" s="9" t="s">
        <v>2067</v>
      </c>
      <c r="H8" s="15">
        <v>1000</v>
      </c>
    </row>
    <row r="9" spans="1:8" x14ac:dyDescent="0.35">
      <c r="A9" s="8" t="s">
        <v>10</v>
      </c>
      <c r="B9" s="4">
        <v>2.5421677681083552</v>
      </c>
      <c r="D9" s="8">
        <v>7</v>
      </c>
      <c r="E9" s="15">
        <v>30</v>
      </c>
    </row>
    <row r="10" spans="1:8" x14ac:dyDescent="0.35">
      <c r="A10" s="8" t="s">
        <v>52</v>
      </c>
      <c r="B10" s="4">
        <v>2.5229408823259281</v>
      </c>
      <c r="D10" s="8">
        <v>8</v>
      </c>
      <c r="E10" s="15">
        <v>37</v>
      </c>
    </row>
    <row r="11" spans="1:8" x14ac:dyDescent="0.35">
      <c r="A11" s="8" t="s">
        <v>20</v>
      </c>
      <c r="B11" s="4">
        <v>2.4435163001625742</v>
      </c>
      <c r="D11" s="8">
        <v>9</v>
      </c>
      <c r="E11" s="15">
        <v>88</v>
      </c>
      <c r="G11" s="16" t="s">
        <v>2066</v>
      </c>
      <c r="H11" t="s">
        <v>2069</v>
      </c>
    </row>
    <row r="12" spans="1:8" x14ac:dyDescent="0.35">
      <c r="A12" s="8" t="s">
        <v>2067</v>
      </c>
      <c r="B12" s="4">
        <v>2.5125695216907635</v>
      </c>
      <c r="D12" s="8">
        <v>10</v>
      </c>
      <c r="E12" s="15">
        <v>36</v>
      </c>
      <c r="G12" s="8" t="s">
        <v>27</v>
      </c>
      <c r="H12" s="1">
        <v>51.35</v>
      </c>
    </row>
    <row r="13" spans="1:8" x14ac:dyDescent="0.35">
      <c r="D13" s="8">
        <v>11</v>
      </c>
      <c r="E13" s="15">
        <v>43</v>
      </c>
      <c r="G13" s="8" t="s">
        <v>4</v>
      </c>
      <c r="H13" s="1">
        <v>49.047619047619051</v>
      </c>
    </row>
    <row r="14" spans="1:8" x14ac:dyDescent="0.35">
      <c r="D14" s="8">
        <v>12</v>
      </c>
      <c r="E14" s="15">
        <v>26</v>
      </c>
      <c r="G14" s="8" t="s">
        <v>56</v>
      </c>
      <c r="H14" s="1">
        <v>53.197674418604649</v>
      </c>
    </row>
    <row r="15" spans="1:8" x14ac:dyDescent="0.35">
      <c r="A15" s="16" t="s">
        <v>2066</v>
      </c>
      <c r="B15" t="s">
        <v>2065</v>
      </c>
      <c r="D15" s="8">
        <v>13</v>
      </c>
      <c r="E15" s="15">
        <v>36</v>
      </c>
      <c r="G15" s="8" t="s">
        <v>33</v>
      </c>
      <c r="H15" s="1">
        <v>51.25</v>
      </c>
    </row>
    <row r="16" spans="1:8" x14ac:dyDescent="0.35">
      <c r="A16" s="8" t="s">
        <v>129</v>
      </c>
      <c r="B16" s="15">
        <v>44</v>
      </c>
      <c r="D16" s="8">
        <v>14</v>
      </c>
      <c r="E16" s="15">
        <v>25</v>
      </c>
      <c r="G16" s="8" t="s">
        <v>67</v>
      </c>
      <c r="H16" s="1">
        <v>52.723214285714285</v>
      </c>
    </row>
    <row r="17" spans="1:8" x14ac:dyDescent="0.35">
      <c r="A17" s="8" t="s">
        <v>115</v>
      </c>
      <c r="B17" s="15">
        <v>42</v>
      </c>
      <c r="D17" s="8">
        <v>15</v>
      </c>
      <c r="E17" s="15">
        <v>28</v>
      </c>
      <c r="G17" s="8" t="s">
        <v>16</v>
      </c>
      <c r="H17" s="1">
        <v>48.548387096774192</v>
      </c>
    </row>
    <row r="18" spans="1:8" x14ac:dyDescent="0.35">
      <c r="A18" s="8" t="s">
        <v>26</v>
      </c>
      <c r="B18" s="15">
        <v>51</v>
      </c>
      <c r="D18" s="8">
        <v>16</v>
      </c>
      <c r="E18" s="15">
        <v>15</v>
      </c>
      <c r="G18" s="8" t="s">
        <v>90</v>
      </c>
      <c r="H18" s="1">
        <v>51.55913978494624</v>
      </c>
    </row>
    <row r="19" spans="1:8" x14ac:dyDescent="0.35">
      <c r="A19" s="8" t="s">
        <v>9</v>
      </c>
      <c r="B19" s="15">
        <v>215</v>
      </c>
      <c r="D19" s="8">
        <v>17</v>
      </c>
      <c r="E19" s="15">
        <v>21</v>
      </c>
      <c r="G19" s="8" t="s">
        <v>10</v>
      </c>
      <c r="H19" s="1">
        <v>50.490196078431374</v>
      </c>
    </row>
    <row r="20" spans="1:8" x14ac:dyDescent="0.35">
      <c r="A20" s="8" t="s">
        <v>111</v>
      </c>
      <c r="B20" s="15">
        <v>44</v>
      </c>
      <c r="D20" s="8">
        <v>18</v>
      </c>
      <c r="E20" s="15">
        <v>19</v>
      </c>
      <c r="G20" s="8" t="s">
        <v>52</v>
      </c>
      <c r="H20" s="1">
        <v>51.788990825688074</v>
      </c>
    </row>
    <row r="21" spans="1:8" x14ac:dyDescent="0.35">
      <c r="A21" s="8" t="s">
        <v>15</v>
      </c>
      <c r="B21" s="15">
        <v>52</v>
      </c>
      <c r="D21" s="8">
        <v>19</v>
      </c>
      <c r="E21" s="15">
        <v>18</v>
      </c>
      <c r="G21" s="8" t="s">
        <v>20</v>
      </c>
      <c r="H21" s="1">
        <v>52.884615384615387</v>
      </c>
    </row>
    <row r="22" spans="1:8" x14ac:dyDescent="0.35">
      <c r="A22" s="8" t="s">
        <v>72</v>
      </c>
      <c r="B22" s="15">
        <v>45</v>
      </c>
      <c r="D22" s="8">
        <v>20</v>
      </c>
      <c r="E22" s="15">
        <v>21</v>
      </c>
      <c r="G22" s="8" t="s">
        <v>2067</v>
      </c>
      <c r="H22" s="1">
        <v>51.29</v>
      </c>
    </row>
    <row r="23" spans="1:8" x14ac:dyDescent="0.35">
      <c r="A23" s="8" t="s">
        <v>32</v>
      </c>
      <c r="B23" s="15">
        <v>46</v>
      </c>
      <c r="D23" s="8">
        <v>21</v>
      </c>
      <c r="E23" s="15">
        <v>29</v>
      </c>
    </row>
    <row r="24" spans="1:8" x14ac:dyDescent="0.35">
      <c r="A24" s="8" t="s">
        <v>3</v>
      </c>
      <c r="B24" s="15">
        <v>42</v>
      </c>
      <c r="D24" s="8">
        <v>22</v>
      </c>
      <c r="E24" s="15">
        <v>22</v>
      </c>
      <c r="G24" s="16" t="s">
        <v>2066</v>
      </c>
      <c r="H24" t="s">
        <v>2065</v>
      </c>
    </row>
    <row r="25" spans="1:8" x14ac:dyDescent="0.35">
      <c r="A25" s="8" t="s">
        <v>64</v>
      </c>
      <c r="B25" s="15">
        <v>37</v>
      </c>
      <c r="D25" s="8">
        <v>23</v>
      </c>
      <c r="E25" s="15">
        <v>10</v>
      </c>
      <c r="G25" s="8" t="s">
        <v>50</v>
      </c>
      <c r="H25" s="15">
        <v>47</v>
      </c>
    </row>
    <row r="26" spans="1:8" x14ac:dyDescent="0.35">
      <c r="A26" s="8" t="s">
        <v>89</v>
      </c>
      <c r="B26" s="15">
        <v>68</v>
      </c>
      <c r="D26" s="8">
        <v>24</v>
      </c>
      <c r="E26" s="15">
        <v>11</v>
      </c>
      <c r="G26" s="8" t="s">
        <v>8</v>
      </c>
      <c r="H26" s="15">
        <v>51</v>
      </c>
    </row>
    <row r="27" spans="1:8" x14ac:dyDescent="0.35">
      <c r="A27" s="8" t="s">
        <v>148</v>
      </c>
      <c r="B27" s="15">
        <v>49</v>
      </c>
      <c r="D27" s="8">
        <v>25</v>
      </c>
      <c r="E27" s="15">
        <v>9</v>
      </c>
      <c r="G27" s="8" t="s">
        <v>84</v>
      </c>
      <c r="H27" s="15">
        <v>31</v>
      </c>
    </row>
    <row r="28" spans="1:8" x14ac:dyDescent="0.35">
      <c r="A28" s="8" t="s">
        <v>85</v>
      </c>
      <c r="B28" s="15">
        <v>31</v>
      </c>
      <c r="D28" s="8">
        <v>26</v>
      </c>
      <c r="E28" s="15">
        <v>5</v>
      </c>
      <c r="G28" s="8" t="s">
        <v>103</v>
      </c>
      <c r="H28" s="15">
        <v>65</v>
      </c>
    </row>
    <row r="29" spans="1:8" x14ac:dyDescent="0.35">
      <c r="A29" s="8" t="s">
        <v>100</v>
      </c>
      <c r="B29" s="15">
        <v>47</v>
      </c>
      <c r="D29" s="8">
        <v>27</v>
      </c>
      <c r="E29" s="15">
        <v>7</v>
      </c>
      <c r="G29" s="8" t="s">
        <v>147</v>
      </c>
      <c r="H29" s="15">
        <v>49</v>
      </c>
    </row>
    <row r="30" spans="1:8" x14ac:dyDescent="0.35">
      <c r="A30" s="8" t="s">
        <v>51</v>
      </c>
      <c r="B30" s="15">
        <v>142</v>
      </c>
      <c r="D30" s="8">
        <v>28</v>
      </c>
      <c r="E30" s="15">
        <v>10</v>
      </c>
      <c r="G30" s="8" t="s">
        <v>114</v>
      </c>
      <c r="H30" s="15">
        <v>42</v>
      </c>
    </row>
    <row r="31" spans="1:8" x14ac:dyDescent="0.35">
      <c r="A31" s="8" t="s">
        <v>43</v>
      </c>
      <c r="B31" s="15">
        <v>45</v>
      </c>
      <c r="D31" s="8">
        <v>29</v>
      </c>
      <c r="E31" s="15">
        <v>8</v>
      </c>
      <c r="G31" s="8" t="s">
        <v>110</v>
      </c>
      <c r="H31" s="15">
        <v>44</v>
      </c>
    </row>
    <row r="32" spans="1:8" x14ac:dyDescent="0.35">
      <c r="A32" s="8" t="s">
        <v>2067</v>
      </c>
      <c r="B32" s="15">
        <v>1000</v>
      </c>
      <c r="D32" s="8">
        <v>30</v>
      </c>
      <c r="E32" s="15">
        <v>11</v>
      </c>
      <c r="G32" s="8" t="s">
        <v>14</v>
      </c>
      <c r="H32" s="15">
        <v>52</v>
      </c>
    </row>
    <row r="33" spans="4:8" x14ac:dyDescent="0.35">
      <c r="D33" s="8">
        <v>31</v>
      </c>
      <c r="E33" s="15">
        <v>6</v>
      </c>
      <c r="G33" s="8" t="s">
        <v>71</v>
      </c>
      <c r="H33" s="15">
        <v>45</v>
      </c>
    </row>
    <row r="34" spans="4:8" x14ac:dyDescent="0.35">
      <c r="D34" s="8">
        <v>32</v>
      </c>
      <c r="E34" s="15">
        <v>10</v>
      </c>
      <c r="G34" s="8" t="s">
        <v>31</v>
      </c>
      <c r="H34" s="15">
        <v>46</v>
      </c>
    </row>
    <row r="35" spans="4:8" x14ac:dyDescent="0.35">
      <c r="D35" s="8">
        <v>33</v>
      </c>
      <c r="E35" s="15">
        <v>13</v>
      </c>
      <c r="G35" s="8" t="s">
        <v>2</v>
      </c>
      <c r="H35" s="15">
        <v>42</v>
      </c>
    </row>
    <row r="36" spans="4:8" x14ac:dyDescent="0.35">
      <c r="D36" s="8">
        <v>34</v>
      </c>
      <c r="E36" s="15">
        <v>6</v>
      </c>
      <c r="G36" s="8" t="s">
        <v>63</v>
      </c>
      <c r="H36" s="15">
        <v>37</v>
      </c>
    </row>
    <row r="37" spans="4:8" x14ac:dyDescent="0.35">
      <c r="D37" s="8">
        <v>35</v>
      </c>
      <c r="E37" s="15">
        <v>5</v>
      </c>
      <c r="G37" s="8" t="s">
        <v>151</v>
      </c>
      <c r="H37" s="15">
        <v>50</v>
      </c>
    </row>
    <row r="38" spans="4:8" x14ac:dyDescent="0.35">
      <c r="D38" s="8">
        <v>37</v>
      </c>
      <c r="E38" s="15">
        <v>5</v>
      </c>
      <c r="G38" s="8" t="s">
        <v>25</v>
      </c>
      <c r="H38" s="15">
        <v>51</v>
      </c>
    </row>
    <row r="39" spans="4:8" x14ac:dyDescent="0.35">
      <c r="D39" s="8">
        <v>38</v>
      </c>
      <c r="E39" s="15">
        <v>1</v>
      </c>
      <c r="G39" s="8" t="s">
        <v>99</v>
      </c>
      <c r="H39" s="15">
        <v>47</v>
      </c>
    </row>
    <row r="40" spans="4:8" x14ac:dyDescent="0.35">
      <c r="D40" s="8">
        <v>39</v>
      </c>
      <c r="E40" s="15">
        <v>4</v>
      </c>
      <c r="G40" s="8" t="s">
        <v>128</v>
      </c>
      <c r="H40" s="15">
        <v>44</v>
      </c>
    </row>
    <row r="41" spans="4:8" x14ac:dyDescent="0.35">
      <c r="D41" s="8">
        <v>40</v>
      </c>
      <c r="E41" s="15">
        <v>4</v>
      </c>
      <c r="G41" s="8" t="s">
        <v>88</v>
      </c>
      <c r="H41" s="15">
        <v>68</v>
      </c>
    </row>
    <row r="42" spans="4:8" x14ac:dyDescent="0.35">
      <c r="D42" s="8">
        <v>41</v>
      </c>
      <c r="E42" s="15">
        <v>1</v>
      </c>
      <c r="G42" s="8" t="s">
        <v>162</v>
      </c>
      <c r="H42" s="15">
        <v>45</v>
      </c>
    </row>
    <row r="43" spans="4:8" x14ac:dyDescent="0.35">
      <c r="D43" s="8" t="s">
        <v>2067</v>
      </c>
      <c r="E43" s="15">
        <v>1000</v>
      </c>
      <c r="G43" s="8" t="s">
        <v>42</v>
      </c>
      <c r="H43" s="15">
        <v>45</v>
      </c>
    </row>
    <row r="44" spans="4:8" x14ac:dyDescent="0.35">
      <c r="G44" s="8" t="s">
        <v>46</v>
      </c>
      <c r="H44" s="15">
        <v>50</v>
      </c>
    </row>
    <row r="45" spans="4:8" x14ac:dyDescent="0.35">
      <c r="G45" s="8" t="s">
        <v>38</v>
      </c>
      <c r="H45" s="15">
        <v>49</v>
      </c>
    </row>
    <row r="46" spans="4:8" x14ac:dyDescent="0.35">
      <c r="G46" s="8" t="s">
        <v>2067</v>
      </c>
      <c r="H46" s="1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KEVIN</dc:creator>
  <cp:lastModifiedBy>ANNA KEVIN</cp:lastModifiedBy>
  <dcterms:created xsi:type="dcterms:W3CDTF">2026-09-05T15:25:28Z</dcterms:created>
  <dcterms:modified xsi:type="dcterms:W3CDTF">2026-09-07T18:52:01Z</dcterms:modified>
</cp:coreProperties>
</file>